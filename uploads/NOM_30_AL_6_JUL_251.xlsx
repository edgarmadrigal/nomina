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19368" windowHeight="8976" firstSheet="1" activeTab="1"/>
  </bookViews>
  <sheets>
    <sheet name="NOMINA TEJIDO " sheetId="10" state="hidden" r:id="rId1"/>
    <sheet name="NOM" sheetId="29" r:id="rId2"/>
    <sheet name="LISTAS" sheetId="30" r:id="rId3"/>
    <sheet name="resumen rh" sheetId="24" r:id="rId4"/>
    <sheet name="CHECADAS" sheetId="16" r:id="rId5"/>
    <sheet name="REPORTE" sheetId="27" r:id="rId6"/>
  </sheets>
  <definedNames>
    <definedName name="_xlnm._FilterDatabase" localSheetId="1" hidden="1">NOM!$B$239:$X$252</definedName>
    <definedName name="_xlnm._FilterDatabase" localSheetId="0" hidden="1">'NOMINA TEJIDO '!$A$3:$GG$260</definedName>
    <definedName name="_xlnm._FilterDatabase" localSheetId="5" hidden="1">REPORTE!$A$1:$F$906</definedName>
    <definedName name="_xlnm.Print_Area" localSheetId="0">'NOMINA TEJIDO '!$B$1:$AY$260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9" i="29" l="1"/>
  <c r="D151" i="29"/>
  <c r="F182" i="29"/>
  <c r="F181" i="29"/>
  <c r="W224" i="29"/>
  <c r="D266" i="29"/>
  <c r="I254" i="29"/>
  <c r="G254" i="29"/>
  <c r="E254" i="29"/>
  <c r="F270" i="29"/>
  <c r="W254" i="29"/>
  <c r="R146" i="29" l="1"/>
  <c r="X143" i="29" l="1"/>
  <c r="A248" i="29" l="1"/>
  <c r="E69" i="29" l="1"/>
  <c r="E16" i="29"/>
  <c r="S254" i="29" l="1"/>
  <c r="T254" i="29"/>
  <c r="U254" i="29"/>
  <c r="V254" i="29"/>
  <c r="K254" i="29"/>
  <c r="M254" i="29"/>
  <c r="D202" i="29"/>
  <c r="R198" i="29"/>
  <c r="W98" i="29"/>
  <c r="F107" i="29" s="1"/>
  <c r="U98" i="29"/>
  <c r="S98" i="29"/>
  <c r="R98" i="29"/>
  <c r="O98" i="29"/>
  <c r="G98" i="29"/>
  <c r="I98" i="29"/>
  <c r="K98" i="29"/>
  <c r="M98" i="29"/>
  <c r="E98" i="29"/>
  <c r="G69" i="29"/>
  <c r="I69" i="29"/>
  <c r="K69" i="29"/>
  <c r="S69" i="29"/>
  <c r="T69" i="29"/>
  <c r="U69" i="29"/>
  <c r="V69" i="29"/>
  <c r="W69" i="29"/>
  <c r="R69" i="29"/>
  <c r="T98" i="29" l="1"/>
  <c r="V98" i="29"/>
  <c r="D74" i="29" l="1"/>
  <c r="X61" i="29"/>
  <c r="X62" i="29"/>
  <c r="X63" i="29"/>
  <c r="X64" i="29"/>
  <c r="X65" i="29"/>
  <c r="X66" i="29"/>
  <c r="X67" i="29"/>
  <c r="X68" i="29"/>
  <c r="X59" i="29"/>
  <c r="U16" i="29"/>
  <c r="S16" i="29"/>
  <c r="D22" i="29" l="1"/>
  <c r="X243" i="29"/>
  <c r="X244" i="29"/>
  <c r="X245" i="29"/>
  <c r="X246" i="29"/>
  <c r="X249" i="29"/>
  <c r="X250" i="29"/>
  <c r="X251" i="29"/>
  <c r="X247" i="29"/>
  <c r="X253" i="29"/>
  <c r="X242" i="29"/>
  <c r="F269" i="29"/>
  <c r="S198" i="29"/>
  <c r="T198" i="29"/>
  <c r="U198" i="29"/>
  <c r="V198" i="29"/>
  <c r="W198" i="29"/>
  <c r="F209" i="29" s="1"/>
  <c r="D174" i="29"/>
  <c r="E146" i="29"/>
  <c r="D102" i="29"/>
  <c r="F102" i="29" s="1"/>
  <c r="V103" i="29"/>
  <c r="V104" i="29"/>
  <c r="V105" i="29"/>
  <c r="V102" i="29"/>
  <c r="F79" i="29"/>
  <c r="F77" i="29"/>
  <c r="D75" i="29"/>
  <c r="X194" i="29" l="1"/>
  <c r="X252" i="29" l="1"/>
  <c r="X254" i="29" s="1"/>
  <c r="X140" i="29"/>
  <c r="X145" i="29"/>
  <c r="X94" i="29"/>
  <c r="E198" i="29" l="1"/>
  <c r="X195" i="29"/>
  <c r="S171" i="29"/>
  <c r="U171" i="29"/>
  <c r="W171" i="29"/>
  <c r="B133" i="29"/>
  <c r="S146" i="29"/>
  <c r="T146" i="29"/>
  <c r="U146" i="29"/>
  <c r="V146" i="29"/>
  <c r="W146" i="29"/>
  <c r="G146" i="29"/>
  <c r="I146" i="29"/>
  <c r="K146" i="29"/>
  <c r="M146" i="29"/>
  <c r="D101" i="29"/>
  <c r="V23" i="29"/>
  <c r="V20" i="29"/>
  <c r="F25" i="29"/>
  <c r="T16" i="29"/>
  <c r="F26" i="29"/>
  <c r="V16" i="29"/>
  <c r="W16" i="29"/>
  <c r="F27" i="29" s="1"/>
  <c r="R16" i="29"/>
  <c r="G16" i="29"/>
  <c r="I16" i="29"/>
  <c r="K16" i="29"/>
  <c r="M16" i="29"/>
  <c r="D19" i="29"/>
  <c r="X169" i="29" l="1"/>
  <c r="X90" i="29"/>
  <c r="X7" i="29" l="1"/>
  <c r="X8" i="29"/>
  <c r="X9" i="29"/>
  <c r="X10" i="29"/>
  <c r="X11" i="29"/>
  <c r="X12" i="29"/>
  <c r="X13" i="29"/>
  <c r="X14" i="29"/>
  <c r="X15" i="29"/>
  <c r="X6" i="29"/>
  <c r="X16" i="29" s="1"/>
  <c r="X93" i="29" l="1"/>
  <c r="D149" i="29" l="1"/>
  <c r="F154" i="29"/>
  <c r="F153" i="29"/>
  <c r="D205" i="29" l="1"/>
  <c r="G198" i="29"/>
  <c r="I198" i="29"/>
  <c r="K198" i="29"/>
  <c r="M198" i="29"/>
  <c r="O198" i="29"/>
  <c r="M8" i="24" l="1"/>
  <c r="T171" i="29" l="1"/>
  <c r="F180" i="29"/>
  <c r="V171" i="29"/>
  <c r="A14" i="24" l="1"/>
  <c r="R39" i="29"/>
  <c r="U224" i="29" l="1"/>
  <c r="S224" i="29"/>
  <c r="F232" i="29" s="1"/>
  <c r="R224" i="29"/>
  <c r="D227" i="29"/>
  <c r="D177" i="29"/>
  <c r="X193" i="29" l="1"/>
  <c r="X144" i="29" l="1"/>
  <c r="K207" i="29" l="1"/>
  <c r="F106" i="29"/>
  <c r="K24" i="29"/>
  <c r="B21" i="30" l="1"/>
  <c r="D230" i="29" l="1"/>
  <c r="D150" i="29"/>
  <c r="D261" i="29" l="1"/>
  <c r="D21" i="29"/>
  <c r="V46" i="29"/>
  <c r="V47" i="29"/>
  <c r="V45" i="29"/>
  <c r="T39" i="29"/>
  <c r="U39" i="29"/>
  <c r="F49" i="29" s="1"/>
  <c r="V39" i="29"/>
  <c r="W39" i="29"/>
  <c r="S39" i="29"/>
  <c r="F48" i="29" s="1"/>
  <c r="D45" i="29"/>
  <c r="D43" i="29"/>
  <c r="G39" i="29"/>
  <c r="E8" i="24" s="1"/>
  <c r="I39" i="29"/>
  <c r="G8" i="24" s="1"/>
  <c r="K39" i="29"/>
  <c r="I8" i="24" s="1"/>
  <c r="M39" i="29"/>
  <c r="K8" i="24" s="1"/>
  <c r="E39" i="29"/>
  <c r="C8" i="24" s="1"/>
  <c r="A8" i="24" l="1"/>
  <c r="X38" i="29"/>
  <c r="X37" i="29"/>
  <c r="X36" i="29"/>
  <c r="X39" i="29" l="1"/>
  <c r="X60" i="29"/>
  <c r="X69" i="29" s="1"/>
  <c r="D73" i="29"/>
  <c r="X196" i="29" l="1"/>
  <c r="X142" i="29"/>
  <c r="E224" i="29" l="1"/>
  <c r="G171" i="29"/>
  <c r="I171" i="29"/>
  <c r="K171" i="29"/>
  <c r="M171" i="29"/>
  <c r="O171" i="29"/>
  <c r="E171" i="29"/>
  <c r="F179" i="29" l="1"/>
  <c r="M16" i="24" l="1"/>
  <c r="D20" i="29"/>
  <c r="D228" i="29"/>
  <c r="X95" i="29" l="1"/>
  <c r="B108" i="30" l="1"/>
  <c r="B99" i="30"/>
  <c r="B72" i="30"/>
  <c r="B88" i="30" s="1"/>
  <c r="B63" i="30"/>
  <c r="B47" i="30"/>
  <c r="B31" i="30"/>
  <c r="X222" i="29" l="1"/>
  <c r="D263" i="29" l="1"/>
  <c r="K285" i="29" l="1"/>
  <c r="B285" i="29"/>
  <c r="F284" i="29"/>
  <c r="F283" i="29"/>
  <c r="O280" i="29"/>
  <c r="M17" i="24" s="1"/>
  <c r="M280" i="29"/>
  <c r="K17" i="24" s="1"/>
  <c r="K280" i="29"/>
  <c r="I17" i="24" s="1"/>
  <c r="I280" i="29"/>
  <c r="G17" i="24" s="1"/>
  <c r="G280" i="29"/>
  <c r="E17" i="24" s="1"/>
  <c r="E280" i="29"/>
  <c r="C17" i="24" s="1"/>
  <c r="X279" i="29"/>
  <c r="X280" i="29" s="1"/>
  <c r="T270" i="29"/>
  <c r="K16" i="24" s="1"/>
  <c r="R270" i="29"/>
  <c r="I16" i="24" s="1"/>
  <c r="P270" i="29"/>
  <c r="G16" i="24" s="1"/>
  <c r="N270" i="29"/>
  <c r="E16" i="24" s="1"/>
  <c r="L270" i="29"/>
  <c r="C16" i="24" s="1"/>
  <c r="W269" i="29"/>
  <c r="W268" i="29"/>
  <c r="B268" i="29"/>
  <c r="W267" i="29"/>
  <c r="W266" i="29"/>
  <c r="F266" i="29"/>
  <c r="W265" i="29"/>
  <c r="D265" i="29"/>
  <c r="F265" i="29" s="1"/>
  <c r="W264" i="29"/>
  <c r="F264" i="29"/>
  <c r="W263" i="29"/>
  <c r="F263" i="29"/>
  <c r="W262" i="29"/>
  <c r="F262" i="29"/>
  <c r="W261" i="29"/>
  <c r="F261" i="29"/>
  <c r="W260" i="29"/>
  <c r="F260" i="29"/>
  <c r="W259" i="29"/>
  <c r="D259" i="29"/>
  <c r="F259" i="29" s="1"/>
  <c r="F258" i="29"/>
  <c r="F257" i="29"/>
  <c r="B239" i="29"/>
  <c r="B276" i="29" s="1"/>
  <c r="U232" i="29"/>
  <c r="M12" i="24" s="1"/>
  <c r="S232" i="29"/>
  <c r="K12" i="24" s="1"/>
  <c r="Q232" i="29"/>
  <c r="I12" i="24" s="1"/>
  <c r="O232" i="29"/>
  <c r="G12" i="24" s="1"/>
  <c r="M232" i="29"/>
  <c r="E12" i="24" s="1"/>
  <c r="K232" i="29"/>
  <c r="C12" i="24" s="1"/>
  <c r="V231" i="29"/>
  <c r="B231" i="29"/>
  <c r="V230" i="29"/>
  <c r="F230" i="29"/>
  <c r="V229" i="29"/>
  <c r="V228" i="29"/>
  <c r="F228" i="29"/>
  <c r="F227" i="29"/>
  <c r="F234" i="29"/>
  <c r="V224" i="29"/>
  <c r="F233" i="29"/>
  <c r="T224" i="29"/>
  <c r="M224" i="29"/>
  <c r="K224" i="29"/>
  <c r="I224" i="29"/>
  <c r="G224" i="29"/>
  <c r="X221" i="29"/>
  <c r="X220" i="29"/>
  <c r="X219" i="29"/>
  <c r="B215" i="29"/>
  <c r="U207" i="29"/>
  <c r="M11" i="24" s="1"/>
  <c r="S207" i="29"/>
  <c r="K11" i="24" s="1"/>
  <c r="Q207" i="29"/>
  <c r="I11" i="24" s="1"/>
  <c r="O207" i="29"/>
  <c r="G11" i="24" s="1"/>
  <c r="M207" i="29"/>
  <c r="E11" i="24" s="1"/>
  <c r="C11" i="24"/>
  <c r="V206" i="29"/>
  <c r="B206" i="29"/>
  <c r="V205" i="29"/>
  <c r="F205" i="29"/>
  <c r="V204" i="29"/>
  <c r="V203" i="29"/>
  <c r="F203" i="29"/>
  <c r="F202" i="29"/>
  <c r="X170" i="29"/>
  <c r="U179" i="29"/>
  <c r="S179" i="29"/>
  <c r="Q179" i="29"/>
  <c r="I10" i="24" s="1"/>
  <c r="O179" i="29"/>
  <c r="M179" i="29"/>
  <c r="K179" i="29"/>
  <c r="V178" i="29"/>
  <c r="B178" i="29"/>
  <c r="V177" i="29"/>
  <c r="F177" i="29"/>
  <c r="V176" i="29"/>
  <c r="V175" i="29"/>
  <c r="F175" i="29"/>
  <c r="F174" i="29"/>
  <c r="X168" i="29"/>
  <c r="X167" i="29"/>
  <c r="X166" i="29"/>
  <c r="A166" i="29"/>
  <c r="X165" i="29"/>
  <c r="X164" i="29"/>
  <c r="B159" i="29"/>
  <c r="A188" i="29" s="1"/>
  <c r="U154" i="29"/>
  <c r="M15" i="24" s="1"/>
  <c r="S154" i="29"/>
  <c r="K15" i="24" s="1"/>
  <c r="Q154" i="29"/>
  <c r="I15" i="24" s="1"/>
  <c r="O154" i="29"/>
  <c r="G15" i="24" s="1"/>
  <c r="M154" i="29"/>
  <c r="E15" i="24" s="1"/>
  <c r="K154" i="29"/>
  <c r="C15" i="24" s="1"/>
  <c r="V153" i="29"/>
  <c r="V152" i="29"/>
  <c r="B152" i="29"/>
  <c r="V151" i="29"/>
  <c r="F151" i="29"/>
  <c r="V150" i="29"/>
  <c r="F150" i="29"/>
  <c r="F149" i="29"/>
  <c r="X197" i="29"/>
  <c r="X198" i="29" s="1"/>
  <c r="X141" i="29"/>
  <c r="X139" i="29"/>
  <c r="U126" i="29"/>
  <c r="S126" i="29"/>
  <c r="Q126" i="29"/>
  <c r="O126" i="29"/>
  <c r="M126" i="29"/>
  <c r="K126" i="29"/>
  <c r="V125" i="29"/>
  <c r="V124" i="29"/>
  <c r="V123" i="29"/>
  <c r="B123" i="29"/>
  <c r="V122" i="29"/>
  <c r="D122" i="29"/>
  <c r="F122" i="29" s="1"/>
  <c r="F121" i="29"/>
  <c r="D120" i="29"/>
  <c r="F120" i="29" s="1"/>
  <c r="X117" i="29"/>
  <c r="W117" i="29"/>
  <c r="V117" i="29"/>
  <c r="U117" i="29"/>
  <c r="F126" i="29" s="1"/>
  <c r="T117" i="29"/>
  <c r="F125" i="29" s="1"/>
  <c r="S117" i="29"/>
  <c r="F124" i="29" s="1"/>
  <c r="R117" i="29"/>
  <c r="B112" i="29"/>
  <c r="U106" i="29"/>
  <c r="M13" i="24" s="1"/>
  <c r="S106" i="29"/>
  <c r="K13" i="24" s="1"/>
  <c r="Q106" i="29"/>
  <c r="I13" i="24" s="1"/>
  <c r="O106" i="29"/>
  <c r="G13" i="24" s="1"/>
  <c r="M106" i="29"/>
  <c r="E13" i="24" s="1"/>
  <c r="K106" i="29"/>
  <c r="B104" i="29"/>
  <c r="F103" i="29"/>
  <c r="F101" i="29"/>
  <c r="F105" i="29"/>
  <c r="X96" i="29"/>
  <c r="X92" i="29"/>
  <c r="X91" i="29"/>
  <c r="B84" i="29"/>
  <c r="U77" i="29"/>
  <c r="M9" i="24" s="1"/>
  <c r="S77" i="29"/>
  <c r="K9" i="24" s="1"/>
  <c r="Q77" i="29"/>
  <c r="I9" i="24" s="1"/>
  <c r="O77" i="29"/>
  <c r="G9" i="24" s="1"/>
  <c r="M77" i="29"/>
  <c r="E9" i="24" s="1"/>
  <c r="K77" i="29"/>
  <c r="C9" i="24" s="1"/>
  <c r="V76" i="29"/>
  <c r="B76" i="29"/>
  <c r="V75" i="29"/>
  <c r="F75" i="29"/>
  <c r="V74" i="29"/>
  <c r="F74" i="29"/>
  <c r="V73" i="29"/>
  <c r="F73" i="29"/>
  <c r="F72" i="29"/>
  <c r="F78" i="29"/>
  <c r="A67" i="29"/>
  <c r="X223" i="29"/>
  <c r="A63" i="29"/>
  <c r="X138" i="29"/>
  <c r="X146" i="29" s="1"/>
  <c r="B55" i="29"/>
  <c r="B54" i="29"/>
  <c r="U48" i="29"/>
  <c r="S48" i="29"/>
  <c r="Q48" i="29"/>
  <c r="O48" i="29"/>
  <c r="M48" i="29"/>
  <c r="K48" i="29"/>
  <c r="B47" i="29"/>
  <c r="F45" i="29"/>
  <c r="V44" i="29"/>
  <c r="F44" i="29"/>
  <c r="F43" i="29"/>
  <c r="F42" i="29"/>
  <c r="B32" i="29"/>
  <c r="U24" i="29"/>
  <c r="M7" i="24" s="1"/>
  <c r="S24" i="29"/>
  <c r="K7" i="24" s="1"/>
  <c r="Q24" i="29"/>
  <c r="I7" i="24" s="1"/>
  <c r="O24" i="29"/>
  <c r="G7" i="24" s="1"/>
  <c r="M24" i="29"/>
  <c r="E7" i="24" s="1"/>
  <c r="C7" i="24"/>
  <c r="B24" i="29"/>
  <c r="V22" i="29"/>
  <c r="F22" i="29"/>
  <c r="V21" i="29"/>
  <c r="F21" i="29"/>
  <c r="F20" i="29"/>
  <c r="F19" i="29"/>
  <c r="X97" i="29"/>
  <c r="A14" i="29"/>
  <c r="A13" i="29"/>
  <c r="A12" i="29"/>
  <c r="A11" i="29"/>
  <c r="A8" i="29"/>
  <c r="X89" i="29"/>
  <c r="A7" i="29"/>
  <c r="A6" i="29"/>
  <c r="F206" i="29" l="1"/>
  <c r="X224" i="29"/>
  <c r="X98" i="29"/>
  <c r="A15" i="29"/>
  <c r="V106" i="29"/>
  <c r="F104" i="29"/>
  <c r="F109" i="29" s="1"/>
  <c r="F152" i="29"/>
  <c r="F156" i="29" s="1"/>
  <c r="X171" i="29"/>
  <c r="A11" i="24"/>
  <c r="A7" i="24"/>
  <c r="A16" i="24"/>
  <c r="A15" i="24"/>
  <c r="A12" i="24"/>
  <c r="A9" i="24"/>
  <c r="A17" i="24"/>
  <c r="F46" i="29"/>
  <c r="F51" i="29" s="1"/>
  <c r="X40" i="29" s="1"/>
  <c r="C13" i="24"/>
  <c r="A13" i="24" s="1"/>
  <c r="F24" i="29"/>
  <c r="F29" i="29" s="1"/>
  <c r="X17" i="29" s="1"/>
  <c r="E10" i="24"/>
  <c r="M10" i="24"/>
  <c r="C10" i="24"/>
  <c r="G10" i="24"/>
  <c r="K10" i="24"/>
  <c r="V48" i="29"/>
  <c r="F285" i="29"/>
  <c r="F287" i="29" s="1"/>
  <c r="X281" i="29" s="1"/>
  <c r="F123" i="29"/>
  <c r="F128" i="29" s="1"/>
  <c r="X118" i="29" s="1"/>
  <c r="F178" i="29"/>
  <c r="F184" i="29" s="1"/>
  <c r="V179" i="29"/>
  <c r="V24" i="29"/>
  <c r="V207" i="29"/>
  <c r="V232" i="29"/>
  <c r="V77" i="29"/>
  <c r="F76" i="29"/>
  <c r="F81" i="29" s="1"/>
  <c r="V126" i="29"/>
  <c r="V154" i="29"/>
  <c r="W270" i="29"/>
  <c r="F231" i="29"/>
  <c r="F236" i="29" s="1"/>
  <c r="F268" i="29"/>
  <c r="F273" i="29" s="1"/>
  <c r="A10" i="24" l="1"/>
  <c r="X70" i="29"/>
  <c r="X225" i="29"/>
  <c r="X256" i="29"/>
  <c r="X100" i="29"/>
  <c r="X172" i="29"/>
  <c r="X147" i="29"/>
  <c r="E101" i="10" l="1"/>
  <c r="W85" i="10"/>
  <c r="W86" i="10"/>
  <c r="W87" i="10"/>
  <c r="W93" i="10"/>
  <c r="W100" i="10"/>
  <c r="X82" i="10"/>
  <c r="X83" i="10"/>
  <c r="X84" i="10"/>
  <c r="X85" i="10"/>
  <c r="X86" i="10"/>
  <c r="X87" i="10"/>
  <c r="X88" i="10"/>
  <c r="X89" i="10"/>
  <c r="X90" i="10"/>
  <c r="X91" i="10"/>
  <c r="X92" i="10"/>
  <c r="X93" i="10"/>
  <c r="X94" i="10"/>
  <c r="X95" i="10"/>
  <c r="X96" i="10"/>
  <c r="X97" i="10"/>
  <c r="X98" i="10"/>
  <c r="X99" i="10"/>
  <c r="X100" i="10"/>
  <c r="Y82" i="10"/>
  <c r="Y83" i="10"/>
  <c r="Y84" i="10"/>
  <c r="Y85" i="10"/>
  <c r="Y86" i="10"/>
  <c r="Y87" i="10"/>
  <c r="Y88" i="10"/>
  <c r="Y89" i="10"/>
  <c r="Y90" i="10"/>
  <c r="Y91" i="10"/>
  <c r="Y92" i="10"/>
  <c r="Y93" i="10"/>
  <c r="Y94" i="10"/>
  <c r="Y95" i="10"/>
  <c r="Y96" i="10"/>
  <c r="Y97" i="10"/>
  <c r="Y98" i="10"/>
  <c r="Y99" i="10"/>
  <c r="Y100" i="10"/>
  <c r="AB85" i="10"/>
  <c r="AB86" i="10"/>
  <c r="AB87" i="10"/>
  <c r="AB93" i="10"/>
  <c r="AB100" i="10"/>
  <c r="AC82" i="10"/>
  <c r="AC83" i="10"/>
  <c r="AC84" i="10"/>
  <c r="AC85" i="10"/>
  <c r="AC86" i="10"/>
  <c r="AC87" i="10"/>
  <c r="AC88" i="10"/>
  <c r="AC89" i="10"/>
  <c r="AC90" i="10"/>
  <c r="AC91" i="10"/>
  <c r="AC92" i="10"/>
  <c r="AC93" i="10"/>
  <c r="AC94" i="10"/>
  <c r="AC95" i="10"/>
  <c r="AC96" i="10"/>
  <c r="AC97" i="10"/>
  <c r="AC98" i="10"/>
  <c r="AC99" i="10"/>
  <c r="AC100" i="10"/>
  <c r="AD82" i="10"/>
  <c r="AD83" i="10"/>
  <c r="AD84" i="10"/>
  <c r="AD85" i="10"/>
  <c r="AD86" i="10"/>
  <c r="AD87" i="10"/>
  <c r="AD88" i="10"/>
  <c r="AD89" i="10"/>
  <c r="AD90" i="10"/>
  <c r="AD91" i="10"/>
  <c r="AD92" i="10"/>
  <c r="AD93" i="10"/>
  <c r="AD94" i="10"/>
  <c r="AD95" i="10"/>
  <c r="AD96" i="10"/>
  <c r="AD97" i="10"/>
  <c r="AD98" i="10"/>
  <c r="AD99" i="10"/>
  <c r="AD100" i="10"/>
  <c r="AG85" i="10"/>
  <c r="AG86" i="10"/>
  <c r="AG87" i="10"/>
  <c r="AG93" i="10"/>
  <c r="AG100" i="10"/>
  <c r="AH82" i="10"/>
  <c r="AH83" i="10"/>
  <c r="AH84" i="10"/>
  <c r="AH85" i="10"/>
  <c r="AH86" i="10"/>
  <c r="AH87" i="10"/>
  <c r="AH88" i="10"/>
  <c r="AH89" i="10"/>
  <c r="AH90" i="10"/>
  <c r="AH91" i="10"/>
  <c r="AH92" i="10"/>
  <c r="AH93" i="10"/>
  <c r="AH94" i="10"/>
  <c r="AH95" i="10"/>
  <c r="AH96" i="10"/>
  <c r="AH97" i="10"/>
  <c r="AH98" i="10"/>
  <c r="AH99" i="10"/>
  <c r="AH100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M83" i="10"/>
  <c r="AM84" i="10"/>
  <c r="AM85" i="10"/>
  <c r="AM86" i="10"/>
  <c r="AM87" i="10"/>
  <c r="AM88" i="10"/>
  <c r="AM89" i="10"/>
  <c r="AM90" i="10"/>
  <c r="AM91" i="10"/>
  <c r="AM92" i="10"/>
  <c r="AM93" i="10"/>
  <c r="AM94" i="10"/>
  <c r="AM95" i="10"/>
  <c r="AM96" i="10"/>
  <c r="AM97" i="10"/>
  <c r="AM98" i="10"/>
  <c r="AM99" i="10"/>
  <c r="AM100" i="10"/>
  <c r="AL85" i="10"/>
  <c r="AL86" i="10"/>
  <c r="AL87" i="10"/>
  <c r="AL93" i="10"/>
  <c r="AL100" i="10"/>
  <c r="AN83" i="10"/>
  <c r="AN84" i="10"/>
  <c r="AN85" i="10"/>
  <c r="AN86" i="10"/>
  <c r="AN87" i="10"/>
  <c r="AN88" i="10"/>
  <c r="AN89" i="10"/>
  <c r="AN90" i="10"/>
  <c r="AN91" i="10"/>
  <c r="AN92" i="10"/>
  <c r="AN93" i="10"/>
  <c r="AN94" i="10"/>
  <c r="AN95" i="10"/>
  <c r="AN96" i="10"/>
  <c r="AN97" i="10"/>
  <c r="AN98" i="10"/>
  <c r="AN99" i="10"/>
  <c r="AN100" i="10"/>
  <c r="AQ85" i="10"/>
  <c r="AQ86" i="10"/>
  <c r="AQ87" i="10"/>
  <c r="AQ93" i="10"/>
  <c r="AQ100" i="10"/>
  <c r="AR82" i="10"/>
  <c r="AR83" i="10"/>
  <c r="AR84" i="10"/>
  <c r="AR85" i="10"/>
  <c r="AR86" i="10"/>
  <c r="AR87" i="10"/>
  <c r="AR88" i="10"/>
  <c r="AR89" i="10"/>
  <c r="AR90" i="10"/>
  <c r="AR91" i="10"/>
  <c r="AR92" i="10"/>
  <c r="AR93" i="10"/>
  <c r="AR94" i="10"/>
  <c r="AR95" i="10"/>
  <c r="AR96" i="10"/>
  <c r="AR97" i="10"/>
  <c r="AR98" i="10"/>
  <c r="AR99" i="10"/>
  <c r="AR100" i="10"/>
  <c r="AS82" i="10"/>
  <c r="AS83" i="10"/>
  <c r="AS84" i="10"/>
  <c r="AS85" i="10"/>
  <c r="AS86" i="10"/>
  <c r="AS87" i="10"/>
  <c r="AS88" i="10"/>
  <c r="AS89" i="10"/>
  <c r="AS90" i="10"/>
  <c r="AS91" i="10"/>
  <c r="AS92" i="10"/>
  <c r="AS93" i="10"/>
  <c r="AS94" i="10"/>
  <c r="AS95" i="10"/>
  <c r="AS96" i="10"/>
  <c r="AS97" i="10"/>
  <c r="AS98" i="10"/>
  <c r="AS99" i="10"/>
  <c r="AS100" i="10"/>
  <c r="AT101" i="10"/>
  <c r="AV85" i="10"/>
  <c r="AV86" i="10"/>
  <c r="AV87" i="10"/>
  <c r="AV93" i="10"/>
  <c r="AV100" i="10"/>
  <c r="AW82" i="10"/>
  <c r="AW83" i="10"/>
  <c r="AW84" i="10"/>
  <c r="AW85" i="10"/>
  <c r="AW86" i="10"/>
  <c r="AW87" i="10"/>
  <c r="AW88" i="10"/>
  <c r="AW89" i="10"/>
  <c r="AW90" i="10"/>
  <c r="AW91" i="10"/>
  <c r="AW92" i="10"/>
  <c r="AW93" i="10"/>
  <c r="AW94" i="10"/>
  <c r="AW95" i="10"/>
  <c r="AW96" i="10"/>
  <c r="AW97" i="10"/>
  <c r="AW98" i="10"/>
  <c r="AW99" i="10"/>
  <c r="AW100" i="10"/>
  <c r="AX82" i="10"/>
  <c r="AX83" i="10"/>
  <c r="AX84" i="10"/>
  <c r="AX85" i="10"/>
  <c r="AX86" i="10"/>
  <c r="AX87" i="10"/>
  <c r="AX88" i="10"/>
  <c r="AX89" i="10"/>
  <c r="AX90" i="10"/>
  <c r="AX91" i="10"/>
  <c r="AX92" i="10"/>
  <c r="AX93" i="10"/>
  <c r="AX94" i="10"/>
  <c r="AX95" i="10"/>
  <c r="AX96" i="10"/>
  <c r="AX97" i="10"/>
  <c r="AX98" i="10"/>
  <c r="AX99" i="10"/>
  <c r="AX100" i="10"/>
  <c r="V98" i="10"/>
  <c r="U98" i="10"/>
  <c r="U99" i="10"/>
  <c r="S97" i="10"/>
  <c r="S98" i="10"/>
  <c r="R98" i="10"/>
  <c r="AB98" i="10" s="1"/>
  <c r="AJ93" i="10" l="1"/>
  <c r="AT86" i="10"/>
  <c r="AJ87" i="10"/>
  <c r="AJ86" i="10"/>
  <c r="AE86" i="10"/>
  <c r="AT100" i="10"/>
  <c r="Z100" i="10"/>
  <c r="AE98" i="10"/>
  <c r="AG98" i="10"/>
  <c r="AJ98" i="10" s="1"/>
  <c r="Z86" i="10"/>
  <c r="AJ85" i="10"/>
  <c r="AY86" i="10"/>
  <c r="AY100" i="10"/>
  <c r="AE100" i="10"/>
  <c r="W98" i="10"/>
  <c r="Z98" i="10" s="1"/>
  <c r="AO85" i="10"/>
  <c r="AO93" i="10"/>
  <c r="AO87" i="10"/>
  <c r="AV98" i="10"/>
  <c r="AY98" i="10" s="1"/>
  <c r="AQ98" i="10"/>
  <c r="AT98" i="10" s="1"/>
  <c r="AL98" i="10"/>
  <c r="AO98" i="10" s="1"/>
  <c r="AJ100" i="10"/>
  <c r="Z93" i="10"/>
  <c r="Z87" i="10"/>
  <c r="Z85" i="10"/>
  <c r="AE93" i="10"/>
  <c r="AE87" i="10"/>
  <c r="AE85" i="10"/>
  <c r="AO100" i="10"/>
  <c r="AO86" i="10"/>
  <c r="AT93" i="10"/>
  <c r="AT87" i="10"/>
  <c r="AT85" i="10"/>
  <c r="AY93" i="10"/>
  <c r="AY87" i="10"/>
  <c r="AY85" i="10"/>
  <c r="E164" i="10"/>
  <c r="R120" i="10"/>
  <c r="BL62" i="10"/>
  <c r="BL38" i="10"/>
  <c r="AZ98" i="10" l="1"/>
  <c r="BA98" i="10" s="1"/>
  <c r="T98" i="10" s="1"/>
  <c r="W184" i="10"/>
  <c r="W188" i="10"/>
  <c r="AX159" i="10"/>
  <c r="AX160" i="10"/>
  <c r="AX161" i="10"/>
  <c r="AX162" i="10"/>
  <c r="AX163" i="10"/>
  <c r="AW159" i="10"/>
  <c r="AW160" i="10"/>
  <c r="AW161" i="10"/>
  <c r="AW162" i="10"/>
  <c r="AW163" i="10"/>
  <c r="AV159" i="10"/>
  <c r="AS159" i="10"/>
  <c r="AS160" i="10"/>
  <c r="AS161" i="10"/>
  <c r="AS162" i="10"/>
  <c r="AS163" i="10"/>
  <c r="AR159" i="10"/>
  <c r="AR160" i="10"/>
  <c r="AR161" i="10"/>
  <c r="AR162" i="10"/>
  <c r="AR163" i="10"/>
  <c r="AQ159" i="10"/>
  <c r="AN159" i="10"/>
  <c r="AN160" i="10"/>
  <c r="AN161" i="10"/>
  <c r="AN162" i="10"/>
  <c r="AN163" i="10"/>
  <c r="AM159" i="10"/>
  <c r="AO159" i="10" s="1"/>
  <c r="AM160" i="10"/>
  <c r="AM161" i="10"/>
  <c r="AM162" i="10"/>
  <c r="AM163" i="10"/>
  <c r="AL159" i="10"/>
  <c r="AI159" i="10"/>
  <c r="AI160" i="10"/>
  <c r="AI161" i="10"/>
  <c r="AI162" i="10"/>
  <c r="AI163" i="10"/>
  <c r="AH159" i="10"/>
  <c r="AH160" i="10"/>
  <c r="AH161" i="10"/>
  <c r="AH162" i="10"/>
  <c r="AH163" i="10"/>
  <c r="AG159" i="10"/>
  <c r="AD159" i="10"/>
  <c r="AD160" i="10"/>
  <c r="AD161" i="10"/>
  <c r="AD162" i="10"/>
  <c r="AD163" i="10"/>
  <c r="AC159" i="10"/>
  <c r="AC160" i="10"/>
  <c r="AC161" i="10"/>
  <c r="AC162" i="10"/>
  <c r="AC163" i="10"/>
  <c r="AB159" i="10"/>
  <c r="Y159" i="10"/>
  <c r="Y160" i="10"/>
  <c r="Y161" i="10"/>
  <c r="Y162" i="10"/>
  <c r="Y163" i="10"/>
  <c r="X159" i="10"/>
  <c r="X160" i="10"/>
  <c r="X161" i="10"/>
  <c r="X162" i="10"/>
  <c r="X163" i="10"/>
  <c r="W159" i="10"/>
  <c r="R163" i="10"/>
  <c r="AV163" i="10" s="1"/>
  <c r="R161" i="10"/>
  <c r="AV161" i="10" s="1"/>
  <c r="R160" i="10"/>
  <c r="AQ160" i="10" s="1"/>
  <c r="R158" i="10"/>
  <c r="W158" i="10" s="1"/>
  <c r="Y138" i="10"/>
  <c r="Y139" i="10"/>
  <c r="Y140" i="10"/>
  <c r="Y141" i="10"/>
  <c r="Y142" i="10"/>
  <c r="Y143" i="10"/>
  <c r="Y144" i="10"/>
  <c r="X138" i="10"/>
  <c r="X139" i="10"/>
  <c r="X140" i="10"/>
  <c r="X141" i="10"/>
  <c r="X142" i="10"/>
  <c r="X143" i="10"/>
  <c r="X144" i="10"/>
  <c r="W141" i="10"/>
  <c r="W142" i="10"/>
  <c r="W144" i="10"/>
  <c r="R143" i="10"/>
  <c r="W143" i="10" s="1"/>
  <c r="R140" i="10"/>
  <c r="W140" i="10" s="1"/>
  <c r="R139" i="10"/>
  <c r="W139" i="10" s="1"/>
  <c r="R137" i="10"/>
  <c r="AX117" i="10"/>
  <c r="AX118" i="10"/>
  <c r="AX119" i="10"/>
  <c r="AX120" i="10"/>
  <c r="AX121" i="10"/>
  <c r="AX122" i="10"/>
  <c r="AX123" i="10"/>
  <c r="AW117" i="10"/>
  <c r="AW118" i="10"/>
  <c r="AW119" i="10"/>
  <c r="AW120" i="10"/>
  <c r="AW121" i="10"/>
  <c r="AW122" i="10"/>
  <c r="AW123" i="10"/>
  <c r="AV117" i="10"/>
  <c r="AV120" i="10"/>
  <c r="AS117" i="10"/>
  <c r="AS118" i="10"/>
  <c r="AS119" i="10"/>
  <c r="AS120" i="10"/>
  <c r="AS121" i="10"/>
  <c r="AS122" i="10"/>
  <c r="AS123" i="10"/>
  <c r="AR117" i="10"/>
  <c r="AR118" i="10"/>
  <c r="AR119" i="10"/>
  <c r="AR120" i="10"/>
  <c r="AR121" i="10"/>
  <c r="AR122" i="10"/>
  <c r="AR123" i="10"/>
  <c r="AQ117" i="10"/>
  <c r="AQ120" i="10"/>
  <c r="AN117" i="10"/>
  <c r="AN118" i="10"/>
  <c r="AN119" i="10"/>
  <c r="AN120" i="10"/>
  <c r="AN121" i="10"/>
  <c r="AN122" i="10"/>
  <c r="AN123" i="10"/>
  <c r="AM117" i="10"/>
  <c r="AM118" i="10"/>
  <c r="AM119" i="10"/>
  <c r="AM120" i="10"/>
  <c r="AM121" i="10"/>
  <c r="AM122" i="10"/>
  <c r="AM123" i="10"/>
  <c r="AL117" i="10"/>
  <c r="AL120" i="10"/>
  <c r="AI117" i="10"/>
  <c r="AI118" i="10"/>
  <c r="AI119" i="10"/>
  <c r="AI120" i="10"/>
  <c r="AI121" i="10"/>
  <c r="AI122" i="10"/>
  <c r="AI123" i="10"/>
  <c r="AH117" i="10"/>
  <c r="AH118" i="10"/>
  <c r="AH119" i="10"/>
  <c r="AH120" i="10"/>
  <c r="AH121" i="10"/>
  <c r="AH122" i="10"/>
  <c r="AH123" i="10"/>
  <c r="AG117" i="10"/>
  <c r="AG120" i="10"/>
  <c r="AD117" i="10"/>
  <c r="AD118" i="10"/>
  <c r="AD119" i="10"/>
  <c r="AD120" i="10"/>
  <c r="AD121" i="10"/>
  <c r="AD122" i="10"/>
  <c r="AD123" i="10"/>
  <c r="AC117" i="10"/>
  <c r="AC118" i="10"/>
  <c r="AC119" i="10"/>
  <c r="AC120" i="10"/>
  <c r="AC121" i="10"/>
  <c r="AC122" i="10"/>
  <c r="AC123" i="10"/>
  <c r="AB117" i="10"/>
  <c r="AB120" i="10"/>
  <c r="Y117" i="10"/>
  <c r="Y118" i="10"/>
  <c r="Y119" i="10"/>
  <c r="Y120" i="10"/>
  <c r="Y121" i="10"/>
  <c r="Y122" i="10"/>
  <c r="Y123" i="10"/>
  <c r="X117" i="10"/>
  <c r="X118" i="10"/>
  <c r="X119" i="10"/>
  <c r="X120" i="10"/>
  <c r="X121" i="10"/>
  <c r="X122" i="10"/>
  <c r="X123" i="10"/>
  <c r="W117" i="10"/>
  <c r="W120" i="10"/>
  <c r="R123" i="10"/>
  <c r="R122" i="10"/>
  <c r="AV122" i="10" s="1"/>
  <c r="R119" i="10"/>
  <c r="R118" i="10"/>
  <c r="AN82" i="10"/>
  <c r="AM82" i="10"/>
  <c r="R99" i="10"/>
  <c r="R95" i="10"/>
  <c r="R96" i="10"/>
  <c r="R94" i="10"/>
  <c r="R91" i="10"/>
  <c r="R92" i="10"/>
  <c r="R89" i="10"/>
  <c r="R90" i="10"/>
  <c r="R88" i="10"/>
  <c r="R83" i="10"/>
  <c r="R84" i="10"/>
  <c r="R82" i="10"/>
  <c r="AX60" i="10"/>
  <c r="AX61" i="10"/>
  <c r="AX62" i="10"/>
  <c r="AX63" i="10"/>
  <c r="AX64" i="10"/>
  <c r="AX65" i="10"/>
  <c r="AX66" i="10"/>
  <c r="AX56" i="10"/>
  <c r="AX57" i="10"/>
  <c r="AX58" i="10"/>
  <c r="AW60" i="10"/>
  <c r="AW61" i="10"/>
  <c r="AW62" i="10"/>
  <c r="AW63" i="10"/>
  <c r="AW64" i="10"/>
  <c r="AW65" i="10"/>
  <c r="AW66" i="10"/>
  <c r="AW56" i="10"/>
  <c r="AW57" i="10"/>
  <c r="AW58" i="10"/>
  <c r="AV66" i="10"/>
  <c r="AV67" i="10"/>
  <c r="AS60" i="10"/>
  <c r="AS61" i="10"/>
  <c r="AS62" i="10"/>
  <c r="AS63" i="10"/>
  <c r="AS64" i="10"/>
  <c r="AS65" i="10"/>
  <c r="AS66" i="10"/>
  <c r="AS56" i="10"/>
  <c r="AS57" i="10"/>
  <c r="AS58" i="10"/>
  <c r="AR60" i="10"/>
  <c r="AR61" i="10"/>
  <c r="AR62" i="10"/>
  <c r="AR63" i="10"/>
  <c r="AR64" i="10"/>
  <c r="AR65" i="10"/>
  <c r="AR66" i="10"/>
  <c r="AR56" i="10"/>
  <c r="AR57" i="10"/>
  <c r="AR58" i="10"/>
  <c r="AQ66" i="10"/>
  <c r="AN60" i="10"/>
  <c r="AN61" i="10"/>
  <c r="AN62" i="10"/>
  <c r="AN63" i="10"/>
  <c r="AN64" i="10"/>
  <c r="AN65" i="10"/>
  <c r="AN56" i="10"/>
  <c r="AN57" i="10"/>
  <c r="AN58" i="10"/>
  <c r="AM61" i="10"/>
  <c r="AM62" i="10"/>
  <c r="AM63" i="10"/>
  <c r="AM64" i="10"/>
  <c r="AM65" i="10"/>
  <c r="AM66" i="10"/>
  <c r="AM56" i="10"/>
  <c r="AM57" i="10"/>
  <c r="AM58" i="10"/>
  <c r="AM59" i="10"/>
  <c r="AL66" i="10"/>
  <c r="AL67" i="10"/>
  <c r="AI60" i="10"/>
  <c r="AI61" i="10"/>
  <c r="AI62" i="10"/>
  <c r="AI63" i="10"/>
  <c r="AI64" i="10"/>
  <c r="AI65" i="10"/>
  <c r="AI66" i="10"/>
  <c r="AI56" i="10"/>
  <c r="AI57" i="10"/>
  <c r="AI58" i="10"/>
  <c r="AH60" i="10"/>
  <c r="AH61" i="10"/>
  <c r="AH62" i="10"/>
  <c r="AH63" i="10"/>
  <c r="AH64" i="10"/>
  <c r="AH65" i="10"/>
  <c r="AH66" i="10"/>
  <c r="AH56" i="10"/>
  <c r="AH57" i="10"/>
  <c r="AH58" i="10"/>
  <c r="AG66" i="10"/>
  <c r="AD60" i="10"/>
  <c r="AD61" i="10"/>
  <c r="AD62" i="10"/>
  <c r="AD63" i="10"/>
  <c r="AD64" i="10"/>
  <c r="AD65" i="10"/>
  <c r="AD56" i="10"/>
  <c r="AD57" i="10"/>
  <c r="AD58" i="10"/>
  <c r="AC60" i="10"/>
  <c r="AC61" i="10"/>
  <c r="AC62" i="10"/>
  <c r="AC63" i="10"/>
  <c r="AC64" i="10"/>
  <c r="AC65" i="10"/>
  <c r="AC56" i="10"/>
  <c r="AC57" i="10"/>
  <c r="AC58" i="10"/>
  <c r="AB66" i="10"/>
  <c r="Y60" i="10"/>
  <c r="Y61" i="10"/>
  <c r="Y62" i="10"/>
  <c r="Y63" i="10"/>
  <c r="Y64" i="10"/>
  <c r="Y65" i="10"/>
  <c r="Y56" i="10"/>
  <c r="Y57" i="10"/>
  <c r="Y58" i="10"/>
  <c r="X60" i="10"/>
  <c r="X61" i="10"/>
  <c r="X62" i="10"/>
  <c r="X63" i="10"/>
  <c r="X64" i="10"/>
  <c r="X65" i="10"/>
  <c r="X66" i="10"/>
  <c r="X67" i="10"/>
  <c r="X56" i="10"/>
  <c r="X57" i="10"/>
  <c r="X58" i="10"/>
  <c r="W66" i="10"/>
  <c r="W67" i="10"/>
  <c r="R65" i="10"/>
  <c r="AL65" i="10" s="1"/>
  <c r="R64" i="10"/>
  <c r="R61" i="10"/>
  <c r="AL61" i="10" s="1"/>
  <c r="R62" i="10"/>
  <c r="R63" i="10"/>
  <c r="AB63" i="10" s="1"/>
  <c r="R60" i="10"/>
  <c r="R57" i="10"/>
  <c r="AG57" i="10" s="1"/>
  <c r="R58" i="10"/>
  <c r="R56" i="10"/>
  <c r="AL56" i="10" s="1"/>
  <c r="AV31" i="10"/>
  <c r="AV43" i="10"/>
  <c r="AD43" i="10"/>
  <c r="AC43" i="10"/>
  <c r="AB43" i="10"/>
  <c r="Y43" i="10"/>
  <c r="X43" i="10"/>
  <c r="W43" i="10"/>
  <c r="Q32" i="10"/>
  <c r="AM32" i="10" s="1"/>
  <c r="Q33" i="10"/>
  <c r="Q34" i="10"/>
  <c r="AC34" i="10" s="1"/>
  <c r="Q35" i="10"/>
  <c r="Q36" i="10"/>
  <c r="AH36" i="10" s="1"/>
  <c r="Q37" i="10"/>
  <c r="Q38" i="10"/>
  <c r="Q39" i="10"/>
  <c r="Q40" i="10"/>
  <c r="AX40" i="10" s="1"/>
  <c r="Q41" i="10"/>
  <c r="Q42" i="10"/>
  <c r="R42" i="10" s="1"/>
  <c r="Q31" i="10"/>
  <c r="AW31" i="10" s="1"/>
  <c r="W6" i="10"/>
  <c r="W11" i="10"/>
  <c r="W15" i="10"/>
  <c r="AB6" i="10"/>
  <c r="AB11" i="10"/>
  <c r="AB15" i="10"/>
  <c r="AG6" i="10"/>
  <c r="AG11" i="10"/>
  <c r="AG15" i="10"/>
  <c r="AL6" i="10"/>
  <c r="AL11" i="10"/>
  <c r="AL15" i="10"/>
  <c r="AQ6" i="10"/>
  <c r="AQ11" i="10"/>
  <c r="AQ15" i="10"/>
  <c r="AV6" i="10"/>
  <c r="AV11" i="10"/>
  <c r="AV15" i="10"/>
  <c r="Q5" i="10"/>
  <c r="Q6" i="10"/>
  <c r="Y6" i="10" s="1"/>
  <c r="Q7" i="10"/>
  <c r="Q8" i="10"/>
  <c r="AC8" i="10" s="1"/>
  <c r="Q9" i="10"/>
  <c r="Q10" i="10"/>
  <c r="AH10" i="10" s="1"/>
  <c r="Q11" i="10"/>
  <c r="Q12" i="10"/>
  <c r="AN12" i="10" s="1"/>
  <c r="Q13" i="10"/>
  <c r="Q14" i="10"/>
  <c r="Y14" i="10" s="1"/>
  <c r="Q15" i="10"/>
  <c r="Q4" i="10"/>
  <c r="AX4" i="10" s="1"/>
  <c r="AE159" i="10" l="1"/>
  <c r="AV160" i="10"/>
  <c r="AL160" i="10"/>
  <c r="AO160" i="10" s="1"/>
  <c r="AB160" i="10"/>
  <c r="AE160" i="10" s="1"/>
  <c r="AO61" i="10"/>
  <c r="AY159" i="10"/>
  <c r="AO65" i="10"/>
  <c r="Z159" i="10"/>
  <c r="AJ159" i="10"/>
  <c r="AT159" i="10"/>
  <c r="AY163" i="10"/>
  <c r="AY160" i="10"/>
  <c r="Z117" i="10"/>
  <c r="AE117" i="10"/>
  <c r="AJ117" i="10"/>
  <c r="AO117" i="10"/>
  <c r="AT117" i="10"/>
  <c r="AY117" i="10"/>
  <c r="Z142" i="10"/>
  <c r="W160" i="10"/>
  <c r="Z160" i="10" s="1"/>
  <c r="AG160" i="10"/>
  <c r="AJ160" i="10" s="1"/>
  <c r="AT160" i="10"/>
  <c r="AY161" i="10"/>
  <c r="AX6" i="10"/>
  <c r="AC42" i="10"/>
  <c r="AD32" i="10"/>
  <c r="AM40" i="10"/>
  <c r="AR36" i="10"/>
  <c r="AV56" i="10"/>
  <c r="AY56" i="10" s="1"/>
  <c r="AB84" i="10"/>
  <c r="AE84" i="10" s="1"/>
  <c r="AL84" i="10"/>
  <c r="AO84" i="10" s="1"/>
  <c r="AQ84" i="10"/>
  <c r="AT84" i="10" s="1"/>
  <c r="AV84" i="10"/>
  <c r="AY84" i="10" s="1"/>
  <c r="W84" i="10"/>
  <c r="Z84" i="10" s="1"/>
  <c r="AG84" i="10"/>
  <c r="AJ84" i="10" s="1"/>
  <c r="AB88" i="10"/>
  <c r="AE88" i="10" s="1"/>
  <c r="AL88" i="10"/>
  <c r="AO88" i="10" s="1"/>
  <c r="AQ88" i="10"/>
  <c r="AT88" i="10" s="1"/>
  <c r="AV88" i="10"/>
  <c r="AY88" i="10" s="1"/>
  <c r="W88" i="10"/>
  <c r="Z88" i="10" s="1"/>
  <c r="AG88" i="10"/>
  <c r="AJ88" i="10" s="1"/>
  <c r="W89" i="10"/>
  <c r="Z89" i="10" s="1"/>
  <c r="AG89" i="10"/>
  <c r="AJ89" i="10" s="1"/>
  <c r="AV89" i="10"/>
  <c r="AY89" i="10" s="1"/>
  <c r="AB89" i="10"/>
  <c r="AE89" i="10" s="1"/>
  <c r="AL89" i="10"/>
  <c r="AO89" i="10" s="1"/>
  <c r="AQ89" i="10"/>
  <c r="AT89" i="10" s="1"/>
  <c r="W91" i="10"/>
  <c r="Z91" i="10" s="1"/>
  <c r="AG91" i="10"/>
  <c r="AJ91" i="10" s="1"/>
  <c r="AB91" i="10"/>
  <c r="AE91" i="10" s="1"/>
  <c r="AL91" i="10"/>
  <c r="AO91" i="10" s="1"/>
  <c r="AQ91" i="10"/>
  <c r="AT91" i="10" s="1"/>
  <c r="AV91" i="10"/>
  <c r="AY91" i="10" s="1"/>
  <c r="AB96" i="10"/>
  <c r="AE96" i="10" s="1"/>
  <c r="AL96" i="10"/>
  <c r="AO96" i="10" s="1"/>
  <c r="AQ96" i="10"/>
  <c r="AT96" i="10" s="1"/>
  <c r="AV96" i="10"/>
  <c r="AY96" i="10" s="1"/>
  <c r="W96" i="10"/>
  <c r="Z96" i="10" s="1"/>
  <c r="AG96" i="10"/>
  <c r="AJ96" i="10" s="1"/>
  <c r="W99" i="10"/>
  <c r="Z99" i="10" s="1"/>
  <c r="AG99" i="10"/>
  <c r="AJ99" i="10" s="1"/>
  <c r="AB99" i="10"/>
  <c r="AE99" i="10" s="1"/>
  <c r="AL99" i="10"/>
  <c r="AO99" i="10" s="1"/>
  <c r="AQ99" i="10"/>
  <c r="AT99" i="10" s="1"/>
  <c r="AV99" i="10"/>
  <c r="AY99" i="10" s="1"/>
  <c r="AW12" i="10"/>
  <c r="AS8" i="10"/>
  <c r="AN8" i="10"/>
  <c r="AH14" i="10"/>
  <c r="Y40" i="10"/>
  <c r="AD40" i="10"/>
  <c r="W56" i="10"/>
  <c r="Z56" i="10" s="1"/>
  <c r="AB65" i="10"/>
  <c r="AE65" i="10" s="1"/>
  <c r="AB82" i="10"/>
  <c r="AE82" i="10" s="1"/>
  <c r="AL82" i="10"/>
  <c r="AO82" i="10" s="1"/>
  <c r="AQ82" i="10"/>
  <c r="AT82" i="10" s="1"/>
  <c r="AV82" i="10"/>
  <c r="AY82" i="10" s="1"/>
  <c r="W82" i="10"/>
  <c r="Z82" i="10" s="1"/>
  <c r="AG82" i="10"/>
  <c r="AJ82" i="10" s="1"/>
  <c r="W83" i="10"/>
  <c r="Z83" i="10" s="1"/>
  <c r="AG83" i="10"/>
  <c r="AJ83" i="10" s="1"/>
  <c r="AV83" i="10"/>
  <c r="AY83" i="10" s="1"/>
  <c r="AB83" i="10"/>
  <c r="AE83" i="10" s="1"/>
  <c r="AL83" i="10"/>
  <c r="AO83" i="10" s="1"/>
  <c r="AQ83" i="10"/>
  <c r="AT83" i="10" s="1"/>
  <c r="AB90" i="10"/>
  <c r="AE90" i="10" s="1"/>
  <c r="AL90" i="10"/>
  <c r="AO90" i="10" s="1"/>
  <c r="AQ90" i="10"/>
  <c r="AT90" i="10" s="1"/>
  <c r="AV90" i="10"/>
  <c r="AY90" i="10" s="1"/>
  <c r="W90" i="10"/>
  <c r="Z90" i="10" s="1"/>
  <c r="AG90" i="10"/>
  <c r="AJ90" i="10" s="1"/>
  <c r="AB92" i="10"/>
  <c r="AE92" i="10" s="1"/>
  <c r="AL92" i="10"/>
  <c r="AO92" i="10" s="1"/>
  <c r="AQ92" i="10"/>
  <c r="AT92" i="10" s="1"/>
  <c r="AV92" i="10"/>
  <c r="AY92" i="10" s="1"/>
  <c r="W92" i="10"/>
  <c r="Z92" i="10" s="1"/>
  <c r="AG92" i="10"/>
  <c r="AJ92" i="10" s="1"/>
  <c r="AB94" i="10"/>
  <c r="AE94" i="10" s="1"/>
  <c r="AL94" i="10"/>
  <c r="AO94" i="10" s="1"/>
  <c r="AQ94" i="10"/>
  <c r="AT94" i="10" s="1"/>
  <c r="AV94" i="10"/>
  <c r="AY94" i="10" s="1"/>
  <c r="W94" i="10"/>
  <c r="Z94" i="10" s="1"/>
  <c r="AG94" i="10"/>
  <c r="AJ94" i="10" s="1"/>
  <c r="W95" i="10"/>
  <c r="Z95" i="10" s="1"/>
  <c r="AG95" i="10"/>
  <c r="AJ95" i="10" s="1"/>
  <c r="AB95" i="10"/>
  <c r="AE95" i="10" s="1"/>
  <c r="AL95" i="10"/>
  <c r="AO95" i="10" s="1"/>
  <c r="AQ95" i="10"/>
  <c r="AT95" i="10" s="1"/>
  <c r="AV95" i="10"/>
  <c r="AY95" i="10" s="1"/>
  <c r="W122" i="10"/>
  <c r="Z122" i="10" s="1"/>
  <c r="AB122" i="10"/>
  <c r="AE122" i="10" s="1"/>
  <c r="AG122" i="10"/>
  <c r="AJ122" i="10" s="1"/>
  <c r="AL122" i="10"/>
  <c r="AO122" i="10" s="1"/>
  <c r="AQ122" i="10"/>
  <c r="AT122" i="10" s="1"/>
  <c r="Z144" i="10"/>
  <c r="W163" i="10"/>
  <c r="Z163" i="10" s="1"/>
  <c r="W161" i="10"/>
  <c r="Z161" i="10" s="1"/>
  <c r="AB163" i="10"/>
  <c r="AE163" i="10" s="1"/>
  <c r="AB161" i="10"/>
  <c r="AE161" i="10" s="1"/>
  <c r="AG163" i="10"/>
  <c r="AJ163" i="10" s="1"/>
  <c r="AG161" i="10"/>
  <c r="AJ161" i="10" s="1"/>
  <c r="AL163" i="10"/>
  <c r="AO163" i="10" s="1"/>
  <c r="AL161" i="10"/>
  <c r="AO161" i="10" s="1"/>
  <c r="AQ163" i="10"/>
  <c r="AT163" i="10" s="1"/>
  <c r="AQ161" i="10"/>
  <c r="AT161" i="10" s="1"/>
  <c r="AX14" i="10"/>
  <c r="AX10" i="10"/>
  <c r="AW8" i="10"/>
  <c r="AS12" i="10"/>
  <c r="AH6" i="10"/>
  <c r="AC12" i="10"/>
  <c r="Y10" i="10"/>
  <c r="AW42" i="10"/>
  <c r="AX42" i="10"/>
  <c r="AR42" i="10"/>
  <c r="AM42" i="10"/>
  <c r="AH42" i="10"/>
  <c r="AD42" i="10"/>
  <c r="Y42" i="10"/>
  <c r="AW40" i="10"/>
  <c r="AC40" i="10"/>
  <c r="AW38" i="10"/>
  <c r="AX38" i="10"/>
  <c r="AR38" i="10"/>
  <c r="AM38" i="10"/>
  <c r="AH38" i="10"/>
  <c r="AD38" i="10"/>
  <c r="Y38" i="10"/>
  <c r="AW36" i="10"/>
  <c r="AC36" i="10"/>
  <c r="AW34" i="10"/>
  <c r="AX34" i="10"/>
  <c r="AR34" i="10"/>
  <c r="AM34" i="10"/>
  <c r="AH34" i="10"/>
  <c r="AD34" i="10"/>
  <c r="X34" i="10"/>
  <c r="AW32" i="10"/>
  <c r="AC32" i="10"/>
  <c r="X32" i="10"/>
  <c r="R32" i="10"/>
  <c r="AB32" i="10" s="1"/>
  <c r="AX32" i="10"/>
  <c r="Y36" i="10"/>
  <c r="AC38" i="10"/>
  <c r="AE43" i="10"/>
  <c r="AD36" i="10"/>
  <c r="AH40" i="10"/>
  <c r="AH32" i="10"/>
  <c r="AM36" i="10"/>
  <c r="AR40" i="10"/>
  <c r="AR32" i="10"/>
  <c r="AX36" i="10"/>
  <c r="R12" i="10"/>
  <c r="AB12" i="10" s="1"/>
  <c r="AX8" i="10"/>
  <c r="AX12" i="10"/>
  <c r="AW14" i="10"/>
  <c r="AW10" i="10"/>
  <c r="AW6" i="10"/>
  <c r="AS14" i="10"/>
  <c r="AS10" i="10"/>
  <c r="AS6" i="10"/>
  <c r="Z66" i="10"/>
  <c r="AB56" i="10"/>
  <c r="AE56" i="10" s="1"/>
  <c r="AB61" i="10"/>
  <c r="AE61" i="10" s="1"/>
  <c r="AJ57" i="10"/>
  <c r="AJ66" i="10"/>
  <c r="AT66" i="10"/>
  <c r="AZ100" i="10"/>
  <c r="Y15" i="10"/>
  <c r="AC15" i="10"/>
  <c r="AH15" i="10"/>
  <c r="AN15" i="10"/>
  <c r="Y13" i="10"/>
  <c r="AC13" i="10"/>
  <c r="AH13" i="10"/>
  <c r="AN13" i="10"/>
  <c r="Y11" i="10"/>
  <c r="AC11" i="10"/>
  <c r="AH11" i="10"/>
  <c r="AN11" i="10"/>
  <c r="Y9" i="10"/>
  <c r="AC9" i="10"/>
  <c r="AH9" i="10"/>
  <c r="AN9" i="10"/>
  <c r="Y7" i="10"/>
  <c r="AC7" i="10"/>
  <c r="AH7" i="10"/>
  <c r="AN7" i="10"/>
  <c r="Y5" i="10"/>
  <c r="AC5" i="10"/>
  <c r="AH5" i="10"/>
  <c r="AN5" i="10"/>
  <c r="R5" i="10"/>
  <c r="R7" i="10"/>
  <c r="R9" i="10"/>
  <c r="R13" i="10"/>
  <c r="AX9" i="10"/>
  <c r="AR15" i="10"/>
  <c r="AR13" i="10"/>
  <c r="AR11" i="10"/>
  <c r="AR9" i="10"/>
  <c r="AR7" i="10"/>
  <c r="AR5" i="10"/>
  <c r="AM15" i="10"/>
  <c r="AM11" i="10"/>
  <c r="AM7" i="10"/>
  <c r="AI15" i="10"/>
  <c r="AI11" i="10"/>
  <c r="AI7" i="10"/>
  <c r="AD13" i="10"/>
  <c r="AD9" i="10"/>
  <c r="AD5" i="10"/>
  <c r="X13" i="10"/>
  <c r="X9" i="10"/>
  <c r="X5" i="10"/>
  <c r="AX41" i="10"/>
  <c r="AR41" i="10"/>
  <c r="AM41" i="10"/>
  <c r="AH41" i="10"/>
  <c r="AD41" i="10"/>
  <c r="AC41" i="10"/>
  <c r="Y41" i="10"/>
  <c r="R41" i="10"/>
  <c r="AX39" i="10"/>
  <c r="AR39" i="10"/>
  <c r="AM39" i="10"/>
  <c r="AH39" i="10"/>
  <c r="AD39" i="10"/>
  <c r="AC39" i="10"/>
  <c r="Y39" i="10"/>
  <c r="AX37" i="10"/>
  <c r="AR37" i="10"/>
  <c r="AM37" i="10"/>
  <c r="AH37" i="10"/>
  <c r="AD37" i="10"/>
  <c r="AC37" i="10"/>
  <c r="Y37" i="10"/>
  <c r="AX35" i="10"/>
  <c r="AR35" i="10"/>
  <c r="AM35" i="10"/>
  <c r="AH35" i="10"/>
  <c r="AD35" i="10"/>
  <c r="AC35" i="10"/>
  <c r="AX33" i="10"/>
  <c r="AR33" i="10"/>
  <c r="AM33" i="10"/>
  <c r="AH33" i="10"/>
  <c r="AD33" i="10"/>
  <c r="AC33" i="10"/>
  <c r="X33" i="10"/>
  <c r="R35" i="10"/>
  <c r="AQ42" i="10"/>
  <c r="AL42" i="10"/>
  <c r="AG42" i="10"/>
  <c r="W42" i="10"/>
  <c r="X41" i="10"/>
  <c r="X37" i="10"/>
  <c r="Y33" i="10"/>
  <c r="AI41" i="10"/>
  <c r="AI37" i="10"/>
  <c r="AI33" i="10"/>
  <c r="AN41" i="10"/>
  <c r="AN37" i="10"/>
  <c r="AN33" i="10"/>
  <c r="AS41" i="10"/>
  <c r="AS37" i="10"/>
  <c r="AS33" i="10"/>
  <c r="AW39" i="10"/>
  <c r="AW35" i="10"/>
  <c r="AL58" i="10"/>
  <c r="AO58" i="10" s="1"/>
  <c r="AV58" i="10"/>
  <c r="AY58" i="10" s="1"/>
  <c r="AG58" i="10"/>
  <c r="AJ58" i="10" s="1"/>
  <c r="AL60" i="10"/>
  <c r="AV60" i="10"/>
  <c r="AY60" i="10" s="1"/>
  <c r="AB60" i="10"/>
  <c r="AE60" i="10" s="1"/>
  <c r="AL62" i="10"/>
  <c r="AO62" i="10" s="1"/>
  <c r="AQ62" i="10"/>
  <c r="AT62" i="10" s="1"/>
  <c r="AB62" i="10"/>
  <c r="AE62" i="10" s="1"/>
  <c r="AL64" i="10"/>
  <c r="AO64" i="10" s="1"/>
  <c r="AV64" i="10"/>
  <c r="AY64" i="10" s="1"/>
  <c r="AB64" i="10"/>
  <c r="AE64" i="10" s="1"/>
  <c r="W58" i="10"/>
  <c r="Z58" i="10" s="1"/>
  <c r="W64" i="10"/>
  <c r="AG64" i="10"/>
  <c r="AJ64" i="10" s="1"/>
  <c r="AG60" i="10"/>
  <c r="AJ60" i="10" s="1"/>
  <c r="AQ64" i="10"/>
  <c r="AT64" i="10" s="1"/>
  <c r="X14" i="10"/>
  <c r="AD14" i="10"/>
  <c r="AI14" i="10"/>
  <c r="AM14" i="10"/>
  <c r="X12" i="10"/>
  <c r="AD12" i="10"/>
  <c r="AI12" i="10"/>
  <c r="AM12" i="10"/>
  <c r="X10" i="10"/>
  <c r="AD10" i="10"/>
  <c r="AI10" i="10"/>
  <c r="AM10" i="10"/>
  <c r="X8" i="10"/>
  <c r="AD8" i="10"/>
  <c r="AI8" i="10"/>
  <c r="AM8" i="10"/>
  <c r="X6" i="10"/>
  <c r="Z6" i="10" s="1"/>
  <c r="AD6" i="10"/>
  <c r="AI6" i="10"/>
  <c r="AM6" i="10"/>
  <c r="R4" i="10"/>
  <c r="R10" i="10"/>
  <c r="R8" i="10"/>
  <c r="R14" i="10"/>
  <c r="AX15" i="10"/>
  <c r="AX13" i="10"/>
  <c r="AX7" i="10"/>
  <c r="AX5" i="10"/>
  <c r="AX11" i="10"/>
  <c r="AW15" i="10"/>
  <c r="AW13" i="10"/>
  <c r="AW11" i="10"/>
  <c r="AW9" i="10"/>
  <c r="AW7" i="10"/>
  <c r="AS15" i="10"/>
  <c r="AS13" i="10"/>
  <c r="AS11" i="10"/>
  <c r="AS9" i="10"/>
  <c r="AS7" i="10"/>
  <c r="AS5" i="10"/>
  <c r="AR14" i="10"/>
  <c r="AR12" i="10"/>
  <c r="AR10" i="10"/>
  <c r="AR8" i="10"/>
  <c r="AR6" i="10"/>
  <c r="AN14" i="10"/>
  <c r="AN10" i="10"/>
  <c r="AN6" i="10"/>
  <c r="AM13" i="10"/>
  <c r="AM9" i="10"/>
  <c r="AM5" i="10"/>
  <c r="AI13" i="10"/>
  <c r="AI9" i="10"/>
  <c r="AI5" i="10"/>
  <c r="AH12" i="10"/>
  <c r="AH8" i="10"/>
  <c r="AD15" i="10"/>
  <c r="AD11" i="10"/>
  <c r="AD7" i="10"/>
  <c r="AC14" i="10"/>
  <c r="AC10" i="10"/>
  <c r="AC6" i="10"/>
  <c r="Y12" i="10"/>
  <c r="Y8" i="10"/>
  <c r="X15" i="10"/>
  <c r="X11" i="10"/>
  <c r="X7" i="10"/>
  <c r="R37" i="10"/>
  <c r="R33" i="10"/>
  <c r="X39" i="10"/>
  <c r="X35" i="10"/>
  <c r="Y35" i="10"/>
  <c r="AB42" i="10"/>
  <c r="AI39" i="10"/>
  <c r="AI35" i="10"/>
  <c r="AN39" i="10"/>
  <c r="AN35" i="10"/>
  <c r="AS39" i="10"/>
  <c r="AS35" i="10"/>
  <c r="AW41" i="10"/>
  <c r="AW37" i="10"/>
  <c r="AW33" i="10"/>
  <c r="AV42" i="10"/>
  <c r="W62" i="10"/>
  <c r="Z62" i="10" s="1"/>
  <c r="Z64" i="10"/>
  <c r="AB58" i="10"/>
  <c r="AE58" i="10" s="1"/>
  <c r="AE63" i="10"/>
  <c r="AG62" i="10"/>
  <c r="AJ62" i="10" s="1"/>
  <c r="AQ58" i="10"/>
  <c r="AT58" i="10" s="1"/>
  <c r="AQ60" i="10"/>
  <c r="AT60" i="10" s="1"/>
  <c r="AV62" i="10"/>
  <c r="AY62" i="10" s="1"/>
  <c r="AY66" i="10"/>
  <c r="AZ86" i="10"/>
  <c r="R38" i="10"/>
  <c r="R36" i="10"/>
  <c r="R34" i="10"/>
  <c r="R40" i="10"/>
  <c r="X42" i="10"/>
  <c r="X40" i="10"/>
  <c r="X38" i="10"/>
  <c r="X36" i="10"/>
  <c r="Y34" i="10"/>
  <c r="Y32" i="10"/>
  <c r="AI42" i="10"/>
  <c r="AI40" i="10"/>
  <c r="AI38" i="10"/>
  <c r="AI36" i="10"/>
  <c r="AI34" i="10"/>
  <c r="AI32" i="10"/>
  <c r="AN42" i="10"/>
  <c r="AN40" i="10"/>
  <c r="AN38" i="10"/>
  <c r="AN36" i="10"/>
  <c r="AN34" i="10"/>
  <c r="AN32" i="10"/>
  <c r="AS42" i="10"/>
  <c r="AS40" i="10"/>
  <c r="AS38" i="10"/>
  <c r="AS36" i="10"/>
  <c r="AS34" i="10"/>
  <c r="AS32" i="10"/>
  <c r="AV57" i="10"/>
  <c r="AY57" i="10" s="1"/>
  <c r="AQ57" i="10"/>
  <c r="AT57" i="10" s="1"/>
  <c r="AV63" i="10"/>
  <c r="AY63" i="10" s="1"/>
  <c r="AQ63" i="10"/>
  <c r="AT63" i="10" s="1"/>
  <c r="AV61" i="10"/>
  <c r="AY61" i="10" s="1"/>
  <c r="AQ61" i="10"/>
  <c r="AT61" i="10" s="1"/>
  <c r="AV65" i="10"/>
  <c r="AY65" i="10" s="1"/>
  <c r="AQ65" i="10"/>
  <c r="AT65" i="10" s="1"/>
  <c r="W57" i="10"/>
  <c r="Z57" i="10" s="1"/>
  <c r="W65" i="10"/>
  <c r="Z65" i="10" s="1"/>
  <c r="W63" i="10"/>
  <c r="Z63" i="10" s="1"/>
  <c r="W61" i="10"/>
  <c r="Z61" i="10" s="1"/>
  <c r="AB57" i="10"/>
  <c r="AE57" i="10" s="1"/>
  <c r="AG56" i="10"/>
  <c r="AJ56" i="10" s="1"/>
  <c r="AG65" i="10"/>
  <c r="AJ65" i="10" s="1"/>
  <c r="AG63" i="10"/>
  <c r="AJ63" i="10" s="1"/>
  <c r="AG61" i="10"/>
  <c r="AJ61" i="10" s="1"/>
  <c r="AL57" i="10"/>
  <c r="AO57" i="10" s="1"/>
  <c r="AL63" i="10"/>
  <c r="AO63" i="10" s="1"/>
  <c r="AO56" i="10"/>
  <c r="AQ56" i="10"/>
  <c r="AT56" i="10" s="1"/>
  <c r="AV118" i="10"/>
  <c r="AY118" i="10" s="1"/>
  <c r="AQ118" i="10"/>
  <c r="AT118" i="10" s="1"/>
  <c r="AL118" i="10"/>
  <c r="AO118" i="10" s="1"/>
  <c r="AG118" i="10"/>
  <c r="AJ118" i="10" s="1"/>
  <c r="AB118" i="10"/>
  <c r="AE118" i="10" s="1"/>
  <c r="W118" i="10"/>
  <c r="Z118" i="10" s="1"/>
  <c r="AV119" i="10"/>
  <c r="AY119" i="10" s="1"/>
  <c r="AQ119" i="10"/>
  <c r="AT119" i="10" s="1"/>
  <c r="AL119" i="10"/>
  <c r="AO119" i="10" s="1"/>
  <c r="AG119" i="10"/>
  <c r="AJ119" i="10" s="1"/>
  <c r="AB119" i="10"/>
  <c r="AE119" i="10" s="1"/>
  <c r="W119" i="10"/>
  <c r="Z119" i="10" s="1"/>
  <c r="AV123" i="10"/>
  <c r="AY123" i="10" s="1"/>
  <c r="AQ123" i="10"/>
  <c r="AT123" i="10" s="1"/>
  <c r="AL123" i="10"/>
  <c r="AO123" i="10" s="1"/>
  <c r="AG123" i="10"/>
  <c r="AJ123" i="10" s="1"/>
  <c r="AB123" i="10"/>
  <c r="AE123" i="10" s="1"/>
  <c r="W123" i="10"/>
  <c r="Z123" i="10" s="1"/>
  <c r="Z140" i="10"/>
  <c r="Z120" i="10"/>
  <c r="AE120" i="10"/>
  <c r="AJ120" i="10"/>
  <c r="AO120" i="10"/>
  <c r="AT120" i="10"/>
  <c r="AY122" i="10"/>
  <c r="AY120" i="10"/>
  <c r="Z143" i="10"/>
  <c r="Z141" i="10"/>
  <c r="Z139" i="10"/>
  <c r="AY6" i="10" l="1"/>
  <c r="AE11" i="10"/>
  <c r="W32" i="10"/>
  <c r="Z32" i="10" s="1"/>
  <c r="AZ159" i="10"/>
  <c r="AG32" i="10"/>
  <c r="AJ32" i="10" s="1"/>
  <c r="AL32" i="10"/>
  <c r="AO32" i="10" s="1"/>
  <c r="AE42" i="10"/>
  <c r="AO6" i="10"/>
  <c r="AV32" i="10"/>
  <c r="AY32" i="10" s="1"/>
  <c r="AQ32" i="10"/>
  <c r="AT32" i="10" s="1"/>
  <c r="Z42" i="10"/>
  <c r="AJ11" i="10"/>
  <c r="AE32" i="10"/>
  <c r="AV12" i="10"/>
  <c r="AY12" i="10" s="1"/>
  <c r="AZ117" i="10"/>
  <c r="BA117" i="10" s="1"/>
  <c r="AZ160" i="10"/>
  <c r="AZ163" i="10"/>
  <c r="AG12" i="10"/>
  <c r="AJ12" i="10" s="1"/>
  <c r="W12" i="10"/>
  <c r="Z12" i="10" s="1"/>
  <c r="AY42" i="10"/>
  <c r="AL12" i="10"/>
  <c r="AO12" i="10" s="1"/>
  <c r="AZ122" i="10"/>
  <c r="BA122" i="10" s="1"/>
  <c r="AJ6" i="10"/>
  <c r="AZ161" i="10"/>
  <c r="AE15" i="10"/>
  <c r="AT11" i="10"/>
  <c r="AT15" i="10"/>
  <c r="AT6" i="10"/>
  <c r="AZ89" i="10"/>
  <c r="AZ85" i="10"/>
  <c r="AZ94" i="10"/>
  <c r="AE12" i="10"/>
  <c r="Z11" i="10"/>
  <c r="AZ91" i="10"/>
  <c r="BA91" i="10" s="1"/>
  <c r="AZ99" i="10"/>
  <c r="BA99" i="10" s="1"/>
  <c r="T99" i="10" s="1"/>
  <c r="AZ96" i="10"/>
  <c r="BA96" i="10" s="1"/>
  <c r="T96" i="10" s="1"/>
  <c r="AZ63" i="10"/>
  <c r="AO42" i="10"/>
  <c r="AZ82" i="10"/>
  <c r="AZ87" i="10"/>
  <c r="AZ93" i="10"/>
  <c r="AZ95" i="10"/>
  <c r="AY11" i="10"/>
  <c r="AY15" i="10"/>
  <c r="AQ12" i="10"/>
  <c r="AT12" i="10" s="1"/>
  <c r="AZ88" i="10"/>
  <c r="AZ92" i="10"/>
  <c r="AZ90" i="10"/>
  <c r="AZ119" i="10"/>
  <c r="BA119" i="10" s="1"/>
  <c r="AZ83" i="10"/>
  <c r="AZ118" i="10"/>
  <c r="BA118" i="10" s="1"/>
  <c r="AQ40" i="10"/>
  <c r="AT40" i="10" s="1"/>
  <c r="AL40" i="10"/>
  <c r="AO40" i="10" s="1"/>
  <c r="AG40" i="10"/>
  <c r="AJ40" i="10" s="1"/>
  <c r="W40" i="10"/>
  <c r="Z40" i="10" s="1"/>
  <c r="AV40" i="10"/>
  <c r="AY40" i="10" s="1"/>
  <c r="AB40" i="10"/>
  <c r="AE40" i="10" s="1"/>
  <c r="AQ36" i="10"/>
  <c r="AT36" i="10" s="1"/>
  <c r="AL36" i="10"/>
  <c r="AO36" i="10" s="1"/>
  <c r="AG36" i="10"/>
  <c r="AJ36" i="10" s="1"/>
  <c r="W36" i="10"/>
  <c r="Z36" i="10" s="1"/>
  <c r="AV36" i="10"/>
  <c r="AY36" i="10" s="1"/>
  <c r="AB36" i="10"/>
  <c r="AE36" i="10" s="1"/>
  <c r="AV37" i="10"/>
  <c r="AY37" i="10" s="1"/>
  <c r="AB37" i="10"/>
  <c r="AE37" i="10" s="1"/>
  <c r="AQ37" i="10"/>
  <c r="AT37" i="10" s="1"/>
  <c r="AL37" i="10"/>
  <c r="AO37" i="10" s="1"/>
  <c r="AG37" i="10"/>
  <c r="AJ37" i="10" s="1"/>
  <c r="W37" i="10"/>
  <c r="Z37" i="10" s="1"/>
  <c r="AB8" i="10"/>
  <c r="AE8" i="10" s="1"/>
  <c r="AG8" i="10"/>
  <c r="AJ8" i="10" s="1"/>
  <c r="AQ8" i="10"/>
  <c r="AT8" i="10" s="1"/>
  <c r="AL8" i="10"/>
  <c r="AO8" i="10" s="1"/>
  <c r="W8" i="10"/>
  <c r="Z8" i="10" s="1"/>
  <c r="AV8" i="10"/>
  <c r="AY8" i="10" s="1"/>
  <c r="AZ123" i="10"/>
  <c r="BA123" i="10" s="1"/>
  <c r="AZ61" i="10"/>
  <c r="AZ65" i="10"/>
  <c r="BA65" i="10" s="1"/>
  <c r="AZ58" i="10"/>
  <c r="AZ64" i="10"/>
  <c r="BA64" i="10" s="1"/>
  <c r="W13" i="10"/>
  <c r="Z13" i="10" s="1"/>
  <c r="AL13" i="10"/>
  <c r="AO13" i="10" s="1"/>
  <c r="AB13" i="10"/>
  <c r="AE13" i="10" s="1"/>
  <c r="AV13" i="10"/>
  <c r="AY13" i="10" s="1"/>
  <c r="AG13" i="10"/>
  <c r="AJ13" i="10" s="1"/>
  <c r="AQ13" i="10"/>
  <c r="AT13" i="10" s="1"/>
  <c r="W9" i="10"/>
  <c r="Z9" i="10" s="1"/>
  <c r="AL9" i="10"/>
  <c r="AO9" i="10" s="1"/>
  <c r="AB9" i="10"/>
  <c r="AE9" i="10" s="1"/>
  <c r="AV9" i="10"/>
  <c r="AY9" i="10" s="1"/>
  <c r="AG9" i="10"/>
  <c r="AJ9" i="10" s="1"/>
  <c r="AQ9" i="10"/>
  <c r="AT9" i="10" s="1"/>
  <c r="W5" i="10"/>
  <c r="Z5" i="10" s="1"/>
  <c r="AL5" i="10"/>
  <c r="AO5" i="10" s="1"/>
  <c r="AG5" i="10"/>
  <c r="AJ5" i="10" s="1"/>
  <c r="AQ5" i="10"/>
  <c r="AT5" i="10" s="1"/>
  <c r="AV5" i="10"/>
  <c r="AB5" i="10"/>
  <c r="AE5" i="10" s="1"/>
  <c r="Z15" i="10"/>
  <c r="AZ120" i="10"/>
  <c r="BA120" i="10" s="1"/>
  <c r="AZ57" i="10"/>
  <c r="AT42" i="10"/>
  <c r="AJ42" i="10"/>
  <c r="AQ34" i="10"/>
  <c r="AT34" i="10" s="1"/>
  <c r="AL34" i="10"/>
  <c r="AO34" i="10" s="1"/>
  <c r="AG34" i="10"/>
  <c r="AJ34" i="10" s="1"/>
  <c r="W34" i="10"/>
  <c r="Z34" i="10" s="1"/>
  <c r="AV34" i="10"/>
  <c r="AY34" i="10" s="1"/>
  <c r="AB34" i="10"/>
  <c r="AE34" i="10" s="1"/>
  <c r="AQ38" i="10"/>
  <c r="AT38" i="10" s="1"/>
  <c r="AL38" i="10"/>
  <c r="AO38" i="10" s="1"/>
  <c r="AG38" i="10"/>
  <c r="AJ38" i="10" s="1"/>
  <c r="W38" i="10"/>
  <c r="Z38" i="10" s="1"/>
  <c r="AV38" i="10"/>
  <c r="AY38" i="10" s="1"/>
  <c r="AB38" i="10"/>
  <c r="AE38" i="10" s="1"/>
  <c r="AZ62" i="10"/>
  <c r="AV33" i="10"/>
  <c r="AY33" i="10" s="1"/>
  <c r="AB33" i="10"/>
  <c r="AE33" i="10" s="1"/>
  <c r="AQ33" i="10"/>
  <c r="AT33" i="10" s="1"/>
  <c r="AL33" i="10"/>
  <c r="AO33" i="10" s="1"/>
  <c r="AG33" i="10"/>
  <c r="AJ33" i="10" s="1"/>
  <c r="W33" i="10"/>
  <c r="Z33" i="10" s="1"/>
  <c r="AB14" i="10"/>
  <c r="AE14" i="10" s="1"/>
  <c r="AG14" i="10"/>
  <c r="AJ14" i="10" s="1"/>
  <c r="AQ14" i="10"/>
  <c r="AT14" i="10" s="1"/>
  <c r="AL14" i="10"/>
  <c r="AO14" i="10" s="1"/>
  <c r="W14" i="10"/>
  <c r="Z14" i="10" s="1"/>
  <c r="AV14" i="10"/>
  <c r="AY14" i="10" s="1"/>
  <c r="AB10" i="10"/>
  <c r="AE10" i="10" s="1"/>
  <c r="AG10" i="10"/>
  <c r="AJ10" i="10" s="1"/>
  <c r="AQ10" i="10"/>
  <c r="AT10" i="10" s="1"/>
  <c r="W10" i="10"/>
  <c r="Z10" i="10" s="1"/>
  <c r="AL10" i="10"/>
  <c r="AO10" i="10" s="1"/>
  <c r="AV10" i="10"/>
  <c r="AY10" i="10" s="1"/>
  <c r="AE6" i="10"/>
  <c r="AZ56" i="10"/>
  <c r="AV35" i="10"/>
  <c r="AY35" i="10" s="1"/>
  <c r="AB35" i="10"/>
  <c r="AE35" i="10" s="1"/>
  <c r="W35" i="10"/>
  <c r="Z35" i="10" s="1"/>
  <c r="AQ35" i="10"/>
  <c r="AT35" i="10" s="1"/>
  <c r="AL35" i="10"/>
  <c r="AO35" i="10" s="1"/>
  <c r="AG35" i="10"/>
  <c r="AJ35" i="10" s="1"/>
  <c r="AV41" i="10"/>
  <c r="AY41" i="10" s="1"/>
  <c r="AB41" i="10"/>
  <c r="AE41" i="10" s="1"/>
  <c r="AQ41" i="10"/>
  <c r="AT41" i="10" s="1"/>
  <c r="AL41" i="10"/>
  <c r="AO41" i="10" s="1"/>
  <c r="AG41" i="10"/>
  <c r="AJ41" i="10" s="1"/>
  <c r="W41" i="10"/>
  <c r="Z41" i="10" s="1"/>
  <c r="AJ15" i="10"/>
  <c r="W7" i="10"/>
  <c r="Z7" i="10" s="1"/>
  <c r="AL7" i="10"/>
  <c r="AO7" i="10" s="1"/>
  <c r="AG7" i="10"/>
  <c r="AJ7" i="10" s="1"/>
  <c r="AQ7" i="10"/>
  <c r="AT7" i="10" s="1"/>
  <c r="AV7" i="10"/>
  <c r="AY7" i="10" s="1"/>
  <c r="AB7" i="10"/>
  <c r="AE7" i="10" s="1"/>
  <c r="AO11" i="10"/>
  <c r="AO15" i="10"/>
  <c r="AZ84" i="10"/>
  <c r="AZ32" i="10" l="1"/>
  <c r="BA32" i="10" s="1"/>
  <c r="AZ11" i="10"/>
  <c r="BA11" i="10" s="1"/>
  <c r="AZ12" i="10"/>
  <c r="BA12" i="10" s="1"/>
  <c r="AZ6" i="10"/>
  <c r="BA6" i="10" s="1"/>
  <c r="AZ15" i="10"/>
  <c r="BA15" i="10" s="1"/>
  <c r="AZ42" i="10"/>
  <c r="BA42" i="10" s="1"/>
  <c r="AZ7" i="10"/>
  <c r="BA7" i="10" s="1"/>
  <c r="AZ41" i="10"/>
  <c r="BA41" i="10" s="1"/>
  <c r="AZ35" i="10"/>
  <c r="BA35" i="10" s="1"/>
  <c r="T35" i="10" s="1"/>
  <c r="AZ33" i="10"/>
  <c r="BA33" i="10" s="1"/>
  <c r="AZ9" i="10"/>
  <c r="BA9" i="10" s="1"/>
  <c r="AZ37" i="10"/>
  <c r="BA37" i="10" s="1"/>
  <c r="AZ13" i="10"/>
  <c r="BA13" i="10" s="1"/>
  <c r="AZ10" i="10"/>
  <c r="BA10" i="10" s="1"/>
  <c r="AZ14" i="10"/>
  <c r="BA14" i="10" s="1"/>
  <c r="AZ38" i="10"/>
  <c r="BA38" i="10" s="1"/>
  <c r="AZ34" i="10"/>
  <c r="BA34" i="10" s="1"/>
  <c r="AZ36" i="10"/>
  <c r="BA36" i="10" s="1"/>
  <c r="AZ40" i="10"/>
  <c r="BA40" i="10" s="1"/>
  <c r="T63" i="10" l="1"/>
  <c r="BA62" i="10"/>
  <c r="T62" i="10" s="1"/>
  <c r="G25" i="10" l="1"/>
  <c r="I25" i="10"/>
  <c r="K25" i="10"/>
  <c r="M25" i="10"/>
  <c r="O25" i="10"/>
  <c r="Q25" i="10"/>
  <c r="G51" i="10"/>
  <c r="I51" i="10"/>
  <c r="K51" i="10"/>
  <c r="M51" i="10"/>
  <c r="O51" i="10"/>
  <c r="Q51" i="10"/>
  <c r="E189" i="10"/>
  <c r="I189" i="10"/>
  <c r="G189" i="10"/>
  <c r="O164" i="10"/>
  <c r="M164" i="10"/>
  <c r="K164" i="10"/>
  <c r="I164" i="10"/>
  <c r="G164" i="10"/>
  <c r="O145" i="10"/>
  <c r="M145" i="10"/>
  <c r="K145" i="10"/>
  <c r="I145" i="10"/>
  <c r="G145" i="10"/>
  <c r="E145" i="10"/>
  <c r="E124" i="10"/>
  <c r="E16" i="10"/>
  <c r="E44" i="10"/>
  <c r="O101" i="10"/>
  <c r="Q109" i="10"/>
  <c r="M101" i="10"/>
  <c r="K101" i="10"/>
  <c r="I101" i="10"/>
  <c r="AI101" i="10" s="1"/>
  <c r="G101" i="10"/>
  <c r="O68" i="10"/>
  <c r="M68" i="10"/>
  <c r="K68" i="10"/>
  <c r="I68" i="10"/>
  <c r="G68" i="10"/>
  <c r="E68" i="10"/>
  <c r="U59" i="10"/>
  <c r="U60" i="10"/>
  <c r="U61" i="10"/>
  <c r="U62" i="10"/>
  <c r="U63" i="10"/>
  <c r="U64" i="10"/>
  <c r="U65" i="10"/>
  <c r="U66" i="10"/>
  <c r="BA56" i="10" l="1"/>
  <c r="BA86" i="10"/>
  <c r="V4" i="10" l="1"/>
  <c r="U4" i="10"/>
  <c r="S4" i="10"/>
  <c r="Q178" i="10" l="1"/>
  <c r="Q179" i="10"/>
  <c r="Q180" i="10"/>
  <c r="Q181" i="10"/>
  <c r="Q182" i="10"/>
  <c r="Q183" i="10"/>
  <c r="Q184" i="10"/>
  <c r="X184" i="10" s="1"/>
  <c r="Q185" i="10"/>
  <c r="Q186" i="10"/>
  <c r="Q187" i="10"/>
  <c r="X187" i="10" s="1"/>
  <c r="Q188" i="10"/>
  <c r="X188" i="10" s="1"/>
  <c r="Q177" i="10"/>
  <c r="R177" i="10" s="1"/>
  <c r="BA163" i="10"/>
  <c r="T163" i="10" s="1"/>
  <c r="R162" i="10"/>
  <c r="S144" i="10"/>
  <c r="U144" i="10"/>
  <c r="V144" i="10"/>
  <c r="AB144" i="10"/>
  <c r="AC144" i="10"/>
  <c r="AD144" i="10"/>
  <c r="AG144" i="10"/>
  <c r="AH144" i="10"/>
  <c r="AI144" i="10"/>
  <c r="AL144" i="10"/>
  <c r="AM144" i="10"/>
  <c r="AN144" i="10"/>
  <c r="AQ144" i="10"/>
  <c r="AR144" i="10"/>
  <c r="AS144" i="10"/>
  <c r="AV144" i="10"/>
  <c r="AW144" i="10"/>
  <c r="AX144" i="10"/>
  <c r="AY144" i="10" s="1"/>
  <c r="T120" i="10"/>
  <c r="BA88" i="10"/>
  <c r="BA61" i="10"/>
  <c r="BA58" i="10"/>
  <c r="AO144" i="10" l="1"/>
  <c r="AE144" i="10"/>
  <c r="AV162" i="10"/>
  <c r="AY162" i="10" s="1"/>
  <c r="AQ162" i="10"/>
  <c r="AT162" i="10" s="1"/>
  <c r="AL162" i="10"/>
  <c r="AO162" i="10" s="1"/>
  <c r="AG162" i="10"/>
  <c r="AJ162" i="10" s="1"/>
  <c r="AB162" i="10"/>
  <c r="AE162" i="10" s="1"/>
  <c r="W162" i="10"/>
  <c r="Z162" i="10" s="1"/>
  <c r="X185" i="10"/>
  <c r="R185" i="10"/>
  <c r="W185" i="10" s="1"/>
  <c r="X183" i="10"/>
  <c r="R183" i="10"/>
  <c r="W183" i="10" s="1"/>
  <c r="R181" i="10"/>
  <c r="W181" i="10" s="1"/>
  <c r="X181" i="10"/>
  <c r="R179" i="10"/>
  <c r="W179" i="10" s="1"/>
  <c r="X179" i="10"/>
  <c r="X186" i="10"/>
  <c r="R186" i="10"/>
  <c r="W186" i="10" s="1"/>
  <c r="R182" i="10"/>
  <c r="W182" i="10" s="1"/>
  <c r="X182" i="10"/>
  <c r="R180" i="10"/>
  <c r="W180" i="10" s="1"/>
  <c r="X180" i="10"/>
  <c r="R178" i="10"/>
  <c r="W178" i="10" s="1"/>
  <c r="X178" i="10"/>
  <c r="AT144" i="10"/>
  <c r="AJ144" i="10"/>
  <c r="BA57" i="10"/>
  <c r="AZ162" i="10" l="1"/>
  <c r="AZ144" i="10"/>
  <c r="BA144" i="10" s="1"/>
  <c r="T144" i="10" s="1"/>
  <c r="T236" i="10"/>
  <c r="T237" i="10"/>
  <c r="T238" i="10"/>
  <c r="T239" i="10"/>
  <c r="V5" i="10" l="1"/>
  <c r="S137" i="10" l="1"/>
  <c r="W137" i="10"/>
  <c r="U137" i="10"/>
  <c r="V137" i="10"/>
  <c r="X137" i="10"/>
  <c r="Y137" i="10"/>
  <c r="AC137" i="10"/>
  <c r="AD137" i="10"/>
  <c r="AH137" i="10"/>
  <c r="AI137" i="10"/>
  <c r="AM137" i="10"/>
  <c r="AN137" i="10"/>
  <c r="AR137" i="10"/>
  <c r="AS137" i="10"/>
  <c r="AW137" i="10"/>
  <c r="AX137" i="10"/>
  <c r="T64" i="10"/>
  <c r="V64" i="10"/>
  <c r="V62" i="10"/>
  <c r="S60" i="10"/>
  <c r="V60" i="10"/>
  <c r="W60" i="10"/>
  <c r="Z60" i="10" s="1"/>
  <c r="AM60" i="10"/>
  <c r="AO60" i="10" s="1"/>
  <c r="S62" i="10"/>
  <c r="S63" i="10"/>
  <c r="V63" i="10"/>
  <c r="S100" i="10"/>
  <c r="U100" i="10"/>
  <c r="V100" i="10"/>
  <c r="AZ60" i="10" l="1"/>
  <c r="Z137" i="10"/>
  <c r="AV137" i="10"/>
  <c r="AY137" i="10" s="1"/>
  <c r="AQ137" i="10"/>
  <c r="AT137" i="10" s="1"/>
  <c r="AL137" i="10"/>
  <c r="AO137" i="10" s="1"/>
  <c r="AG137" i="10"/>
  <c r="AJ137" i="10" s="1"/>
  <c r="AB137" i="10"/>
  <c r="AE137" i="10" s="1"/>
  <c r="R79" i="10"/>
  <c r="S15" i="10"/>
  <c r="T15" i="10"/>
  <c r="U15" i="10"/>
  <c r="V15" i="10"/>
  <c r="AZ137" i="10" l="1"/>
  <c r="BA100" i="10"/>
  <c r="T100" i="10" s="1"/>
  <c r="T60" i="10"/>
  <c r="BA137" i="10"/>
  <c r="T137" i="10" s="1"/>
  <c r="S185" i="10"/>
  <c r="U185" i="10"/>
  <c r="V185" i="10"/>
  <c r="Y185" i="10"/>
  <c r="AB185" i="10"/>
  <c r="AC185" i="10"/>
  <c r="AD185" i="10"/>
  <c r="AG185" i="10"/>
  <c r="AH185" i="10"/>
  <c r="AI185" i="10"/>
  <c r="AL185" i="10"/>
  <c r="AM185" i="10"/>
  <c r="AN185" i="10"/>
  <c r="AQ185" i="10"/>
  <c r="AR185" i="10"/>
  <c r="AS185" i="10"/>
  <c r="AV185" i="10"/>
  <c r="AW185" i="10"/>
  <c r="AX185" i="10"/>
  <c r="U181" i="10"/>
  <c r="V181" i="10"/>
  <c r="Y181" i="10"/>
  <c r="AB181" i="10"/>
  <c r="AC181" i="10"/>
  <c r="AD181" i="10"/>
  <c r="AG181" i="10"/>
  <c r="AH181" i="10"/>
  <c r="AI181" i="10"/>
  <c r="AL181" i="10"/>
  <c r="AM181" i="10"/>
  <c r="AN181" i="10"/>
  <c r="AQ181" i="10"/>
  <c r="AR181" i="10"/>
  <c r="AS181" i="10"/>
  <c r="AV181" i="10"/>
  <c r="AW181" i="10"/>
  <c r="AX181" i="10"/>
  <c r="S181" i="10"/>
  <c r="AT181" i="10" l="1"/>
  <c r="AJ181" i="10"/>
  <c r="Z181" i="10"/>
  <c r="AT185" i="10"/>
  <c r="AJ185" i="10"/>
  <c r="Z185" i="10"/>
  <c r="AY181" i="10"/>
  <c r="AO181" i="10"/>
  <c r="AE181" i="10"/>
  <c r="AY185" i="10"/>
  <c r="AO185" i="10"/>
  <c r="AE185" i="10"/>
  <c r="O189" i="10"/>
  <c r="M189" i="10"/>
  <c r="K189" i="10"/>
  <c r="AZ185" i="10" l="1"/>
  <c r="BA185" i="10" s="1"/>
  <c r="T185" i="10" s="1"/>
  <c r="AZ181" i="10"/>
  <c r="BA181" i="10" s="1"/>
  <c r="T181" i="10" s="1"/>
  <c r="G44" i="10"/>
  <c r="O16" i="10" l="1"/>
  <c r="M16" i="10"/>
  <c r="K16" i="10"/>
  <c r="I16" i="10"/>
  <c r="G16" i="10"/>
  <c r="AX182" i="10" l="1"/>
  <c r="AW182" i="10"/>
  <c r="AV182" i="10"/>
  <c r="AS182" i="10"/>
  <c r="AR182" i="10"/>
  <c r="AQ182" i="10"/>
  <c r="AN182" i="10"/>
  <c r="AM182" i="10"/>
  <c r="AL182" i="10"/>
  <c r="AI182" i="10"/>
  <c r="AH182" i="10"/>
  <c r="AG182" i="10"/>
  <c r="AD182" i="10"/>
  <c r="AC182" i="10"/>
  <c r="AB182" i="10"/>
  <c r="Y182" i="10"/>
  <c r="V182" i="10"/>
  <c r="U182" i="10"/>
  <c r="S182" i="10"/>
  <c r="V162" i="10"/>
  <c r="U162" i="10"/>
  <c r="S162" i="10"/>
  <c r="AV143" i="10"/>
  <c r="AQ143" i="10"/>
  <c r="AL143" i="10"/>
  <c r="AG143" i="10"/>
  <c r="AB143" i="10"/>
  <c r="V143" i="10"/>
  <c r="U143" i="10"/>
  <c r="S143" i="10"/>
  <c r="AX143" i="10"/>
  <c r="AX158" i="10"/>
  <c r="AW158" i="10"/>
  <c r="AV158" i="10"/>
  <c r="AS158" i="10"/>
  <c r="AR158" i="10"/>
  <c r="AQ158" i="10"/>
  <c r="AN158" i="10"/>
  <c r="AM158" i="10"/>
  <c r="AL158" i="10"/>
  <c r="AI158" i="10"/>
  <c r="AH158" i="10"/>
  <c r="AG158" i="10"/>
  <c r="AD158" i="10"/>
  <c r="AC158" i="10"/>
  <c r="AB158" i="10"/>
  <c r="Y158" i="10"/>
  <c r="X158" i="10"/>
  <c r="V158" i="10"/>
  <c r="U158" i="10"/>
  <c r="S158" i="10"/>
  <c r="AX139" i="10"/>
  <c r="AW139" i="10"/>
  <c r="AV139" i="10"/>
  <c r="AS139" i="10"/>
  <c r="AR139" i="10"/>
  <c r="AQ139" i="10"/>
  <c r="AN139" i="10"/>
  <c r="AM139" i="10"/>
  <c r="AL139" i="10"/>
  <c r="AI139" i="10"/>
  <c r="AH139" i="10"/>
  <c r="AG139" i="10"/>
  <c r="AD139" i="10"/>
  <c r="AC139" i="10"/>
  <c r="AB139" i="10"/>
  <c r="V139" i="10"/>
  <c r="U139" i="10"/>
  <c r="S139" i="10"/>
  <c r="V118" i="10"/>
  <c r="U118" i="10"/>
  <c r="S118" i="10"/>
  <c r="V122" i="10"/>
  <c r="U122" i="10"/>
  <c r="S122" i="10"/>
  <c r="V88" i="10"/>
  <c r="U88" i="10"/>
  <c r="T88" i="10"/>
  <c r="S88" i="10"/>
  <c r="V99" i="10"/>
  <c r="S99" i="10"/>
  <c r="V96" i="10"/>
  <c r="U96" i="10"/>
  <c r="S96" i="10"/>
  <c r="V91" i="10"/>
  <c r="U91" i="10"/>
  <c r="S91" i="10"/>
  <c r="V89" i="10"/>
  <c r="U89" i="10"/>
  <c r="S89" i="10"/>
  <c r="V84" i="10"/>
  <c r="U84" i="10"/>
  <c r="S84" i="10"/>
  <c r="V82" i="10"/>
  <c r="U82" i="10"/>
  <c r="S82" i="10"/>
  <c r="V66" i="10"/>
  <c r="T66" i="10"/>
  <c r="S66" i="10"/>
  <c r="T67" i="10"/>
  <c r="AX67" i="10"/>
  <c r="AW67" i="10"/>
  <c r="AS67" i="10"/>
  <c r="AR67" i="10"/>
  <c r="AQ67" i="10"/>
  <c r="AN67" i="10"/>
  <c r="AM67" i="10"/>
  <c r="AI67" i="10"/>
  <c r="AH67" i="10"/>
  <c r="AG67" i="10"/>
  <c r="AD67" i="10"/>
  <c r="AC67" i="10"/>
  <c r="AB67" i="10"/>
  <c r="Y67" i="10"/>
  <c r="V67" i="10"/>
  <c r="U67" i="10"/>
  <c r="S67" i="10"/>
  <c r="V36" i="10"/>
  <c r="U36" i="10"/>
  <c r="S36" i="10"/>
  <c r="V35" i="10"/>
  <c r="U35" i="10"/>
  <c r="S35" i="10"/>
  <c r="V40" i="10"/>
  <c r="U40" i="10"/>
  <c r="S40" i="10"/>
  <c r="T42" i="10"/>
  <c r="V42" i="10"/>
  <c r="U42" i="10"/>
  <c r="S42" i="10"/>
  <c r="V33" i="10"/>
  <c r="U33" i="10"/>
  <c r="S33" i="10"/>
  <c r="T41" i="10"/>
  <c r="V41" i="10"/>
  <c r="U41" i="10"/>
  <c r="S41" i="10"/>
  <c r="T37" i="10"/>
  <c r="V37" i="10"/>
  <c r="U37" i="10"/>
  <c r="S37" i="10"/>
  <c r="T12" i="10"/>
  <c r="V12" i="10"/>
  <c r="U12" i="10"/>
  <c r="S12" i="10"/>
  <c r="T10" i="10"/>
  <c r="V10" i="10"/>
  <c r="U10" i="10"/>
  <c r="S10" i="10"/>
  <c r="AE139" i="10" l="1"/>
  <c r="AO139" i="10"/>
  <c r="AY139" i="10"/>
  <c r="Z182" i="10"/>
  <c r="AJ182" i="10"/>
  <c r="AT182" i="10"/>
  <c r="AE182" i="10"/>
  <c r="AO182" i="10"/>
  <c r="AY182" i="10"/>
  <c r="AE158" i="10"/>
  <c r="AJ139" i="10"/>
  <c r="AT139" i="10"/>
  <c r="AT158" i="10"/>
  <c r="Z158" i="10"/>
  <c r="AJ158" i="10"/>
  <c r="AO158" i="10"/>
  <c r="AY158" i="10"/>
  <c r="AC143" i="10"/>
  <c r="AH143" i="10"/>
  <c r="AM143" i="10"/>
  <c r="AR143" i="10"/>
  <c r="AW143" i="10"/>
  <c r="AY143" i="10" s="1"/>
  <c r="AD143" i="10"/>
  <c r="AI143" i="10"/>
  <c r="AN143" i="10"/>
  <c r="AS143" i="10"/>
  <c r="AE67" i="10"/>
  <c r="AO67" i="10"/>
  <c r="AY67" i="10"/>
  <c r="Z67" i="10"/>
  <c r="AJ67" i="10"/>
  <c r="AT67" i="10"/>
  <c r="AZ182" i="10" l="1"/>
  <c r="BA182" i="10" s="1"/>
  <c r="T182" i="10" s="1"/>
  <c r="AZ158" i="10"/>
  <c r="BA158" i="10" s="1"/>
  <c r="T158" i="10" s="1"/>
  <c r="AT143" i="10"/>
  <c r="AJ143" i="10"/>
  <c r="AO143" i="10"/>
  <c r="AE143" i="10"/>
  <c r="AZ139" i="10"/>
  <c r="BA139" i="10" s="1"/>
  <c r="T139" i="10" s="1"/>
  <c r="BA162" i="10"/>
  <c r="T162" i="10" s="1"/>
  <c r="T118" i="10"/>
  <c r="T122" i="10"/>
  <c r="BA82" i="10"/>
  <c r="T82" i="10" s="1"/>
  <c r="T36" i="10"/>
  <c r="AZ67" i="10"/>
  <c r="T33" i="10"/>
  <c r="BA84" i="10"/>
  <c r="T84" i="10" s="1"/>
  <c r="T40" i="10"/>
  <c r="AZ143" i="10" l="1"/>
  <c r="BA143" i="10" s="1"/>
  <c r="T143" i="10" s="1"/>
  <c r="BA89" i="10"/>
  <c r="T89" i="10" s="1"/>
  <c r="O124" i="10"/>
  <c r="O44" i="10" l="1"/>
  <c r="M44" i="10"/>
  <c r="K44" i="10"/>
  <c r="I44" i="10"/>
  <c r="V238" i="10"/>
  <c r="U238" i="10"/>
  <c r="S238" i="10"/>
  <c r="Q238" i="10"/>
  <c r="AX238" i="10" s="1"/>
  <c r="V237" i="10"/>
  <c r="U237" i="10"/>
  <c r="S237" i="10"/>
  <c r="Q237" i="10"/>
  <c r="AX237" i="10" s="1"/>
  <c r="V236" i="10"/>
  <c r="U236" i="10"/>
  <c r="S236" i="10"/>
  <c r="Q236" i="10"/>
  <c r="AX236" i="10" s="1"/>
  <c r="X236" i="10" l="1"/>
  <c r="AH236" i="10"/>
  <c r="AR236" i="10"/>
  <c r="X237" i="10"/>
  <c r="AH237" i="10"/>
  <c r="AR237" i="10"/>
  <c r="X238" i="10"/>
  <c r="AH238" i="10"/>
  <c r="AR238" i="10"/>
  <c r="AV236" i="10"/>
  <c r="AC236" i="10"/>
  <c r="AM236" i="10"/>
  <c r="AW236" i="10"/>
  <c r="AV237" i="10"/>
  <c r="AC237" i="10"/>
  <c r="AM237" i="10"/>
  <c r="AW237" i="10"/>
  <c r="AV238" i="10"/>
  <c r="AC238" i="10"/>
  <c r="AM238" i="10"/>
  <c r="AW238" i="10"/>
  <c r="W236" i="10"/>
  <c r="Y236" i="10"/>
  <c r="AB236" i="10"/>
  <c r="AD236" i="10"/>
  <c r="AG236" i="10"/>
  <c r="AI236" i="10"/>
  <c r="AL236" i="10"/>
  <c r="AN236" i="10"/>
  <c r="AQ236" i="10"/>
  <c r="AS236" i="10"/>
  <c r="W237" i="10"/>
  <c r="Y237" i="10"/>
  <c r="AB237" i="10"/>
  <c r="AD237" i="10"/>
  <c r="AG237" i="10"/>
  <c r="AI237" i="10"/>
  <c r="AL237" i="10"/>
  <c r="AN237" i="10"/>
  <c r="AQ237" i="10"/>
  <c r="AS237" i="10"/>
  <c r="W238" i="10"/>
  <c r="Y238" i="10"/>
  <c r="AB238" i="10"/>
  <c r="AD238" i="10"/>
  <c r="AG238" i="10"/>
  <c r="AI238" i="10"/>
  <c r="AL238" i="10"/>
  <c r="AN238" i="10"/>
  <c r="AQ238" i="10"/>
  <c r="AS238" i="10"/>
  <c r="AY238" i="10" l="1"/>
  <c r="AY237" i="10"/>
  <c r="AY236" i="10"/>
  <c r="AT238" i="10"/>
  <c r="AO238" i="10"/>
  <c r="AJ238" i="10"/>
  <c r="AE238" i="10"/>
  <c r="Z238" i="10"/>
  <c r="AT237" i="10"/>
  <c r="AO237" i="10"/>
  <c r="AJ237" i="10"/>
  <c r="AE237" i="10"/>
  <c r="Z237" i="10"/>
  <c r="AT236" i="10"/>
  <c r="AO236" i="10"/>
  <c r="AJ236" i="10"/>
  <c r="AE236" i="10"/>
  <c r="Z236" i="10"/>
  <c r="AZ236" i="10" l="1"/>
  <c r="AZ237" i="10"/>
  <c r="AZ238" i="10"/>
  <c r="V180" i="10" l="1"/>
  <c r="U180" i="10"/>
  <c r="S180" i="10"/>
  <c r="V94" i="10"/>
  <c r="U94" i="10"/>
  <c r="S94" i="10"/>
  <c r="V8" i="10"/>
  <c r="U8" i="10"/>
  <c r="S8" i="10"/>
  <c r="AX184" i="10" l="1"/>
  <c r="AW184" i="10"/>
  <c r="AV184" i="10"/>
  <c r="AS184" i="10"/>
  <c r="AR184" i="10"/>
  <c r="AQ184" i="10"/>
  <c r="AN184" i="10"/>
  <c r="AM184" i="10"/>
  <c r="AL184" i="10"/>
  <c r="AI184" i="10"/>
  <c r="AH184" i="10"/>
  <c r="AG184" i="10"/>
  <c r="AD184" i="10"/>
  <c r="AC184" i="10"/>
  <c r="AB184" i="10"/>
  <c r="Y184" i="10"/>
  <c r="V184" i="10"/>
  <c r="U184" i="10"/>
  <c r="S184" i="10"/>
  <c r="V95" i="10"/>
  <c r="U95" i="10"/>
  <c r="S95" i="10"/>
  <c r="V85" i="10"/>
  <c r="U85" i="10"/>
  <c r="S85" i="10"/>
  <c r="T61" i="10"/>
  <c r="V61" i="10"/>
  <c r="S61" i="10"/>
  <c r="T43" i="10"/>
  <c r="S38" i="10"/>
  <c r="U38" i="10"/>
  <c r="V38" i="10"/>
  <c r="T38" i="10"/>
  <c r="AW4" i="10"/>
  <c r="AS4" i="10"/>
  <c r="AR4" i="10"/>
  <c r="AN4" i="10"/>
  <c r="AM4" i="10"/>
  <c r="AI4" i="10"/>
  <c r="AH4" i="10"/>
  <c r="AD4" i="10"/>
  <c r="AC4" i="10"/>
  <c r="Y4" i="10"/>
  <c r="X4" i="10"/>
  <c r="AV4" i="10"/>
  <c r="BA94" i="10" l="1"/>
  <c r="T94" i="10" s="1"/>
  <c r="AZ8" i="10"/>
  <c r="AE184" i="10"/>
  <c r="AO184" i="10"/>
  <c r="AY184" i="10"/>
  <c r="Z184" i="10"/>
  <c r="AJ184" i="10"/>
  <c r="AT184" i="10"/>
  <c r="W4" i="10"/>
  <c r="Z4" i="10" s="1"/>
  <c r="AG4" i="10"/>
  <c r="AJ4" i="10" s="1"/>
  <c r="AQ4" i="10"/>
  <c r="AT4" i="10" s="1"/>
  <c r="AB4" i="10"/>
  <c r="AE4" i="10" s="1"/>
  <c r="AL4" i="10"/>
  <c r="AO4" i="10" s="1"/>
  <c r="AY4" i="10"/>
  <c r="S161" i="10"/>
  <c r="U161" i="10"/>
  <c r="V161" i="10"/>
  <c r="S83" i="10"/>
  <c r="U83" i="10"/>
  <c r="V83" i="10"/>
  <c r="V14" i="10"/>
  <c r="U14" i="10"/>
  <c r="S14" i="10"/>
  <c r="S58" i="10"/>
  <c r="U58" i="10"/>
  <c r="V58" i="10"/>
  <c r="T58" i="10"/>
  <c r="AZ184" i="10" l="1"/>
  <c r="BA184" i="10" s="1"/>
  <c r="T184" i="10" s="1"/>
  <c r="AZ4" i="10"/>
  <c r="T4" i="10" s="1"/>
  <c r="BA8" i="10"/>
  <c r="T8" i="10" s="1"/>
  <c r="BA161" i="10" l="1"/>
  <c r="T161" i="10" s="1"/>
  <c r="BA95" i="10"/>
  <c r="T95" i="10" s="1"/>
  <c r="BA85" i="10"/>
  <c r="T85" i="10" s="1"/>
  <c r="C56" i="10"/>
  <c r="C57" i="10" s="1"/>
  <c r="C58" i="10" s="1"/>
  <c r="C59" i="10" s="1"/>
  <c r="C60" i="10" s="1"/>
  <c r="C61" i="10" s="1"/>
  <c r="C62" i="10" s="1"/>
  <c r="C63" i="10" s="1"/>
  <c r="C64" i="10" s="1"/>
  <c r="C65" i="10" s="1"/>
  <c r="C66" i="10" s="1"/>
  <c r="C67" i="10" s="1"/>
  <c r="BA83" i="10" l="1"/>
  <c r="T83" i="10" s="1"/>
  <c r="T14" i="10"/>
  <c r="S141" i="10"/>
  <c r="U141" i="10"/>
  <c r="V141" i="10"/>
  <c r="AB141" i="10"/>
  <c r="AC141" i="10"/>
  <c r="AD141" i="10"/>
  <c r="AG141" i="10"/>
  <c r="AH141" i="10"/>
  <c r="AI141" i="10"/>
  <c r="AL141" i="10"/>
  <c r="AM141" i="10"/>
  <c r="AN141" i="10"/>
  <c r="AQ141" i="10"/>
  <c r="AR141" i="10"/>
  <c r="AS141" i="10"/>
  <c r="AV141" i="10"/>
  <c r="AW141" i="10"/>
  <c r="AX141" i="10"/>
  <c r="S117" i="10"/>
  <c r="U117" i="10"/>
  <c r="V117" i="10"/>
  <c r="AX43" i="10"/>
  <c r="AW43" i="10"/>
  <c r="AS43" i="10"/>
  <c r="AR43" i="10"/>
  <c r="AQ43" i="10"/>
  <c r="AN43" i="10"/>
  <c r="AM43" i="10"/>
  <c r="AL43" i="10"/>
  <c r="AI43" i="10"/>
  <c r="AH43" i="10"/>
  <c r="AG43" i="10"/>
  <c r="V43" i="10"/>
  <c r="U43" i="10"/>
  <c r="S43" i="10"/>
  <c r="S92" i="10"/>
  <c r="U92" i="10"/>
  <c r="V92" i="10"/>
  <c r="AT141" i="10" l="1"/>
  <c r="AJ141" i="10"/>
  <c r="AY141" i="10"/>
  <c r="AO141" i="10"/>
  <c r="AE141" i="10"/>
  <c r="Z43" i="10"/>
  <c r="AJ43" i="10"/>
  <c r="AT43" i="10"/>
  <c r="AO43" i="10"/>
  <c r="AY43" i="10"/>
  <c r="AZ141" i="10" l="1"/>
  <c r="BA141" i="10" s="1"/>
  <c r="T141" i="10" s="1"/>
  <c r="BA92" i="10"/>
  <c r="T92" i="10" s="1"/>
  <c r="AZ43" i="10"/>
  <c r="I109" i="10"/>
  <c r="C159" i="10"/>
  <c r="C160" i="10" s="1"/>
  <c r="C161" i="10" s="1"/>
  <c r="C162" i="10" s="1"/>
  <c r="C163" i="10" s="1"/>
  <c r="T117" i="10" l="1"/>
  <c r="R73" i="10"/>
  <c r="R74" i="10"/>
  <c r="R21" i="10"/>
  <c r="R22" i="10"/>
  <c r="R23" i="10"/>
  <c r="R24" i="10"/>
  <c r="R49" i="10"/>
  <c r="R50" i="10"/>
  <c r="R48" i="10"/>
  <c r="S120" i="10" l="1"/>
  <c r="U120" i="10"/>
  <c r="V120" i="10"/>
  <c r="S56" i="10"/>
  <c r="U56" i="10"/>
  <c r="V56" i="10"/>
  <c r="T56" i="10"/>
  <c r="V160" i="10" l="1"/>
  <c r="U160" i="10"/>
  <c r="S160" i="10"/>
  <c r="S57" i="10" l="1"/>
  <c r="U57" i="10"/>
  <c r="V57" i="10"/>
  <c r="T57" i="10"/>
  <c r="S34" i="10" l="1"/>
  <c r="U34" i="10"/>
  <c r="V34" i="10"/>
  <c r="T34" i="10"/>
  <c r="T13" i="10" l="1"/>
  <c r="V13" i="10"/>
  <c r="U13" i="10"/>
  <c r="S13" i="10"/>
  <c r="V7" i="10" l="1"/>
  <c r="U7" i="10"/>
  <c r="S7" i="10"/>
  <c r="T7" i="10" l="1"/>
  <c r="V163" i="10" l="1"/>
  <c r="U163" i="10"/>
  <c r="S163" i="10"/>
  <c r="Q230" i="10" l="1"/>
  <c r="O230" i="10"/>
  <c r="M230" i="10"/>
  <c r="K230" i="10"/>
  <c r="I230" i="10"/>
  <c r="G230" i="10"/>
  <c r="G232" i="10" s="1"/>
  <c r="M124" i="10"/>
  <c r="K124" i="10"/>
  <c r="I124" i="10"/>
  <c r="G124" i="10"/>
  <c r="V123" i="10" l="1"/>
  <c r="U123" i="10"/>
  <c r="S123" i="10"/>
  <c r="V93" i="10"/>
  <c r="U93" i="10"/>
  <c r="S93" i="10"/>
  <c r="V90" i="10"/>
  <c r="U90" i="10"/>
  <c r="S90" i="10"/>
  <c r="BA93" i="10" l="1"/>
  <c r="T93" i="10" s="1"/>
  <c r="T123" i="10"/>
  <c r="T90" i="10" l="1"/>
  <c r="V97" i="10"/>
  <c r="U97" i="10"/>
  <c r="P249" i="10" l="1"/>
  <c r="F249" i="10"/>
  <c r="V239" i="10"/>
  <c r="U239" i="10"/>
  <c r="S239" i="10"/>
  <c r="Q239" i="10"/>
  <c r="AX239" i="10" s="1"/>
  <c r="AX235" i="10"/>
  <c r="AW235" i="10"/>
  <c r="AV235" i="10"/>
  <c r="AS235" i="10"/>
  <c r="AR235" i="10"/>
  <c r="AQ235" i="10"/>
  <c r="AN235" i="10"/>
  <c r="AM235" i="10"/>
  <c r="AL235" i="10"/>
  <c r="AI235" i="10"/>
  <c r="AH235" i="10"/>
  <c r="AG235" i="10"/>
  <c r="AD235" i="10"/>
  <c r="AC235" i="10"/>
  <c r="AB235" i="10"/>
  <c r="Y235" i="10"/>
  <c r="X235" i="10"/>
  <c r="W235" i="10"/>
  <c r="Q232" i="10"/>
  <c r="P230" i="10"/>
  <c r="O232" i="10"/>
  <c r="N230" i="10"/>
  <c r="M232" i="10"/>
  <c r="L230" i="10"/>
  <c r="K232" i="10"/>
  <c r="J230" i="10"/>
  <c r="I232" i="10"/>
  <c r="H230" i="10"/>
  <c r="E228" i="10"/>
  <c r="E227" i="10"/>
  <c r="E226" i="10"/>
  <c r="E225" i="10"/>
  <c r="E224" i="10"/>
  <c r="E223" i="10"/>
  <c r="E222" i="10"/>
  <c r="E221" i="10"/>
  <c r="E220" i="10"/>
  <c r="C218" i="10"/>
  <c r="O215" i="10"/>
  <c r="C217" i="10" s="1"/>
  <c r="M215" i="10"/>
  <c r="C216" i="10" s="1"/>
  <c r="K215" i="10"/>
  <c r="C215" i="10" s="1"/>
  <c r="I215" i="10"/>
  <c r="C214" i="10" s="1"/>
  <c r="G215" i="10"/>
  <c r="R214" i="10"/>
  <c r="T216" i="10" s="1"/>
  <c r="O210" i="10"/>
  <c r="B218" i="10" s="1"/>
  <c r="M210" i="10"/>
  <c r="B217" i="10" s="1"/>
  <c r="K210" i="10"/>
  <c r="B216" i="10" s="1"/>
  <c r="I210" i="10"/>
  <c r="B215" i="10" s="1"/>
  <c r="G210" i="10"/>
  <c r="B214" i="10" s="1"/>
  <c r="E210" i="10"/>
  <c r="B213" i="10" s="1"/>
  <c r="V209" i="10"/>
  <c r="U209" i="10"/>
  <c r="S209" i="10"/>
  <c r="Q209" i="10"/>
  <c r="X209" i="10" s="1"/>
  <c r="C209" i="10"/>
  <c r="R207" i="10"/>
  <c r="Q204" i="10"/>
  <c r="C199" i="10" s="1"/>
  <c r="O204" i="10"/>
  <c r="C198" i="10" s="1"/>
  <c r="M204" i="10"/>
  <c r="C195" i="10" s="1"/>
  <c r="K204" i="10"/>
  <c r="C194" i="10" s="1"/>
  <c r="I204" i="10"/>
  <c r="C193" i="10" s="1"/>
  <c r="G204" i="10"/>
  <c r="C192" i="10" s="1"/>
  <c r="R203" i="10"/>
  <c r="R202" i="10"/>
  <c r="R201" i="10"/>
  <c r="R200" i="10"/>
  <c r="R199" i="10"/>
  <c r="R198" i="10"/>
  <c r="R197" i="10"/>
  <c r="R196" i="10"/>
  <c r="R195" i="10"/>
  <c r="R194" i="10"/>
  <c r="R193" i="10"/>
  <c r="B199" i="10"/>
  <c r="B198" i="10"/>
  <c r="B195" i="10"/>
  <c r="B194" i="10"/>
  <c r="B193" i="10"/>
  <c r="B192" i="10"/>
  <c r="AV188" i="10"/>
  <c r="AQ188" i="10"/>
  <c r="AL188" i="10"/>
  <c r="AG188" i="10"/>
  <c r="AB188" i="10"/>
  <c r="V188" i="10"/>
  <c r="U188" i="10"/>
  <c r="S188" i="10"/>
  <c r="V187" i="10"/>
  <c r="U187" i="10"/>
  <c r="S187" i="10"/>
  <c r="AH187" i="10"/>
  <c r="AV186" i="10"/>
  <c r="AQ186" i="10"/>
  <c r="AL186" i="10"/>
  <c r="AG186" i="10"/>
  <c r="AB186" i="10"/>
  <c r="V186" i="10"/>
  <c r="U186" i="10"/>
  <c r="S186" i="10"/>
  <c r="AX183" i="10"/>
  <c r="AW183" i="10"/>
  <c r="AV183" i="10"/>
  <c r="AS183" i="10"/>
  <c r="AR183" i="10"/>
  <c r="AQ183" i="10"/>
  <c r="AN183" i="10"/>
  <c r="AM183" i="10"/>
  <c r="AL183" i="10"/>
  <c r="AI183" i="10"/>
  <c r="AH183" i="10"/>
  <c r="AG183" i="10"/>
  <c r="AD183" i="10"/>
  <c r="AC183" i="10"/>
  <c r="AB183" i="10"/>
  <c r="Y183" i="10"/>
  <c r="V183" i="10"/>
  <c r="U183" i="10"/>
  <c r="S183" i="10"/>
  <c r="AX179" i="10"/>
  <c r="AW179" i="10"/>
  <c r="AV179" i="10"/>
  <c r="AS179" i="10"/>
  <c r="AR179" i="10"/>
  <c r="AQ179" i="10"/>
  <c r="AN179" i="10"/>
  <c r="AM179" i="10"/>
  <c r="AL179" i="10"/>
  <c r="AI179" i="10"/>
  <c r="AH179" i="10"/>
  <c r="AG179" i="10"/>
  <c r="AD179" i="10"/>
  <c r="AC179" i="10"/>
  <c r="AB179" i="10"/>
  <c r="Y179" i="10"/>
  <c r="V179" i="10"/>
  <c r="U179" i="10"/>
  <c r="S179" i="10"/>
  <c r="AX178" i="10"/>
  <c r="AW178" i="10"/>
  <c r="AV178" i="10"/>
  <c r="AS178" i="10"/>
  <c r="AR178" i="10"/>
  <c r="AQ178" i="10"/>
  <c r="AN178" i="10"/>
  <c r="AM178" i="10"/>
  <c r="AL178" i="10"/>
  <c r="AI178" i="10"/>
  <c r="AH178" i="10"/>
  <c r="AG178" i="10"/>
  <c r="AD178" i="10"/>
  <c r="AC178" i="10"/>
  <c r="AB178" i="10"/>
  <c r="Y178" i="10"/>
  <c r="V178" i="10"/>
  <c r="U178" i="10"/>
  <c r="S178" i="10"/>
  <c r="AX177" i="10"/>
  <c r="AW177" i="10"/>
  <c r="AV177" i="10"/>
  <c r="AS177" i="10"/>
  <c r="AR177" i="10"/>
  <c r="AQ177" i="10"/>
  <c r="AN177" i="10"/>
  <c r="AM177" i="10"/>
  <c r="AL177" i="10"/>
  <c r="AI177" i="10"/>
  <c r="AH177" i="10"/>
  <c r="AG177" i="10"/>
  <c r="AD177" i="10"/>
  <c r="AC177" i="10"/>
  <c r="AB177" i="10"/>
  <c r="Y177" i="10"/>
  <c r="X177" i="10"/>
  <c r="W177" i="10"/>
  <c r="V177" i="10"/>
  <c r="U177" i="10"/>
  <c r="S177" i="10"/>
  <c r="C177" i="10"/>
  <c r="C178" i="10" s="1"/>
  <c r="C179" i="10" s="1"/>
  <c r="C180" i="10" s="1"/>
  <c r="C181" i="10" s="1"/>
  <c r="C182" i="10" s="1"/>
  <c r="C183" i="10" s="1"/>
  <c r="C184" i="10" s="1"/>
  <c r="C186" i="10" s="1"/>
  <c r="C187" i="10" s="1"/>
  <c r="C188" i="10" s="1"/>
  <c r="R175" i="10"/>
  <c r="Q171" i="10"/>
  <c r="C172" i="10" s="1"/>
  <c r="O171" i="10"/>
  <c r="C171" i="10" s="1"/>
  <c r="M171" i="10"/>
  <c r="C170" i="10" s="1"/>
  <c r="K171" i="10"/>
  <c r="C169" i="10" s="1"/>
  <c r="I171" i="10"/>
  <c r="C168" i="10" s="1"/>
  <c r="G171" i="10"/>
  <c r="C167" i="10" s="1"/>
  <c r="R170" i="10"/>
  <c r="R169" i="10"/>
  <c r="R168" i="10"/>
  <c r="B167" i="10"/>
  <c r="V159" i="10"/>
  <c r="U159" i="10"/>
  <c r="S159" i="10"/>
  <c r="R156" i="10"/>
  <c r="Q152" i="10"/>
  <c r="C153" i="10" s="1"/>
  <c r="O152" i="10"/>
  <c r="C152" i="10" s="1"/>
  <c r="M152" i="10"/>
  <c r="C151" i="10" s="1"/>
  <c r="K152" i="10"/>
  <c r="C150" i="10" s="1"/>
  <c r="I152" i="10"/>
  <c r="C149" i="10" s="1"/>
  <c r="G152" i="10"/>
  <c r="R151" i="10"/>
  <c r="R150" i="10"/>
  <c r="R149" i="10"/>
  <c r="B153" i="10"/>
  <c r="B152" i="10"/>
  <c r="B151" i="10"/>
  <c r="B150" i="10"/>
  <c r="B149" i="10"/>
  <c r="B148" i="10"/>
  <c r="V65" i="10"/>
  <c r="S65" i="10"/>
  <c r="AV142" i="10"/>
  <c r="AQ142" i="10"/>
  <c r="AL142" i="10"/>
  <c r="AG142" i="10"/>
  <c r="AB142" i="10"/>
  <c r="V142" i="10"/>
  <c r="U142" i="10"/>
  <c r="S142" i="10"/>
  <c r="AV140" i="10"/>
  <c r="AQ140" i="10"/>
  <c r="AL140" i="10"/>
  <c r="AG140" i="10"/>
  <c r="AB140" i="10"/>
  <c r="V140" i="10"/>
  <c r="U140" i="10"/>
  <c r="S140" i="10"/>
  <c r="AW140" i="10"/>
  <c r="V138" i="10"/>
  <c r="U138" i="10"/>
  <c r="S138" i="10"/>
  <c r="AX138" i="10"/>
  <c r="R135" i="10"/>
  <c r="Q131" i="10"/>
  <c r="C132" i="10" s="1"/>
  <c r="O131" i="10"/>
  <c r="C131" i="10" s="1"/>
  <c r="M131" i="10"/>
  <c r="C130" i="10" s="1"/>
  <c r="K131" i="10"/>
  <c r="C129" i="10" s="1"/>
  <c r="I131" i="10"/>
  <c r="C128" i="10" s="1"/>
  <c r="G131" i="10"/>
  <c r="R130" i="10"/>
  <c r="R129" i="10"/>
  <c r="R128" i="10"/>
  <c r="B132" i="10"/>
  <c r="B131" i="10"/>
  <c r="B130" i="10"/>
  <c r="B129" i="10"/>
  <c r="B128" i="10"/>
  <c r="B127" i="10"/>
  <c r="V121" i="10"/>
  <c r="U121" i="10"/>
  <c r="S121" i="10"/>
  <c r="R121" i="10"/>
  <c r="V119" i="10"/>
  <c r="U119" i="10"/>
  <c r="S119" i="10"/>
  <c r="AV116" i="10"/>
  <c r="AQ116" i="10"/>
  <c r="AL116" i="10"/>
  <c r="AG116" i="10"/>
  <c r="AB116" i="10"/>
  <c r="W116" i="10"/>
  <c r="V116" i="10"/>
  <c r="U116" i="10"/>
  <c r="S116" i="10"/>
  <c r="C116" i="10"/>
  <c r="C117" i="10" s="1"/>
  <c r="C118" i="10" s="1"/>
  <c r="C119" i="10" s="1"/>
  <c r="C120" i="10" s="1"/>
  <c r="C121" i="10" s="1"/>
  <c r="C122" i="10" s="1"/>
  <c r="C123" i="10" s="1"/>
  <c r="R114" i="10"/>
  <c r="C111" i="10"/>
  <c r="O109" i="10"/>
  <c r="C110" i="10" s="1"/>
  <c r="M109" i="10"/>
  <c r="C109" i="10" s="1"/>
  <c r="K109" i="10"/>
  <c r="C108" i="10" s="1"/>
  <c r="C105" i="10"/>
  <c r="G109" i="10"/>
  <c r="R108" i="10"/>
  <c r="R107" i="10"/>
  <c r="R106" i="10"/>
  <c r="R105" i="10"/>
  <c r="B111" i="10"/>
  <c r="B110" i="10"/>
  <c r="B109" i="10"/>
  <c r="B108" i="10"/>
  <c r="B105" i="10"/>
  <c r="B104" i="10"/>
  <c r="V87" i="10"/>
  <c r="U87" i="10"/>
  <c r="S87" i="10"/>
  <c r="V86" i="10"/>
  <c r="U86" i="10"/>
  <c r="T86" i="10"/>
  <c r="S86" i="10"/>
  <c r="AX81" i="10"/>
  <c r="AW81" i="10"/>
  <c r="AV81" i="10"/>
  <c r="AS81" i="10"/>
  <c r="AR81" i="10"/>
  <c r="AQ81" i="10"/>
  <c r="AN81" i="10"/>
  <c r="AM81" i="10"/>
  <c r="AL81" i="10"/>
  <c r="AI81" i="10"/>
  <c r="AH81" i="10"/>
  <c r="AG81" i="10"/>
  <c r="AD81" i="10"/>
  <c r="AC81" i="10"/>
  <c r="AB81" i="10"/>
  <c r="Y81" i="10"/>
  <c r="X81" i="10"/>
  <c r="W81" i="10"/>
  <c r="V81" i="10"/>
  <c r="U81" i="10"/>
  <c r="S81" i="10"/>
  <c r="C81" i="10"/>
  <c r="C82" i="10" s="1"/>
  <c r="C83" i="10" s="1"/>
  <c r="C84" i="10" s="1"/>
  <c r="C85" i="10" s="1"/>
  <c r="C86" i="10" s="1"/>
  <c r="C87" i="10" s="1"/>
  <c r="C88" i="10" s="1"/>
  <c r="C89" i="10" s="1"/>
  <c r="C90" i="10" s="1"/>
  <c r="C91" i="10" s="1"/>
  <c r="C92" i="10" s="1"/>
  <c r="C93" i="10" s="1"/>
  <c r="C94" i="10" s="1"/>
  <c r="C95" i="10" s="1"/>
  <c r="C96" i="10" s="1"/>
  <c r="C97" i="10" s="1"/>
  <c r="C98" i="10" s="1"/>
  <c r="C99" i="10" s="1"/>
  <c r="C100" i="10" s="1"/>
  <c r="Q75" i="10"/>
  <c r="C76" i="10" s="1"/>
  <c r="O75" i="10"/>
  <c r="C75" i="10" s="1"/>
  <c r="M75" i="10"/>
  <c r="C74" i="10" s="1"/>
  <c r="K75" i="10"/>
  <c r="C73" i="10" s="1"/>
  <c r="I75" i="10"/>
  <c r="C72" i="10" s="1"/>
  <c r="G75" i="10"/>
  <c r="R72" i="10"/>
  <c r="V59" i="10"/>
  <c r="S59" i="10"/>
  <c r="AW59" i="10"/>
  <c r="R54" i="10"/>
  <c r="C52" i="10"/>
  <c r="C51" i="10"/>
  <c r="C50" i="10"/>
  <c r="C49" i="10"/>
  <c r="C48" i="10"/>
  <c r="B52" i="10"/>
  <c r="B51" i="10"/>
  <c r="B50" i="10"/>
  <c r="B49" i="10"/>
  <c r="B48" i="10"/>
  <c r="B47" i="10"/>
  <c r="V39" i="10"/>
  <c r="U39" i="10"/>
  <c r="S39" i="10"/>
  <c r="T32" i="10"/>
  <c r="V32" i="10"/>
  <c r="U32" i="10"/>
  <c r="S32" i="10"/>
  <c r="AQ31" i="10"/>
  <c r="AL31" i="10"/>
  <c r="AG31" i="10"/>
  <c r="AB31" i="10"/>
  <c r="W31" i="10"/>
  <c r="V31" i="10"/>
  <c r="U31" i="10"/>
  <c r="S31" i="10"/>
  <c r="C31" i="10"/>
  <c r="C32" i="10" s="1"/>
  <c r="C33" i="10" s="1"/>
  <c r="C34" i="10" s="1"/>
  <c r="C35" i="10" s="1"/>
  <c r="C36" i="10" s="1"/>
  <c r="C37" i="10" s="1"/>
  <c r="C38" i="10" s="1"/>
  <c r="C39" i="10" s="1"/>
  <c r="C43" i="10" s="1"/>
  <c r="C41" i="10" s="1"/>
  <c r="C42" i="10" s="1"/>
  <c r="C40" i="10" s="1"/>
  <c r="R29" i="10"/>
  <c r="C24" i="10"/>
  <c r="C23" i="10"/>
  <c r="C22" i="10"/>
  <c r="C21" i="10"/>
  <c r="C20" i="10"/>
  <c r="R20" i="10"/>
  <c r="B24" i="10"/>
  <c r="B23" i="10"/>
  <c r="B22" i="10"/>
  <c r="B21" i="10"/>
  <c r="B20" i="10"/>
  <c r="B19" i="10"/>
  <c r="V11" i="10"/>
  <c r="U11" i="10"/>
  <c r="S11" i="10"/>
  <c r="V9" i="10"/>
  <c r="U9" i="10"/>
  <c r="T9" i="10"/>
  <c r="S9" i="10"/>
  <c r="V6" i="10"/>
  <c r="U6" i="10"/>
  <c r="S6" i="10"/>
  <c r="AW5" i="10"/>
  <c r="AY5" i="10" s="1"/>
  <c r="AZ5" i="10" s="1"/>
  <c r="BA5" i="10" s="1"/>
  <c r="T5" i="10" s="1"/>
  <c r="U5" i="10"/>
  <c r="S5" i="10"/>
  <c r="BR3" i="10"/>
  <c r="D20" i="10" l="1"/>
  <c r="AV121" i="10"/>
  <c r="AY121" i="10" s="1"/>
  <c r="AQ121" i="10"/>
  <c r="AT121" i="10" s="1"/>
  <c r="AL121" i="10"/>
  <c r="AO121" i="10" s="1"/>
  <c r="AG121" i="10"/>
  <c r="AJ121" i="10" s="1"/>
  <c r="AB121" i="10"/>
  <c r="AE121" i="10" s="1"/>
  <c r="W121" i="10"/>
  <c r="Z121" i="10" s="1"/>
  <c r="R109" i="10"/>
  <c r="C127" i="10"/>
  <c r="D127" i="10" s="1"/>
  <c r="R131" i="10"/>
  <c r="AW180" i="10"/>
  <c r="AS180" i="10"/>
  <c r="AM180" i="10"/>
  <c r="AI180" i="10"/>
  <c r="AC180" i="10"/>
  <c r="Y180" i="10"/>
  <c r="AX180" i="10"/>
  <c r="AR180" i="10"/>
  <c r="AN180" i="10"/>
  <c r="AH180" i="10"/>
  <c r="AD180" i="10"/>
  <c r="R152" i="10"/>
  <c r="C104" i="10"/>
  <c r="D104" i="10" s="1"/>
  <c r="D23" i="10"/>
  <c r="R25" i="10"/>
  <c r="B168" i="10"/>
  <c r="D168" i="10" s="1"/>
  <c r="B169" i="10"/>
  <c r="D169" i="10" s="1"/>
  <c r="B171" i="10"/>
  <c r="D171" i="10" s="1"/>
  <c r="D24" i="10"/>
  <c r="B170" i="10"/>
  <c r="D170" i="10" s="1"/>
  <c r="B172" i="10"/>
  <c r="D172" i="10" s="1"/>
  <c r="C47" i="10"/>
  <c r="D47" i="10" s="1"/>
  <c r="R51" i="10"/>
  <c r="C71" i="10"/>
  <c r="R75" i="10"/>
  <c r="C19" i="10"/>
  <c r="D19" i="10" s="1"/>
  <c r="T172" i="10"/>
  <c r="R39" i="10"/>
  <c r="D109" i="10"/>
  <c r="D167" i="10"/>
  <c r="D195" i="10"/>
  <c r="D153" i="10"/>
  <c r="D214" i="10"/>
  <c r="D216" i="10"/>
  <c r="D218" i="10"/>
  <c r="AE183" i="10"/>
  <c r="AO183" i="10"/>
  <c r="AY183" i="10"/>
  <c r="AV239" i="10"/>
  <c r="D149" i="10"/>
  <c r="D151" i="10"/>
  <c r="AM239" i="10"/>
  <c r="AM31" i="10"/>
  <c r="D21" i="10"/>
  <c r="AH138" i="10"/>
  <c r="D49" i="10"/>
  <c r="Z81" i="10"/>
  <c r="AJ81" i="10"/>
  <c r="AT81" i="10"/>
  <c r="D130" i="10"/>
  <c r="D132" i="10"/>
  <c r="R138" i="10"/>
  <c r="AR138" i="10"/>
  <c r="AE177" i="10"/>
  <c r="AO177" i="10"/>
  <c r="AY177" i="10"/>
  <c r="Z178" i="10"/>
  <c r="AJ178" i="10"/>
  <c r="AT178" i="10"/>
  <c r="D192" i="10"/>
  <c r="D194" i="10"/>
  <c r="D198" i="10"/>
  <c r="R209" i="10"/>
  <c r="AQ209" i="10" s="1"/>
  <c r="D217" i="10"/>
  <c r="AC239" i="10"/>
  <c r="AW239" i="10"/>
  <c r="T153" i="10"/>
  <c r="D128" i="10"/>
  <c r="T132" i="10"/>
  <c r="T76" i="10"/>
  <c r="D52" i="10"/>
  <c r="D50" i="10"/>
  <c r="D48" i="10"/>
  <c r="AD140" i="10"/>
  <c r="AI140" i="10"/>
  <c r="AN140" i="10"/>
  <c r="AS140" i="10"/>
  <c r="AX140" i="10"/>
  <c r="AY140" i="10" s="1"/>
  <c r="D51" i="10"/>
  <c r="D150" i="10"/>
  <c r="C148" i="10"/>
  <c r="D148" i="10" s="1"/>
  <c r="E230" i="10"/>
  <c r="E232" i="10"/>
  <c r="AC31" i="10"/>
  <c r="T52" i="10"/>
  <c r="AE81" i="10"/>
  <c r="AO81" i="10"/>
  <c r="AY81" i="10"/>
  <c r="D105" i="10"/>
  <c r="D111" i="10"/>
  <c r="T110" i="10"/>
  <c r="AC138" i="10"/>
  <c r="AM138" i="10"/>
  <c r="AW138" i="10"/>
  <c r="AW142" i="10"/>
  <c r="AX142" i="10"/>
  <c r="AS142" i="10"/>
  <c r="AN142" i="10"/>
  <c r="AI142" i="10"/>
  <c r="AD142" i="10"/>
  <c r="D152" i="10"/>
  <c r="AW186" i="10"/>
  <c r="AX186" i="10"/>
  <c r="AS186" i="10"/>
  <c r="AN186" i="10"/>
  <c r="AI186" i="10"/>
  <c r="AD186" i="10"/>
  <c r="Y186" i="10"/>
  <c r="AX187" i="10"/>
  <c r="AW187" i="10"/>
  <c r="AM187" i="10"/>
  <c r="AC187" i="10"/>
  <c r="R187" i="10"/>
  <c r="AR187" i="10"/>
  <c r="Z177" i="10"/>
  <c r="AJ177" i="10"/>
  <c r="AT177" i="10"/>
  <c r="AE178" i="10"/>
  <c r="AO178" i="10"/>
  <c r="AY178" i="10"/>
  <c r="Z183" i="10"/>
  <c r="AJ183" i="10"/>
  <c r="AT183" i="10"/>
  <c r="D193" i="10"/>
  <c r="D199" i="10"/>
  <c r="R204" i="10"/>
  <c r="X239" i="10"/>
  <c r="AH239" i="10"/>
  <c r="AR239" i="10"/>
  <c r="D22" i="10"/>
  <c r="AX31" i="10"/>
  <c r="AS31" i="10"/>
  <c r="AN31" i="10"/>
  <c r="AI31" i="10"/>
  <c r="AD31" i="10"/>
  <c r="Y31" i="10"/>
  <c r="X31" i="10"/>
  <c r="AH31" i="10"/>
  <c r="AR31" i="10"/>
  <c r="Y59" i="10"/>
  <c r="AD59" i="10"/>
  <c r="AI59" i="10"/>
  <c r="AN59" i="10"/>
  <c r="AS59" i="10"/>
  <c r="AX59" i="10"/>
  <c r="R97" i="10"/>
  <c r="AX116" i="10"/>
  <c r="AS116" i="10"/>
  <c r="AN116" i="10"/>
  <c r="AI116" i="10"/>
  <c r="AD116" i="10"/>
  <c r="Y116" i="10"/>
  <c r="X116" i="10"/>
  <c r="AH116" i="10"/>
  <c r="AR116" i="10"/>
  <c r="R215" i="10"/>
  <c r="C213" i="10"/>
  <c r="D213" i="10" s="1"/>
  <c r="R59" i="10"/>
  <c r="X59" i="10"/>
  <c r="AC59" i="10"/>
  <c r="AH59" i="10"/>
  <c r="AR59" i="10"/>
  <c r="D108" i="10"/>
  <c r="D110" i="10"/>
  <c r="AC116" i="10"/>
  <c r="AM116" i="10"/>
  <c r="AW116" i="10"/>
  <c r="D129" i="10"/>
  <c r="D131" i="10"/>
  <c r="Z179" i="10"/>
  <c r="AJ179" i="10"/>
  <c r="AT179" i="10"/>
  <c r="AX188" i="10"/>
  <c r="AS188" i="10"/>
  <c r="AN188" i="10"/>
  <c r="AI188" i="10"/>
  <c r="AD188" i="10"/>
  <c r="Y188" i="10"/>
  <c r="AW188" i="10"/>
  <c r="AM188" i="10"/>
  <c r="AC188" i="10"/>
  <c r="AH188" i="10"/>
  <c r="AR188" i="10"/>
  <c r="Z235" i="10"/>
  <c r="AJ235" i="10"/>
  <c r="AT235" i="10"/>
  <c r="AD138" i="10"/>
  <c r="AI138" i="10"/>
  <c r="AN138" i="10"/>
  <c r="AS138" i="10"/>
  <c r="AC140" i="10"/>
  <c r="AH140" i="10"/>
  <c r="AM140" i="10"/>
  <c r="AR140" i="10"/>
  <c r="AC142" i="10"/>
  <c r="AH142" i="10"/>
  <c r="AM142" i="10"/>
  <c r="AR142" i="10"/>
  <c r="R171" i="10"/>
  <c r="AE179" i="10"/>
  <c r="AO179" i="10"/>
  <c r="AY179" i="10"/>
  <c r="AC186" i="10"/>
  <c r="AH186" i="10"/>
  <c r="AM186" i="10"/>
  <c r="AR186" i="10"/>
  <c r="Y187" i="10"/>
  <c r="AD187" i="10"/>
  <c r="AI187" i="10"/>
  <c r="AN187" i="10"/>
  <c r="AS187" i="10"/>
  <c r="AW209" i="10"/>
  <c r="AR209" i="10"/>
  <c r="AM209" i="10"/>
  <c r="AH209" i="10"/>
  <c r="AC209" i="10"/>
  <c r="Y209" i="10"/>
  <c r="AD209" i="10"/>
  <c r="AI209" i="10"/>
  <c r="AN209" i="10"/>
  <c r="AS209" i="10"/>
  <c r="AX209" i="10"/>
  <c r="D215" i="10"/>
  <c r="AE235" i="10"/>
  <c r="AO235" i="10"/>
  <c r="AY235" i="10"/>
  <c r="Y239" i="10"/>
  <c r="AD239" i="10"/>
  <c r="AI239" i="10"/>
  <c r="AN239" i="10"/>
  <c r="AS239" i="10"/>
  <c r="AZ179" i="10" l="1"/>
  <c r="BA179" i="10" s="1"/>
  <c r="T179" i="10" s="1"/>
  <c r="AZ178" i="10"/>
  <c r="BA178" i="10" s="1"/>
  <c r="T178" i="10" s="1"/>
  <c r="AV187" i="10"/>
  <c r="W187" i="10"/>
  <c r="W97" i="10"/>
  <c r="Z97" i="10" s="1"/>
  <c r="AG97" i="10"/>
  <c r="AJ97" i="10" s="1"/>
  <c r="AV97" i="10"/>
  <c r="AY97" i="10" s="1"/>
  <c r="AB97" i="10"/>
  <c r="AE97" i="10" s="1"/>
  <c r="AL97" i="10"/>
  <c r="AO97" i="10" s="1"/>
  <c r="AQ97" i="10"/>
  <c r="AT97" i="10" s="1"/>
  <c r="AZ177" i="10"/>
  <c r="BA177" i="10" s="1"/>
  <c r="T177" i="10" s="1"/>
  <c r="AZ183" i="10"/>
  <c r="BA183" i="10" s="1"/>
  <c r="T183" i="10" s="1"/>
  <c r="AV39" i="10"/>
  <c r="AY39" i="10" s="1"/>
  <c r="AB39" i="10"/>
  <c r="AE39" i="10" s="1"/>
  <c r="W39" i="10"/>
  <c r="Z39" i="10" s="1"/>
  <c r="AQ39" i="10"/>
  <c r="AT39" i="10" s="1"/>
  <c r="AL39" i="10"/>
  <c r="AO39" i="10" s="1"/>
  <c r="AG39" i="10"/>
  <c r="AJ39" i="10" s="1"/>
  <c r="AQ138" i="10"/>
  <c r="AT138" i="10" s="1"/>
  <c r="W138" i="10"/>
  <c r="Z138" i="10" s="1"/>
  <c r="AZ121" i="10"/>
  <c r="BA121" i="10" s="1"/>
  <c r="T121" i="10" s="1"/>
  <c r="AQ180" i="10"/>
  <c r="AT180" i="10" s="1"/>
  <c r="AG180" i="10"/>
  <c r="AJ180" i="10" s="1"/>
  <c r="Z180" i="10"/>
  <c r="AV180" i="10"/>
  <c r="AY180" i="10" s="1"/>
  <c r="AL180" i="10"/>
  <c r="AO180" i="10" s="1"/>
  <c r="AB180" i="10"/>
  <c r="AE180" i="10" s="1"/>
  <c r="AG239" i="10"/>
  <c r="AJ239" i="10" s="1"/>
  <c r="AT209" i="10"/>
  <c r="AL138" i="10"/>
  <c r="AO138" i="10" s="1"/>
  <c r="AL209" i="10"/>
  <c r="AO209" i="10" s="1"/>
  <c r="W209" i="10"/>
  <c r="Z209" i="10" s="1"/>
  <c r="AO140" i="10"/>
  <c r="AE140" i="10"/>
  <c r="AG187" i="10"/>
  <c r="AJ187" i="10" s="1"/>
  <c r="AJ186" i="10"/>
  <c r="AV209" i="10"/>
  <c r="AY209" i="10" s="1"/>
  <c r="AB209" i="10"/>
  <c r="AE209" i="10" s="1"/>
  <c r="AB138" i="10"/>
  <c r="AE138" i="10" s="1"/>
  <c r="AV138" i="10"/>
  <c r="AY138" i="10" s="1"/>
  <c r="AG209" i="10"/>
  <c r="AJ209" i="10" s="1"/>
  <c r="AG138" i="10"/>
  <c r="AJ138" i="10" s="1"/>
  <c r="AO142" i="10"/>
  <c r="W239" i="10"/>
  <c r="Z239" i="10" s="1"/>
  <c r="AQ239" i="10"/>
  <c r="AT239" i="10" s="1"/>
  <c r="AY239" i="10"/>
  <c r="AO31" i="10"/>
  <c r="AB239" i="10"/>
  <c r="AE239" i="10" s="1"/>
  <c r="AL239" i="10"/>
  <c r="AO239" i="10" s="1"/>
  <c r="AO186" i="10"/>
  <c r="AE186" i="10"/>
  <c r="Z187" i="10"/>
  <c r="AQ187" i="10"/>
  <c r="AT187" i="10" s="1"/>
  <c r="AY31" i="10"/>
  <c r="AY187" i="10"/>
  <c r="AZ81" i="10"/>
  <c r="AT142" i="10"/>
  <c r="AJ142" i="10"/>
  <c r="AO188" i="10"/>
  <c r="AB187" i="10"/>
  <c r="AE187" i="10" s="1"/>
  <c r="AL187" i="10"/>
  <c r="AO187" i="10" s="1"/>
  <c r="BA159" i="10"/>
  <c r="Z186" i="10"/>
  <c r="AT186" i="10"/>
  <c r="AE142" i="10"/>
  <c r="AY142" i="10"/>
  <c r="AT140" i="10"/>
  <c r="AJ140" i="10"/>
  <c r="Z116" i="10"/>
  <c r="AT116" i="10"/>
  <c r="AE31" i="10"/>
  <c r="AY186" i="10"/>
  <c r="AE188" i="10"/>
  <c r="AY188" i="10"/>
  <c r="AJ116" i="10"/>
  <c r="BA87" i="10"/>
  <c r="Z188" i="10"/>
  <c r="AJ188" i="10"/>
  <c r="AT188" i="10"/>
  <c r="AV59" i="10"/>
  <c r="AY59" i="10" s="1"/>
  <c r="AQ59" i="10"/>
  <c r="AT59" i="10" s="1"/>
  <c r="AL59" i="10"/>
  <c r="AO59" i="10" s="1"/>
  <c r="AG59" i="10"/>
  <c r="AJ59" i="10" s="1"/>
  <c r="AB59" i="10"/>
  <c r="AE59" i="10" s="1"/>
  <c r="W59" i="10"/>
  <c r="Z59" i="10" s="1"/>
  <c r="AE116" i="10"/>
  <c r="AO116" i="10"/>
  <c r="AY116" i="10"/>
  <c r="Z31" i="10"/>
  <c r="AJ31" i="10"/>
  <c r="AT31" i="10"/>
  <c r="AZ186" i="10" l="1"/>
  <c r="BA186" i="10" s="1"/>
  <c r="AZ140" i="10"/>
  <c r="AZ187" i="10"/>
  <c r="BA187" i="10" s="1"/>
  <c r="T187" i="10" s="1"/>
  <c r="AZ188" i="10"/>
  <c r="BA188" i="10" s="1"/>
  <c r="AZ180" i="10"/>
  <c r="BA180" i="10" s="1"/>
  <c r="T180" i="10" s="1"/>
  <c r="AZ59" i="10"/>
  <c r="BA59" i="10" s="1"/>
  <c r="AZ142" i="10"/>
  <c r="BA142" i="10" s="1"/>
  <c r="T142" i="10" s="1"/>
  <c r="AZ138" i="10"/>
  <c r="BA138" i="10" s="1"/>
  <c r="AZ97" i="10"/>
  <c r="BA97" i="10" s="1"/>
  <c r="T97" i="10" s="1"/>
  <c r="AZ39" i="10"/>
  <c r="BA39" i="10" s="1"/>
  <c r="BA160" i="10"/>
  <c r="T160" i="10" s="1"/>
  <c r="T91" i="10"/>
  <c r="T87" i="10"/>
  <c r="T159" i="10"/>
  <c r="T65" i="10"/>
  <c r="T81" i="10"/>
  <c r="AZ209" i="10"/>
  <c r="BA209" i="10" s="1"/>
  <c r="T209" i="10" s="1"/>
  <c r="AZ239" i="10"/>
  <c r="AZ31" i="10"/>
  <c r="BA31" i="10" s="1"/>
  <c r="T31" i="10" s="1"/>
  <c r="AZ116" i="10"/>
  <c r="BA116" i="10" s="1"/>
  <c r="T116" i="10" s="1"/>
  <c r="T119" i="10" l="1"/>
  <c r="BA140" i="10"/>
  <c r="T140" i="10" s="1"/>
  <c r="T138" i="10"/>
  <c r="T59" i="10"/>
  <c r="T186" i="10"/>
  <c r="T11" i="10"/>
  <c r="T6" i="10"/>
  <c r="T39" i="10"/>
  <c r="B74" i="10"/>
  <c r="D74" i="10" s="1"/>
  <c r="B73" i="10"/>
  <c r="D73" i="10" s="1"/>
  <c r="B72" i="10"/>
  <c r="D72" i="10" s="1"/>
  <c r="B71" i="10"/>
  <c r="D71" i="10" s="1"/>
  <c r="B75" i="10"/>
  <c r="D75" i="10" s="1"/>
  <c r="B76" i="10"/>
  <c r="D76" i="10" s="1"/>
  <c r="C4" i="10"/>
  <c r="C5" i="10" s="1"/>
  <c r="C6" i="10" s="1"/>
  <c r="C7" i="10" s="1"/>
  <c r="C8" i="10" s="1"/>
  <c r="C9" i="10" s="1"/>
  <c r="C10" i="10" s="1"/>
  <c r="C11" i="10" s="1"/>
  <c r="C12" i="10" s="1"/>
  <c r="C13" i="10" s="1"/>
  <c r="C14" i="10" s="1"/>
  <c r="C15" i="10" l="1"/>
  <c r="C19" i="24" l="1"/>
  <c r="I19" i="24"/>
  <c r="G19" i="24"/>
  <c r="K19" i="24"/>
  <c r="M19" i="24"/>
  <c r="E19" i="24" l="1"/>
  <c r="A19" i="24" s="1"/>
  <c r="F208" i="29" l="1"/>
  <c r="F207" i="29"/>
  <c r="F212" i="29" l="1"/>
  <c r="X200" i="29" s="1"/>
</calcChain>
</file>

<file path=xl/comments1.xml><?xml version="1.0" encoding="utf-8"?>
<comments xmlns="http://schemas.openxmlformats.org/spreadsheetml/2006/main">
  <authors>
    <author>AZUCENA MEDINA</author>
    <author>W10</author>
  </authors>
  <commentList>
    <comment ref="BA60" authorId="0" shapeId="0">
      <text>
        <r>
          <rPr>
            <b/>
            <sz val="9"/>
            <color indexed="81"/>
            <rFont val="Tahoma"/>
            <family val="2"/>
          </rPr>
          <t>AZUCENA MEDINA:</t>
        </r>
        <r>
          <rPr>
            <sz val="9"/>
            <color indexed="81"/>
            <rFont val="Tahoma"/>
            <family val="2"/>
          </rPr>
          <t xml:space="preserve">
2 DIAS DE LA SEMAN PASADA Y 2 DIAS DE ESTA</t>
        </r>
      </text>
    </comment>
    <comment ref="D100" authorId="1" shapeId="0">
      <text>
        <r>
          <rPr>
            <b/>
            <sz val="9"/>
            <color indexed="81"/>
            <rFont val="Tahoma"/>
            <family val="2"/>
          </rPr>
          <t>W10:</t>
        </r>
        <r>
          <rPr>
            <sz val="9"/>
            <color indexed="81"/>
            <rFont val="Tahoma"/>
            <family val="2"/>
          </rPr>
          <t xml:space="preserve">
PAGO EN EFECTIVO
</t>
        </r>
      </text>
    </comment>
    <comment ref="R179" authorId="0" shapeId="0">
      <text>
        <r>
          <rPr>
            <b/>
            <sz val="9"/>
            <color indexed="81"/>
            <rFont val="Tahoma"/>
            <family val="2"/>
          </rPr>
          <t>AZUCENA MEDINA:</t>
        </r>
        <r>
          <rPr>
            <sz val="9"/>
            <color indexed="81"/>
            <rFont val="Tahoma"/>
            <family val="2"/>
          </rPr>
          <t xml:space="preserve">
MODIFICACION DE SUELDO
</t>
        </r>
      </text>
    </comment>
    <comment ref="BL180" authorId="0" shapeId="0">
      <text>
        <r>
          <rPr>
            <b/>
            <sz val="9"/>
            <color indexed="81"/>
            <rFont val="Tahoma"/>
            <family val="2"/>
          </rPr>
          <t>AZUCENA MEDINA:DIF BONO</t>
        </r>
      </text>
    </comment>
    <comment ref="BL185" authorId="0" shapeId="0">
      <text>
        <r>
          <rPr>
            <b/>
            <sz val="9"/>
            <color indexed="81"/>
            <rFont val="Tahoma"/>
            <family val="2"/>
          </rPr>
          <t>AZUCENA MEDINA:</t>
        </r>
        <r>
          <rPr>
            <sz val="9"/>
            <color indexed="81"/>
            <rFont val="Tahoma"/>
            <family val="2"/>
          </rPr>
          <t xml:space="preserve">
pago Jorge Vargas</t>
        </r>
      </text>
    </comment>
  </commentList>
</comments>
</file>

<file path=xl/comments2.xml><?xml version="1.0" encoding="utf-8"?>
<comments xmlns="http://schemas.openxmlformats.org/spreadsheetml/2006/main">
  <authors>
    <author>W10</author>
    <author>RH</author>
    <author>Vanesa Ramos</author>
  </authors>
  <commentList>
    <comment ref="U6" authorId="0" shapeId="0">
      <text>
        <r>
          <rPr>
            <b/>
            <sz val="9"/>
            <color indexed="81"/>
            <rFont val="Tahoma"/>
            <family val="2"/>
          </rPr>
          <t>W10:</t>
        </r>
        <r>
          <rPr>
            <sz val="9"/>
            <color indexed="81"/>
            <rFont val="Tahoma"/>
            <family val="2"/>
          </rPr>
          <t xml:space="preserve">
Calidad e instructora
</t>
        </r>
      </text>
    </comment>
    <comment ref="U7" authorId="1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encargada del area</t>
        </r>
      </text>
    </comment>
    <comment ref="U11" authorId="0" shapeId="0">
      <text>
        <r>
          <rPr>
            <b/>
            <sz val="9"/>
            <color indexed="81"/>
            <rFont val="Tahoma"/>
            <family val="2"/>
          </rPr>
          <t>W10:</t>
        </r>
        <r>
          <rPr>
            <sz val="9"/>
            <color indexed="81"/>
            <rFont val="Tahoma"/>
            <family val="2"/>
          </rPr>
          <t xml:space="preserve">
Mecanico
</t>
        </r>
      </text>
    </comment>
    <comment ref="W15" authorId="1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GRASEROS</t>
        </r>
      </text>
    </comment>
    <comment ref="U36" authorId="0" shapeId="0">
      <text>
        <r>
          <rPr>
            <b/>
            <sz val="9"/>
            <color indexed="81"/>
            <rFont val="Tahoma"/>
            <family val="2"/>
          </rPr>
          <t>W10:</t>
        </r>
        <r>
          <rPr>
            <sz val="9"/>
            <color indexed="81"/>
            <rFont val="Tahoma"/>
            <family val="2"/>
          </rPr>
          <t xml:space="preserve">
Mantenimiento de maquinas </t>
        </r>
      </text>
    </comment>
    <comment ref="U37" authorId="1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CALIADAD</t>
        </r>
      </text>
    </comment>
    <comment ref="U60" authorId="1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CALIDAD</t>
        </r>
      </text>
    </comment>
    <comment ref="U63" authorId="1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calidad</t>
        </r>
      </text>
    </comment>
    <comment ref="U89" authorId="0" shapeId="0">
      <text>
        <r>
          <rPr>
            <b/>
            <sz val="9"/>
            <color indexed="81"/>
            <rFont val="Tahoma"/>
            <family val="2"/>
          </rPr>
          <t xml:space="preserve">Mecanico
</t>
        </r>
      </text>
    </comment>
    <comment ref="U92" authorId="1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encargada del area mecanico</t>
        </r>
      </text>
    </comment>
    <comment ref="O94" authorId="1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SE RETIRO</t>
        </r>
      </text>
    </comment>
    <comment ref="U95" authorId="1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calidad</t>
        </r>
      </text>
    </comment>
    <comment ref="U142" authorId="1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calidad</t>
        </r>
      </text>
    </comment>
    <comment ref="U144" authorId="1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mecanicos</t>
        </r>
      </text>
    </comment>
    <comment ref="W164" authorId="1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T EXTRA PUÑO</t>
        </r>
      </text>
    </comment>
    <comment ref="W165" authorId="1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REFACCIONES</t>
        </r>
      </text>
    </comment>
    <comment ref="U166" authorId="1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revisador auditora</t>
        </r>
      </text>
    </comment>
    <comment ref="W166" authorId="1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T EXTRA</t>
        </r>
      </text>
    </comment>
    <comment ref="W167" authorId="1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T EXTRA</t>
        </r>
      </text>
    </comment>
    <comment ref="A170" authorId="1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MOVER A STOCKIN 2</t>
        </r>
      </text>
    </comment>
    <comment ref="U193" authorId="1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MECANICO</t>
        </r>
      </text>
    </comment>
    <comment ref="E196" authorId="1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T*T</t>
        </r>
      </text>
    </comment>
    <comment ref="U196" authorId="1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mecanico</t>
        </r>
      </text>
    </comment>
    <comment ref="U219" authorId="2" shapeId="0">
      <text>
        <r>
          <rPr>
            <b/>
            <sz val="9"/>
            <color indexed="81"/>
            <rFont val="Tahoma"/>
            <family val="2"/>
          </rPr>
          <t>Vanesa Ramos:</t>
        </r>
        <r>
          <rPr>
            <sz val="9"/>
            <color indexed="81"/>
            <rFont val="Tahoma"/>
            <family val="2"/>
          </rPr>
          <t xml:space="preserve">
MECANICO</t>
        </r>
      </text>
    </comment>
    <comment ref="W219" authorId="1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T EXTRA</t>
        </r>
      </text>
    </comment>
    <comment ref="U220" authorId="1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mecanico entrenandoce noche</t>
        </r>
      </text>
    </comment>
    <comment ref="W220" authorId="1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T EXTRA NO SE LE PUSO LA SEMANA PASADA</t>
        </r>
      </text>
    </comment>
    <comment ref="U221" authorId="2" shapeId="0">
      <text>
        <r>
          <rPr>
            <b/>
            <sz val="9"/>
            <color indexed="81"/>
            <rFont val="Tahoma"/>
            <family val="2"/>
          </rPr>
          <t>Vanesa Ramos:</t>
        </r>
        <r>
          <rPr>
            <sz val="9"/>
            <color indexed="81"/>
            <rFont val="Tahoma"/>
            <family val="2"/>
          </rPr>
          <t xml:space="preserve">
CALIDAD</t>
        </r>
      </text>
    </comment>
    <comment ref="U223" authorId="1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calidad</t>
        </r>
      </text>
    </comment>
    <comment ref="W246" authorId="1" shapeId="0">
      <text>
        <r>
          <rPr>
            <b/>
            <sz val="9"/>
            <color indexed="81"/>
            <rFont val="Tahoma"/>
            <family val="2"/>
          </rPr>
          <t>RH:T EXTRA EN LA PUERTA</t>
        </r>
      </text>
    </comment>
  </commentList>
</comments>
</file>

<file path=xl/comments3.xml><?xml version="1.0" encoding="utf-8"?>
<comments xmlns="http://schemas.openxmlformats.org/spreadsheetml/2006/main">
  <authors>
    <author>RH</author>
  </authors>
  <commentList>
    <comment ref="B121" authorId="0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mover ALMACEN</t>
        </r>
      </text>
    </comment>
  </commentList>
</comments>
</file>

<file path=xl/sharedStrings.xml><?xml version="1.0" encoding="utf-8"?>
<sst xmlns="http://schemas.openxmlformats.org/spreadsheetml/2006/main" count="4906" uniqueCount="541">
  <si>
    <t>MARTES 06/03</t>
  </si>
  <si>
    <t>MIERCOLES 07/03</t>
  </si>
  <si>
    <t>JUEVES 08/03</t>
  </si>
  <si>
    <t>VIERNES 09/03</t>
  </si>
  <si>
    <t>SABADO 10/03</t>
  </si>
  <si>
    <t>TEJIDO</t>
  </si>
  <si>
    <t>SUELDO ESTIMADO FALTA SOLO RELOJ</t>
  </si>
  <si>
    <t>BONO</t>
  </si>
  <si>
    <t>L</t>
  </si>
  <si>
    <t>M</t>
  </si>
  <si>
    <t>J</t>
  </si>
  <si>
    <t>V</t>
  </si>
  <si>
    <t>S</t>
  </si>
  <si>
    <t>COSTOS</t>
  </si>
  <si>
    <t>NOMINA</t>
  </si>
  <si>
    <t>PXP</t>
  </si>
  <si>
    <t>PXA</t>
  </si>
  <si>
    <t>TOTAL</t>
  </si>
  <si>
    <t>INC</t>
  </si>
  <si>
    <t>CB</t>
  </si>
  <si>
    <t>FP</t>
  </si>
  <si>
    <t>R</t>
  </si>
  <si>
    <t>CALIDAD</t>
  </si>
  <si>
    <t>Antunez Requejo Gabriela</t>
  </si>
  <si>
    <t>Balderas Balderas Myriam Ivet</t>
  </si>
  <si>
    <t>Medrano Suarez Jose Adolfo</t>
  </si>
  <si>
    <t>REAL</t>
  </si>
  <si>
    <t>PR</t>
  </si>
  <si>
    <t>PROM</t>
  </si>
  <si>
    <t>LIDER</t>
  </si>
  <si>
    <t>MECANICO</t>
  </si>
  <si>
    <t xml:space="preserve"> </t>
  </si>
  <si>
    <t>MANUAL</t>
  </si>
  <si>
    <t>MTTO</t>
  </si>
  <si>
    <t>TEJIDO 2</t>
  </si>
  <si>
    <t>3ER TURNO</t>
  </si>
  <si>
    <t>Bustamante Villegas Osvaldo</t>
  </si>
  <si>
    <t>Diaz Martinez Angela Elizabeth</t>
  </si>
  <si>
    <t>Favela Saucedo Idalia Azucena</t>
  </si>
  <si>
    <t>Minor Flores Adilene</t>
  </si>
  <si>
    <t>Moran Hernandez Raul</t>
  </si>
  <si>
    <t>Ramirez Vital Jose Armando</t>
  </si>
  <si>
    <t>TEJIDO 3</t>
  </si>
  <si>
    <t>Beberaje Cruz Ramon Humberto</t>
  </si>
  <si>
    <t>PUÑO</t>
  </si>
  <si>
    <t>Cuapio Flores Mario</t>
  </si>
  <si>
    <t>Sanchez Flores Miguel Angel</t>
  </si>
  <si>
    <t>AE</t>
  </si>
  <si>
    <t>Armijo Anchondo Pedro</t>
  </si>
  <si>
    <t>Garcia Nuñez Elizabeth</t>
  </si>
  <si>
    <t>Rodriguez Uribe Erika Elizabeth</t>
  </si>
  <si>
    <t>AE 2</t>
  </si>
  <si>
    <t>Balan Perez Ever Guadalupe</t>
  </si>
  <si>
    <t>Nuñez Viaña Maria del Rosario</t>
  </si>
  <si>
    <t>Ramirez Flores Jose Alejandro</t>
  </si>
  <si>
    <t>Rodriguez Castillo Rosa Karen</t>
  </si>
  <si>
    <t>AE 3</t>
  </si>
  <si>
    <t>Esquivel Picon Miguel Angel</t>
  </si>
  <si>
    <t>Pacheco Viaña Jaqueline</t>
  </si>
  <si>
    <t>Vargas Cuellar Juana Gabriela</t>
  </si>
  <si>
    <t>TEJIDO LEON</t>
  </si>
  <si>
    <t>Burciaga Rodriguez Inocente</t>
  </si>
  <si>
    <t>Requejo Hernandez Noe</t>
  </si>
  <si>
    <t>Reyes Chavarria Jose Emilio</t>
  </si>
  <si>
    <t>Salazar Holguin Ana Liliana</t>
  </si>
  <si>
    <t>GTE PROD</t>
  </si>
  <si>
    <t>LIMPIEZA</t>
  </si>
  <si>
    <t>VIGILANTE</t>
  </si>
  <si>
    <t>RH</t>
  </si>
  <si>
    <t>ALMACEN</t>
  </si>
  <si>
    <t>APOYO LG</t>
  </si>
  <si>
    <t>Alatorre Dresel Ana Laura</t>
  </si>
  <si>
    <t>AUXILIAR ADMVO</t>
  </si>
  <si>
    <t>AYUDA</t>
  </si>
  <si>
    <t>PAGO</t>
  </si>
  <si>
    <t>PRIMAS</t>
  </si>
  <si>
    <t>AÑOS</t>
  </si>
  <si>
    <t>F.INGRESO</t>
  </si>
  <si>
    <t>BONO X CONTRATACION</t>
  </si>
  <si>
    <t>BONOS X PERSONAL</t>
  </si>
  <si>
    <t>Castro Viaña Mario Ivan</t>
  </si>
  <si>
    <t>Feria Cruz Carlos Ignacio</t>
  </si>
  <si>
    <t>TOT 1</t>
  </si>
  <si>
    <t>TRAT</t>
  </si>
  <si>
    <t>CARGADOR</t>
  </si>
  <si>
    <t>Hernandez Gonzalez Myrtala</t>
  </si>
  <si>
    <t>Balderas Martinez Yessenia</t>
  </si>
  <si>
    <t>Aguilar Muñoz Eduardo</t>
  </si>
  <si>
    <t>Carranza Hernandez Maria Fernanda</t>
  </si>
  <si>
    <t>Gonzalez Lopez Violeta</t>
  </si>
  <si>
    <t>Torres Garcia Xiomara Abigail</t>
  </si>
  <si>
    <t>Flores Miranda Aislen</t>
  </si>
  <si>
    <t>EVENT</t>
  </si>
  <si>
    <t>Rodriguez Lopez Andrea Isabel</t>
  </si>
  <si>
    <t>Medellin Rodriguez Yesenia Abigail</t>
  </si>
  <si>
    <t>Carrillo Delgado Judith</t>
  </si>
  <si>
    <t>Dominguez Soto Jesus Alberto</t>
  </si>
  <si>
    <t>Hernandez Flores Maria Guadalupe</t>
  </si>
  <si>
    <t>T EXT</t>
  </si>
  <si>
    <t>INSTRUCTOR</t>
  </si>
  <si>
    <t>Rodriguez Puentes Cesar Ivan</t>
  </si>
  <si>
    <t>Burciaga Aguirre Marisa Isabel</t>
  </si>
  <si>
    <t>Garcia Ortega Leslie Coraima</t>
  </si>
  <si>
    <t>Chavarria Machado Samuel</t>
  </si>
  <si>
    <t>Aleman Rubio Isaias de Jesus</t>
  </si>
  <si>
    <t>Martinez Diaz Javier</t>
  </si>
  <si>
    <t>Viaña Dominguez Gladis Nayeli</t>
  </si>
  <si>
    <t>SUPER PROD</t>
  </si>
  <si>
    <t>B ASISTENCIA</t>
  </si>
  <si>
    <t>Guerrero Zamarron Melani Abigail</t>
  </si>
  <si>
    <t>Antunez Orona Juan Manuel</t>
  </si>
  <si>
    <t>Acosta Orona Imelda Janeth</t>
  </si>
  <si>
    <t>FINIQUITOS</t>
  </si>
  <si>
    <t>AUX ADMVO</t>
  </si>
  <si>
    <t>Carranza Chavarria Esmeralda</t>
  </si>
  <si>
    <t>Valenzuela Rosales Jose Miguel</t>
  </si>
  <si>
    <t>Martinez Rosales Sugey Marisol</t>
  </si>
  <si>
    <t>Morales Holguin Sergio Joel</t>
  </si>
  <si>
    <t>Villanueva Sifuentes Kenia Abigail</t>
  </si>
  <si>
    <t>Martinez Robles Luis Miguel</t>
  </si>
  <si>
    <t>Vargas Mendez Ma. Isabel</t>
  </si>
  <si>
    <t>Limon Campos Beatriz Adriana</t>
  </si>
  <si>
    <t>Estrada Hernandez Arantxa</t>
  </si>
  <si>
    <t>Alaniz Mayorga Yulissa</t>
  </si>
  <si>
    <t>Salazar Martinez Yohana Cecilia</t>
  </si>
  <si>
    <t>Muñoz Rodriguez Susana</t>
  </si>
  <si>
    <t>Burciaga Dominguez America Adeleida</t>
  </si>
  <si>
    <t>Carrillo Alvarado Erika Miranda</t>
  </si>
  <si>
    <t>Ruiz Valenzuela Cynthia Marissa</t>
  </si>
  <si>
    <t>F</t>
  </si>
  <si>
    <t>Antunez Salazar Aracely</t>
  </si>
  <si>
    <t>Moreno Martinez Marisol</t>
  </si>
  <si>
    <t>PSG</t>
  </si>
  <si>
    <t>BONO+B ASIS</t>
  </si>
  <si>
    <t>BONO+B ASIS+T EXT</t>
  </si>
  <si>
    <t>NOMBRE</t>
  </si>
  <si>
    <t>PUESTO</t>
  </si>
  <si>
    <t>Padilla Reyes Laura Monserrat</t>
  </si>
  <si>
    <t>Caballero Coyoc Jose Alberto</t>
  </si>
  <si>
    <t>Perez Suarez Herber Antony</t>
  </si>
  <si>
    <t xml:space="preserve">MECANICO </t>
  </si>
  <si>
    <t>ADMINISTRATIVOS</t>
  </si>
  <si>
    <t>AUX ADMINISTRATIVO</t>
  </si>
  <si>
    <t>Vargas Chavez Sarai del Carmen</t>
  </si>
  <si>
    <t>Armijo Tostado Liliana Jaretzy</t>
  </si>
  <si>
    <t>PAGO EXTRA</t>
  </si>
  <si>
    <t>JUAREZ/SIFUENTES,BENITO</t>
  </si>
  <si>
    <t>Ramirez Requejo Maria Guadalupe</t>
  </si>
  <si>
    <t>NI</t>
  </si>
  <si>
    <t>Villegas Muñoz Maria de los Angeles</t>
  </si>
  <si>
    <t>Franco Alatorre Diego</t>
  </si>
  <si>
    <t>Enriquez Gutierrez Acacia</t>
  </si>
  <si>
    <t>Dominguez Soto Maria de los Angeles</t>
  </si>
  <si>
    <t>Ochoa Vital Edna Lizeth</t>
  </si>
  <si>
    <t>Martinez Sifuentes Mariana</t>
  </si>
  <si>
    <t>Juarez Sifuentes Sandra</t>
  </si>
  <si>
    <t>Espinoza Ponce Juan Jose</t>
  </si>
  <si>
    <t>Ramos Aguilar Alondra Vanesa</t>
  </si>
  <si>
    <t>DEL 08 AL 14 ENERO 24</t>
  </si>
  <si>
    <t xml:space="preserve">Villegas Galvan Cristian Jose </t>
  </si>
  <si>
    <t>Mijarez Rodriguez San Juana Guadalupe</t>
  </si>
  <si>
    <t xml:space="preserve">Carrillo Ojeda Jose Guadalupe </t>
  </si>
  <si>
    <t xml:space="preserve">Sandoval Martinez Vianey Nataly </t>
  </si>
  <si>
    <t>Alvarado Villegas Estrella Yanini</t>
  </si>
  <si>
    <t>PPP</t>
  </si>
  <si>
    <t>SUSP</t>
  </si>
  <si>
    <t>B</t>
  </si>
  <si>
    <t>Campista Hernandez Maria Elena</t>
  </si>
  <si>
    <t>Maria del Rosario Vidaña Sanchez</t>
  </si>
  <si>
    <t>FIN 2/2</t>
  </si>
  <si>
    <t>BONO+FINIQUITO</t>
  </si>
  <si>
    <t>Pozo Balan Darvin Gerson</t>
  </si>
  <si>
    <t>FIN  1/2</t>
  </si>
  <si>
    <t>BONO+ B ASIS</t>
  </si>
  <si>
    <t>B ASIS</t>
  </si>
  <si>
    <t>BONO+B ASIS+ T EXT</t>
  </si>
  <si>
    <t>PV2A 2/2</t>
  </si>
  <si>
    <t xml:space="preserve">BONO </t>
  </si>
  <si>
    <t>BONO+B ASIS+ DIF BONO</t>
  </si>
  <si>
    <t>CALIDAD FINAL</t>
  </si>
  <si>
    <t>PV2A  2/2</t>
  </si>
  <si>
    <t>Vargas Juarez Jorge</t>
  </si>
  <si>
    <t xml:space="preserve">TEJIDO </t>
  </si>
  <si>
    <t>TURNO1</t>
  </si>
  <si>
    <t>Responsable de llenado:</t>
  </si>
  <si>
    <t># EMP</t>
  </si>
  <si>
    <t>D</t>
  </si>
  <si>
    <t xml:space="preserve">Lider </t>
  </si>
  <si>
    <t xml:space="preserve">Mecanico </t>
  </si>
  <si>
    <t xml:space="preserve">Calidad </t>
  </si>
  <si>
    <t xml:space="preserve">Operador </t>
  </si>
  <si>
    <t>TURNO  2</t>
  </si>
  <si>
    <t>TURNO  3</t>
  </si>
  <si>
    <t xml:space="preserve">AE  </t>
  </si>
  <si>
    <t>TURNO  1</t>
  </si>
  <si>
    <t>Franco Fajer Ricardo</t>
  </si>
  <si>
    <t>GERENTE DE PLANTA</t>
  </si>
  <si>
    <t>PRODUCCION</t>
  </si>
  <si>
    <t xml:space="preserve">ALMACEN </t>
  </si>
  <si>
    <t>AUDITORA FINAL</t>
  </si>
  <si>
    <t xml:space="preserve">Salario </t>
  </si>
  <si>
    <t xml:space="preserve">Bono productividas </t>
  </si>
  <si>
    <t xml:space="preserve">Bono de asitencia </t>
  </si>
  <si>
    <t xml:space="preserve">Nominal </t>
  </si>
  <si>
    <t>Pacheco Viaña Jaquelin</t>
  </si>
  <si>
    <t xml:space="preserve">TOT </t>
  </si>
  <si>
    <t>EXTRA</t>
  </si>
  <si>
    <t>BONO ASISTENCIA</t>
  </si>
  <si>
    <t>Mtto</t>
  </si>
  <si>
    <t>EVENTUALES</t>
  </si>
  <si>
    <t>otros</t>
  </si>
  <si>
    <t>BONOS EXTRA</t>
  </si>
  <si>
    <t>SUPERVISORA</t>
  </si>
  <si>
    <t>BONO EXTRA</t>
  </si>
  <si>
    <t>GERENTE PLANTA</t>
  </si>
  <si>
    <t>PUÑO2</t>
  </si>
  <si>
    <t>PUÑO3</t>
  </si>
  <si>
    <t xml:space="preserve">Operador  </t>
  </si>
  <si>
    <t>Operador  D</t>
  </si>
  <si>
    <t>VAC</t>
  </si>
  <si>
    <t>Operador</t>
  </si>
  <si>
    <t xml:space="preserve">Bono productividad </t>
  </si>
  <si>
    <t>SUPERVISOR</t>
  </si>
  <si>
    <t>Primas, finiquitos, etc</t>
  </si>
  <si>
    <t>GERENTE GENERAL</t>
  </si>
  <si>
    <t>Bono productividad</t>
  </si>
  <si>
    <t>Bono extra</t>
  </si>
  <si>
    <t>Calidad</t>
  </si>
  <si>
    <t>Gonzales Lopez Violeta</t>
  </si>
  <si>
    <t>calidad</t>
  </si>
  <si>
    <t>operador</t>
  </si>
  <si>
    <t>Padilla Armijo Nancy Lorena</t>
  </si>
  <si>
    <t>Hernandez Favela Margarita</t>
  </si>
  <si>
    <t>Gress Padilla Leidy Daniela</t>
  </si>
  <si>
    <t>Holguin Salas Hilda Yudit</t>
  </si>
  <si>
    <t>Hernandez de la Rosa Maria  Fernanda</t>
  </si>
  <si>
    <t>Vargas Torres Pedro</t>
  </si>
  <si>
    <t>Moreno Martinez Jose uriel</t>
  </si>
  <si>
    <t>Martinez Rosales Jose Luis</t>
  </si>
  <si>
    <t>Tostado Sifuentes Haxel Rodrigo</t>
  </si>
  <si>
    <t>Llamas Perez Prince Anais</t>
  </si>
  <si>
    <t>Moreno Martinez Angel de Jesus</t>
  </si>
  <si>
    <t>Molina Sifuentes Monserrat Guadalupe</t>
  </si>
  <si>
    <t>Operador puño</t>
  </si>
  <si>
    <t>AUX MECANICO</t>
  </si>
  <si>
    <t>Villegas Reyes Jesus Maria</t>
  </si>
  <si>
    <t>AUDITOR FINAL</t>
  </si>
  <si>
    <t>Vargas Castañeda Pedro Francisco</t>
  </si>
  <si>
    <t>Balderas Aguilar Yhair Otoniel</t>
  </si>
  <si>
    <t>Creeler</t>
  </si>
  <si>
    <t>Rosales Gonzalez Maria Fernanda</t>
  </si>
  <si>
    <t>Nuñez Viaña Angelica</t>
  </si>
  <si>
    <t xml:space="preserve">PARAMETROS A EVALUAR  PARA BONO </t>
  </si>
  <si>
    <t xml:space="preserve">Deteccion de defectos </t>
  </si>
  <si>
    <t xml:space="preserve">limpieza de area </t>
  </si>
  <si>
    <t xml:space="preserve">Llenado de formatos </t>
  </si>
  <si>
    <t xml:space="preserve">Permisos </t>
  </si>
  <si>
    <t xml:space="preserve">Retardos </t>
  </si>
  <si>
    <t xml:space="preserve">Responsable de llenado: Myriam Iveth Balderas Balderas </t>
  </si>
  <si>
    <t>Responsable de llenado:Perez Suarez Herber Antony</t>
  </si>
  <si>
    <t>Responsable de llenado:Garcia Nuñez Elizabeth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</si>
  <si>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</si>
  <si>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Responsable de llenado:Hernandez Gonzalez Myrtala</t>
  </si>
  <si>
    <t>Responsable de llenado:LESLIE GARCIA</t>
  </si>
  <si>
    <t>Responsable de llenado:Fernanda Carranza</t>
  </si>
  <si>
    <t>Responsable de llenado:Martinez Rosales Sugey Marisol</t>
  </si>
  <si>
    <t>A</t>
  </si>
  <si>
    <t>Gonzalez Reyes Jordan Missael</t>
  </si>
  <si>
    <t>Cordona Perez Rosa Veli</t>
  </si>
  <si>
    <t>Botello Amaya Brenda Cecilia</t>
  </si>
  <si>
    <t>DIF NOM</t>
  </si>
  <si>
    <t>REBAJE X FALTAS</t>
  </si>
  <si>
    <t>Mecanico</t>
  </si>
  <si>
    <t>Revisadora</t>
  </si>
  <si>
    <t>Aux mecanico</t>
  </si>
  <si>
    <t>Calidad y Revisadora</t>
  </si>
  <si>
    <t>TIEMPO EXTRA  SAB Y DOM</t>
  </si>
  <si>
    <t>TIEMPO EXTRA</t>
  </si>
  <si>
    <t>NOM 28 AL 04 DE MAYO 2025</t>
  </si>
  <si>
    <t>Macias Mijares Jose De Jesus</t>
  </si>
  <si>
    <t>Valenzuela Gonzalez Cristian Omar</t>
  </si>
  <si>
    <t>Gomez Mendoza Ruben Dario</t>
  </si>
  <si>
    <t>T EXTRA</t>
  </si>
  <si>
    <t>Castañeda Flores Jose Alfredo</t>
  </si>
  <si>
    <t>Valenzuela Ruiz Brisa Iris</t>
  </si>
  <si>
    <t>Moreno Martinez Zeida Marlen</t>
  </si>
  <si>
    <t>Empaque</t>
  </si>
  <si>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</si>
  <si>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</si>
  <si>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</si>
  <si>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</si>
  <si>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</si>
  <si>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</si>
  <si>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</si>
  <si>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All Users</t>
  </si>
  <si>
    <t>1:N authentication succeeded (Face)</t>
  </si>
  <si>
    <t>Authentication failed (Timeout)</t>
  </si>
  <si>
    <t>Network connected</t>
  </si>
  <si>
    <t>BioStar disconnected</t>
  </si>
  <si>
    <t>BioStar connected</t>
  </si>
  <si>
    <t>Device time changed</t>
  </si>
  <si>
    <t>Rubio Resendiz Emilio</t>
  </si>
  <si>
    <t>Pardo Arevalo Aleida Maribi</t>
  </si>
  <si>
    <t>Garcia Nuñez Daniela</t>
  </si>
  <si>
    <t>Flores Cruz Juana maria</t>
  </si>
  <si>
    <t>Macias Mijares Jose Manuel</t>
  </si>
  <si>
    <t>Network disconnected</t>
  </si>
  <si>
    <t>Nominas</t>
  </si>
  <si>
    <t>Numero</t>
  </si>
  <si>
    <t>NombreCompleto</t>
  </si>
  <si>
    <t>FechaInicio</t>
  </si>
  <si>
    <t>FechaFin</t>
  </si>
  <si>
    <t>L.Entrada</t>
  </si>
  <si>
    <t>L.Salida</t>
  </si>
  <si>
    <t>MA.Entrada</t>
  </si>
  <si>
    <t>MA.Salida</t>
  </si>
  <si>
    <t>MI.Entrada</t>
  </si>
  <si>
    <t>MI.Salida</t>
  </si>
  <si>
    <t>J.Entrada</t>
  </si>
  <si>
    <t>J.Salida</t>
  </si>
  <si>
    <t>V.Entrada</t>
  </si>
  <si>
    <t>V.Salida</t>
  </si>
  <si>
    <t>S.Entrada</t>
  </si>
  <si>
    <t>S.Salida</t>
  </si>
  <si>
    <t>D.Entrada</t>
  </si>
  <si>
    <t>D.Salida</t>
  </si>
  <si>
    <t>SAMUEL CHAVARRIA MACHADO</t>
  </si>
  <si>
    <t xml:space="preserve">15:37:00 </t>
  </si>
  <si>
    <t>MARIA FERNANDA ROSALES GONZALEZ</t>
  </si>
  <si>
    <t>ANGELA ELIZABETH DIAZ MARTINEZ</t>
  </si>
  <si>
    <t xml:space="preserve">15:30:00 </t>
  </si>
  <si>
    <t xml:space="preserve">23:33:00 </t>
  </si>
  <si>
    <t xml:space="preserve">15:31:00 </t>
  </si>
  <si>
    <t xml:space="preserve">15:27:00 </t>
  </si>
  <si>
    <t>SUGEY  MARISOL  MARTINEZ ROSALES</t>
  </si>
  <si>
    <t xml:space="preserve"> 07:31:00</t>
  </si>
  <si>
    <t xml:space="preserve"> 07:30:00</t>
  </si>
  <si>
    <t>MA. ISABEL  VARGAS MENDEZ</t>
  </si>
  <si>
    <t xml:space="preserve">07:25:00 </t>
  </si>
  <si>
    <t xml:space="preserve">07:26:00 </t>
  </si>
  <si>
    <t>SAUL BAUTISTA REVUELTAS</t>
  </si>
  <si>
    <t>YOHANA CECILIA SALAZAR MARTINEZ</t>
  </si>
  <si>
    <t>JOSE ALBERTO CABALLERO COYOC</t>
  </si>
  <si>
    <t>HERBER ANTONY PEREZ SUAREZ</t>
  </si>
  <si>
    <t xml:space="preserve"> 07:38:00</t>
  </si>
  <si>
    <t xml:space="preserve"> 07:35:00</t>
  </si>
  <si>
    <t>DIEGO FRANCO ALATORRE</t>
  </si>
  <si>
    <t>ACACIA ENRIQUEZ GUTIERREZ</t>
  </si>
  <si>
    <t>MARIA GUADALUPE RAMIREZ REQUEJO</t>
  </si>
  <si>
    <t xml:space="preserve">07:31:00 </t>
  </si>
  <si>
    <t xml:space="preserve">17:00:00 </t>
  </si>
  <si>
    <t xml:space="preserve">07:35:00 </t>
  </si>
  <si>
    <t xml:space="preserve">07:28:00 </t>
  </si>
  <si>
    <t>MARIA ELENA  HERNANDEZ CAMPISTA</t>
  </si>
  <si>
    <t>ELIZABETH GARCIA NUÑEZ</t>
  </si>
  <si>
    <t xml:space="preserve">07:42:00 </t>
  </si>
  <si>
    <t xml:space="preserve">07:40:00 </t>
  </si>
  <si>
    <t xml:space="preserve">15:42:00 </t>
  </si>
  <si>
    <t xml:space="preserve">07:45:00 </t>
  </si>
  <si>
    <t>GABRIELA ANTUNEZ REQUEJO</t>
  </si>
  <si>
    <t xml:space="preserve">07:30:00 </t>
  </si>
  <si>
    <t>NANCY LORENA PADILLA ARMIJO</t>
  </si>
  <si>
    <t>MARGARITA HERNANDEZ FAVELA</t>
  </si>
  <si>
    <t xml:space="preserve">15:26:00 </t>
  </si>
  <si>
    <t>LEIDY DANIELA GRESS PADILLA</t>
  </si>
  <si>
    <t>HILDA YUDITH HOLGUIN SALAS</t>
  </si>
  <si>
    <t>PEDRO VARGAS TORRES</t>
  </si>
  <si>
    <t xml:space="preserve">07:33:00 </t>
  </si>
  <si>
    <t>MARIA FERNANDA HERNANDEZ DE LA ROSA</t>
  </si>
  <si>
    <t xml:space="preserve">07:21:00 </t>
  </si>
  <si>
    <t xml:space="preserve">17:01:00 </t>
  </si>
  <si>
    <t xml:space="preserve">07:34:00 </t>
  </si>
  <si>
    <t>JOSE URIEL MORENO  MARTINEZ</t>
  </si>
  <si>
    <t>JOSE LUIS MARTINEZ ROSALES</t>
  </si>
  <si>
    <t>HAXEL RODRIGO TOSTADO SIFUENTES</t>
  </si>
  <si>
    <t>PRINCE ANAIS LLAMAS PEREZ</t>
  </si>
  <si>
    <t xml:space="preserve">07:15:00 </t>
  </si>
  <si>
    <t>ANGEL DE JESUS MORENO MARTINEZ</t>
  </si>
  <si>
    <t>ROSA VELIA CORDONA PEREZ</t>
  </si>
  <si>
    <t>MONSERRAT GUADALUPE MOLINA SIFUENTES</t>
  </si>
  <si>
    <t>JESUS MARIA VILLEGAS REYES</t>
  </si>
  <si>
    <t>PEDRO FRANCISCO VARGAS  CASTAÑEDA</t>
  </si>
  <si>
    <t>YHAIR OTONIEL BALDERAS AGUILAR</t>
  </si>
  <si>
    <t>ANGELICA NUÑEZ VIAÑA</t>
  </si>
  <si>
    <t xml:space="preserve">23:19:00 </t>
  </si>
  <si>
    <t xml:space="preserve">23:18:00 </t>
  </si>
  <si>
    <t xml:space="preserve">23:36:00 </t>
  </si>
  <si>
    <t>JORDAN MISSAEL GONZALEZ REYES</t>
  </si>
  <si>
    <t xml:space="preserve">07:37:00 </t>
  </si>
  <si>
    <t>JOSE ADOLFO MEDRANO SUAREZ</t>
  </si>
  <si>
    <t xml:space="preserve">17:02:00 </t>
  </si>
  <si>
    <t>JOSE DE JESUS MACIAS MIJARES</t>
  </si>
  <si>
    <t>CRISTIAN OMAR VALENZUELA ROSALES</t>
  </si>
  <si>
    <t>ZEIDA MARLEN MORENO  MARTINEZ</t>
  </si>
  <si>
    <t xml:space="preserve">07:12:00 </t>
  </si>
  <si>
    <t xml:space="preserve">07:13:00 </t>
  </si>
  <si>
    <t xml:space="preserve">07:22:00 </t>
  </si>
  <si>
    <t>JOSE ALFREDO CASTAÑEDA FLORES</t>
  </si>
  <si>
    <t>BRISA IRIS VALENZUELA RUIZ</t>
  </si>
  <si>
    <t>emilio rubio resendiz</t>
  </si>
  <si>
    <t>daniela garcia nuñez</t>
  </si>
  <si>
    <t xml:space="preserve"> 07:32:00</t>
  </si>
  <si>
    <t>jose manuel macias mijares</t>
  </si>
  <si>
    <t>aleida maribi pardo arevalo</t>
  </si>
  <si>
    <t xml:space="preserve">07:51:00 </t>
  </si>
  <si>
    <t>ADILENE MINOR FLORES</t>
  </si>
  <si>
    <t>juana maria flores cruz</t>
  </si>
  <si>
    <t>RAUL MORAN HERNANDEZ</t>
  </si>
  <si>
    <t>MARIA DEL ROSARIO  NUÑEZ VIAÑA</t>
  </si>
  <si>
    <t>JAQUELINE PACHECO VIAÑA</t>
  </si>
  <si>
    <t>JOSE ARMANDO  RAMIREZ VITAL</t>
  </si>
  <si>
    <t xml:space="preserve">NOE REQUEJO HERNANDEZ </t>
  </si>
  <si>
    <t xml:space="preserve"> JOSE EMILIO REYES CHAVARRIA</t>
  </si>
  <si>
    <t>ROSA KAREN RODRIGUEZ CASTILLO</t>
  </si>
  <si>
    <t>ERIKA ELIZABETH  RODRIGUEZ  URIBE</t>
  </si>
  <si>
    <t>ANA LILIANA  SALAZAR HOLGUIN</t>
  </si>
  <si>
    <t>JOSE MIGUEL VALENZUELA  ROSALES</t>
  </si>
  <si>
    <t>MARIO IVAN  CASTRO  VIAÑA</t>
  </si>
  <si>
    <t>MYRIAM IVET  BALDERAS BALDERAS</t>
  </si>
  <si>
    <t>MARIO CUAPIO FLORES</t>
  </si>
  <si>
    <t>VIOLETA GONZALEZ LOPEZ</t>
  </si>
  <si>
    <t xml:space="preserve">15:35:00 </t>
  </si>
  <si>
    <t xml:space="preserve">15:33:00 </t>
  </si>
  <si>
    <t xml:space="preserve">23:31:00 </t>
  </si>
  <si>
    <t xml:space="preserve">23:32:00 </t>
  </si>
  <si>
    <t>LESLIE CORAIMA GARCIA ORTEGA</t>
  </si>
  <si>
    <t>MYRTALA  HERNANDEZ GONZALEZ</t>
  </si>
  <si>
    <t>AILEN FLORES MIRANDA</t>
  </si>
  <si>
    <t>MONSERRAT NUÑEZ MARTINEZ</t>
  </si>
  <si>
    <t>CATALINA ACEVEDO CAMACHO</t>
  </si>
  <si>
    <t>GABRIELA LIZBETH  LOZANO GUILLEN</t>
  </si>
  <si>
    <t>MARIA GUADALUPE  HERNANDEZ FLORES</t>
  </si>
  <si>
    <t>OSVALDO BUSTAMANTE VILLEGAS</t>
  </si>
  <si>
    <t>JESUS ALBERTO DOMINGUEZ  SOTO</t>
  </si>
  <si>
    <t xml:space="preserve"> 07:33:00</t>
  </si>
  <si>
    <t xml:space="preserve">23:20:00 </t>
  </si>
  <si>
    <t xml:space="preserve">23:22:00 </t>
  </si>
  <si>
    <t>JUDITH CARRILLO DELGADO</t>
  </si>
  <si>
    <t xml:space="preserve">07:29:00 </t>
  </si>
  <si>
    <t>MARISA ISABEL BURCIAGA AGUIRRE</t>
  </si>
  <si>
    <t xml:space="preserve">07:55:00 </t>
  </si>
  <si>
    <t xml:space="preserve">07:59:00 </t>
  </si>
  <si>
    <t>SEMANA DEL 16 AL 22 JUNIO DEL 2025</t>
  </si>
  <si>
    <t>SEMANA DEL 23 AL 29 DE JUNIO DEL 2025</t>
  </si>
  <si>
    <t>Tamper off</t>
  </si>
  <si>
    <t>Device started</t>
  </si>
  <si>
    <t>2025-06-23</t>
  </si>
  <si>
    <t>2025-06-29</t>
  </si>
  <si>
    <t xml:space="preserve">15:40:00 </t>
  </si>
  <si>
    <t xml:space="preserve">15:24:00 </t>
  </si>
  <si>
    <t xml:space="preserve">07:24:00 </t>
  </si>
  <si>
    <t xml:space="preserve">07:16:00 </t>
  </si>
  <si>
    <t xml:space="preserve">07:20:00 </t>
  </si>
  <si>
    <t xml:space="preserve">07:19:00 </t>
  </si>
  <si>
    <t xml:space="preserve">07:32:00 </t>
  </si>
  <si>
    <t xml:space="preserve">23:11:00 </t>
  </si>
  <si>
    <t xml:space="preserve">23:21:00 </t>
  </si>
  <si>
    <t xml:space="preserve">07:47:00 </t>
  </si>
  <si>
    <t xml:space="preserve">07:41:00 </t>
  </si>
  <si>
    <t xml:space="preserve">07:43:00 </t>
  </si>
  <si>
    <t xml:space="preserve"> 07:36:00</t>
  </si>
  <si>
    <t xml:space="preserve">17:03:00 </t>
  </si>
  <si>
    <t xml:space="preserve">07:57:00 </t>
  </si>
  <si>
    <t xml:space="preserve">07:50:00 </t>
  </si>
  <si>
    <t xml:space="preserve">07:48:00 </t>
  </si>
  <si>
    <t xml:space="preserve">15:44:00 </t>
  </si>
  <si>
    <t xml:space="preserve">23:30:00 </t>
  </si>
  <si>
    <t>andrea isabel rodriguez  lopez</t>
  </si>
  <si>
    <t xml:space="preserve"> 07:47:00</t>
  </si>
  <si>
    <t xml:space="preserve"> 07:39:00</t>
  </si>
  <si>
    <t xml:space="preserve"> 07:42:00</t>
  </si>
  <si>
    <t xml:space="preserve"> 03:26:56 p. m.</t>
  </si>
  <si>
    <t xml:space="preserve"> 07:30:50 a. m.</t>
  </si>
  <si>
    <t xml:space="preserve"> 03:31:44 p. m.</t>
  </si>
  <si>
    <t xml:space="preserve"> 03:31:18 p. m.</t>
  </si>
  <si>
    <t xml:space="preserve"> 11:37:39 p. m.</t>
  </si>
  <si>
    <t xml:space="preserve"> 11:26:08 p. m.</t>
  </si>
  <si>
    <t xml:space="preserve"> 03:28:43 p. m.</t>
  </si>
  <si>
    <t xml:space="preserve"> 11:31:00 p. m.</t>
  </si>
  <si>
    <t xml:space="preserve"> 11:21:35 p. m.</t>
  </si>
  <si>
    <t xml:space="preserve"> 11:12:17 p. m.</t>
  </si>
  <si>
    <t xml:space="preserve"> 10:47:12 p. m.</t>
  </si>
  <si>
    <t xml:space="preserve"> 03:31:42 p. m.</t>
  </si>
  <si>
    <t xml:space="preserve"> 07:09:13 a. m.</t>
  </si>
  <si>
    <t xml:space="preserve"> 07:06:44 a. m.</t>
  </si>
  <si>
    <t xml:space="preserve"> 07:32:13 a. m.</t>
  </si>
  <si>
    <t xml:space="preserve"> 10:52:51 p. m.</t>
  </si>
  <si>
    <t xml:space="preserve"> 10:48:05 p. m.</t>
  </si>
  <si>
    <t xml:space="preserve"> 07:12:46 a. m.</t>
  </si>
  <si>
    <t xml:space="preserve"> 07:12:37 a. m.</t>
  </si>
  <si>
    <t xml:space="preserve"> 07:15:17 a. m.</t>
  </si>
  <si>
    <t xml:space="preserve"> 07:16:09 a. m.</t>
  </si>
  <si>
    <t xml:space="preserve"> 03:30:22 p. m.</t>
  </si>
  <si>
    <t xml:space="preserve"> 04:57:37 p. m.</t>
  </si>
  <si>
    <t xml:space="preserve"> 11:30:25 p. m.</t>
  </si>
  <si>
    <t xml:space="preserve"> 11:32:38 p. m.</t>
  </si>
  <si>
    <t xml:space="preserve"> 11:11:37 p. m.</t>
  </si>
  <si>
    <t xml:space="preserve"> 11:13:12 p. m.</t>
  </si>
  <si>
    <t xml:space="preserve"> 11:32:58 p. m.</t>
  </si>
  <si>
    <t xml:space="preserve"> 11:31:58 p. m.</t>
  </si>
  <si>
    <t xml:space="preserve"> 11:25:46 p. m.</t>
  </si>
  <si>
    <t xml:space="preserve"> 04:53:21 p. m.</t>
  </si>
  <si>
    <t xml:space="preserve"> 03:30:31 p. m.</t>
  </si>
  <si>
    <t xml:space="preserve"> 08:16:18 a. m.</t>
  </si>
  <si>
    <t xml:space="preserve"> 08:08:06 a. m.</t>
  </si>
  <si>
    <t xml:space="preserve"> 03:39:04 p. m.</t>
  </si>
  <si>
    <t xml:space="preserve"> 07:30:38 a. m.</t>
  </si>
  <si>
    <t xml:space="preserve"> 03:33:53 p. m.</t>
  </si>
  <si>
    <t xml:space="preserve"> 07:20:50 a. m.</t>
  </si>
  <si>
    <t xml:space="preserve"> 03:33:02 p. m.</t>
  </si>
  <si>
    <t xml:space="preserve"> 11:50:48 p. m.</t>
  </si>
  <si>
    <t xml:space="preserve"> 11:30:10 p. m.</t>
  </si>
  <si>
    <t xml:space="preserve"> 03:45:47 p. m.</t>
  </si>
  <si>
    <t xml:space="preserve"> 11:36:59 p. m.</t>
  </si>
  <si>
    <t xml:space="preserve"> 07:31:44 a. m.</t>
  </si>
  <si>
    <t xml:space="preserve"> 03:30:58 p. m.</t>
  </si>
  <si>
    <t xml:space="preserve"> 03:27:37 p. m.</t>
  </si>
  <si>
    <t xml:space="preserve"> 08:29:54 p. m.</t>
  </si>
  <si>
    <t xml:space="preserve"> 07:30:07 a. m.</t>
  </si>
  <si>
    <t xml:space="preserve"> 07:35:54 a. m.</t>
  </si>
  <si>
    <t xml:space="preserve"> 03:32:51 p. m.</t>
  </si>
  <si>
    <t xml:space="preserve"> 11:37:02 p. m.</t>
  </si>
  <si>
    <t xml:space="preserve"> 07:30:15 a. m.</t>
  </si>
  <si>
    <t>T*T</t>
  </si>
  <si>
    <t xml:space="preserve"> 03:32:13 p. m.</t>
  </si>
  <si>
    <t>FALTA</t>
  </si>
  <si>
    <t xml:space="preserve"> 04:57:48 p. m.</t>
  </si>
  <si>
    <t xml:space="preserve"> 03:30:48 p. m.</t>
  </si>
  <si>
    <t xml:space="preserve"> 07:30:31 a. m.</t>
  </si>
  <si>
    <t xml:space="preserve"> 09:47:11 p. m.</t>
  </si>
  <si>
    <t xml:space="preserve"> 07:22:45 a. m.</t>
  </si>
  <si>
    <t xml:space="preserve"> 11:31:26 p. m.</t>
  </si>
  <si>
    <t xml:space="preserve"> 03:31:04 p. m.</t>
  </si>
  <si>
    <t xml:space="preserve"> 11:30:13 p. m.</t>
  </si>
  <si>
    <t xml:space="preserve"> 04:57:58 p. m.</t>
  </si>
  <si>
    <t>|</t>
  </si>
  <si>
    <t>DESCANZO</t>
  </si>
  <si>
    <t>GRASEROS</t>
  </si>
  <si>
    <t>REFACCIONES</t>
  </si>
  <si>
    <t>CAQLIDAD</t>
  </si>
  <si>
    <t>FIN RAMIREZ FLORES JOSE ALEJANDRO 2/2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</si>
</sst>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6" formatCode="&quot;$&quot;#,##0;[Red]\-&quot;$&quot;#,##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[$$-80A]#,##0.00"/>
    <numFmt numFmtId="166" formatCode="[$$-80A]#,##0.0"/>
    <numFmt numFmtId="167" formatCode="_-&quot;$&quot;* #,##0_-;\-&quot;$&quot;* #,##0_-;_-&quot;$&quot;* &quot;-&quot;??_-;_-@_-"/>
    <numFmt numFmtId="168" formatCode="dd\-mm\-yy;@"/>
    <numFmt numFmtId="169" formatCode="&quot;$&quot;#,##0.00"/>
  </numFmts>
  <fonts count="10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11"/>
      <color rgb="FFFF0000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12"/>
      <color indexed="12"/>
      <name val="Arial"/>
      <family val="2"/>
    </font>
    <font>
      <sz val="10"/>
      <color rgb="FF0070C0"/>
      <name val="Arial"/>
      <family val="2"/>
    </font>
    <font>
      <sz val="8"/>
      <color rgb="FF0070C0"/>
      <name val="Arial"/>
      <family val="2"/>
    </font>
    <font>
      <sz val="7"/>
      <color rgb="FF0070C0"/>
      <name val="Arial"/>
      <family val="2"/>
    </font>
    <font>
      <sz val="11"/>
      <color rgb="FF0070C0"/>
      <name val="Arial"/>
      <family val="2"/>
    </font>
    <font>
      <b/>
      <sz val="16"/>
      <color indexed="12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b/>
      <u/>
      <sz val="12"/>
      <color indexed="12"/>
      <name val="Arial"/>
      <family val="2"/>
    </font>
    <font>
      <b/>
      <sz val="11"/>
      <color rgb="FF0070C0"/>
      <name val="Arial"/>
      <family val="2"/>
    </font>
    <font>
      <b/>
      <sz val="11"/>
      <color rgb="FFFF0000"/>
      <name val="Arial"/>
      <family val="2"/>
    </font>
    <font>
      <b/>
      <sz val="10"/>
      <color indexed="12"/>
      <name val="Arial"/>
      <family val="2"/>
    </font>
    <font>
      <sz val="12"/>
      <color rgb="FF0070C0"/>
      <name val="Arial"/>
      <family val="2"/>
    </font>
    <font>
      <b/>
      <sz val="10"/>
      <color theme="9" tint="-0.499984740745262"/>
      <name val="Arial"/>
      <family val="2"/>
    </font>
    <font>
      <b/>
      <sz val="11"/>
      <color theme="9" tint="-0.499984740745262"/>
      <name val="Arial"/>
      <family val="2"/>
    </font>
    <font>
      <sz val="11"/>
      <color indexed="10"/>
      <name val="Arial"/>
      <family val="2"/>
    </font>
    <font>
      <b/>
      <sz val="7"/>
      <color indexed="48"/>
      <name val="Arial"/>
      <family val="2"/>
    </font>
    <font>
      <b/>
      <sz val="10"/>
      <color rgb="FF170CEE"/>
      <name val="Arial"/>
      <family val="2"/>
    </font>
    <font>
      <b/>
      <sz val="11"/>
      <color rgb="FF002060"/>
      <name val="Arial"/>
      <family val="2"/>
    </font>
    <font>
      <sz val="11"/>
      <color rgb="FF002060"/>
      <name val="Arial"/>
      <family val="2"/>
    </font>
    <font>
      <b/>
      <sz val="10"/>
      <color indexed="10"/>
      <name val="Arial"/>
      <family val="2"/>
    </font>
    <font>
      <sz val="10"/>
      <color rgb="FF0070C0"/>
      <name val="Comic Sans MS"/>
      <family val="4"/>
    </font>
    <font>
      <sz val="10"/>
      <color rgb="FF002060"/>
      <name val="Comic Sans MS"/>
      <family val="4"/>
    </font>
    <font>
      <sz val="12"/>
      <name val="Arial"/>
      <family val="2"/>
    </font>
    <font>
      <sz val="11"/>
      <color indexed="8"/>
      <name val="Arial"/>
      <family val="2"/>
    </font>
    <font>
      <b/>
      <sz val="8"/>
      <color indexed="8"/>
      <name val="Arial"/>
      <family val="2"/>
    </font>
    <font>
      <b/>
      <sz val="8"/>
      <color rgb="FFFF0000"/>
      <name val="Arial"/>
      <family val="2"/>
    </font>
    <font>
      <sz val="9"/>
      <color rgb="FF0070C0"/>
      <name val="Arial"/>
      <family val="2"/>
    </font>
    <font>
      <sz val="11"/>
      <color theme="1"/>
      <name val="Arial"/>
      <family val="2"/>
    </font>
    <font>
      <b/>
      <sz val="14"/>
      <color rgb="FFFF0000"/>
      <name val="Arial"/>
      <family val="2"/>
    </font>
    <font>
      <b/>
      <sz val="14"/>
      <color indexed="12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0"/>
      <color theme="0"/>
      <name val="Arial"/>
      <family val="2"/>
    </font>
    <font>
      <b/>
      <sz val="10"/>
      <name val="Arial"/>
      <family val="2"/>
    </font>
    <font>
      <sz val="12"/>
      <color indexed="9"/>
      <name val="Arial"/>
      <family val="2"/>
    </font>
    <font>
      <sz val="10"/>
      <name val="Comic Sans MS"/>
      <family val="4"/>
    </font>
    <font>
      <sz val="7"/>
      <name val="Comic Sans MS"/>
      <family val="4"/>
    </font>
    <font>
      <sz val="10"/>
      <color theme="7" tint="-0.249977111117893"/>
      <name val="Comic Sans MS"/>
      <family val="4"/>
    </font>
    <font>
      <b/>
      <sz val="10"/>
      <name val="Comic Sans MS"/>
      <family val="4"/>
    </font>
    <font>
      <sz val="10"/>
      <color rgb="FFFF0000"/>
      <name val="Comic Sans MS"/>
      <family val="4"/>
    </font>
    <font>
      <sz val="8"/>
      <name val="Arial"/>
      <family val="2"/>
    </font>
    <font>
      <b/>
      <sz val="10"/>
      <color rgb="FF7030A0"/>
      <name val="Arial"/>
      <family val="2"/>
    </font>
    <font>
      <b/>
      <sz val="11"/>
      <color rgb="FF7030A0"/>
      <name val="Calibri"/>
      <family val="2"/>
      <scheme val="minor"/>
    </font>
    <font>
      <b/>
      <sz val="11"/>
      <color rgb="FF7030A0"/>
      <name val="Arial"/>
      <family val="2"/>
    </font>
    <font>
      <sz val="10"/>
      <color indexed="8"/>
      <name val="Arial"/>
      <family val="2"/>
    </font>
    <font>
      <b/>
      <sz val="9"/>
      <name val="Comic Sans MS"/>
      <family val="4"/>
    </font>
    <font>
      <sz val="9"/>
      <color indexed="8"/>
      <name val="Arial Narrow"/>
      <family val="2"/>
    </font>
    <font>
      <sz val="9"/>
      <name val="Comic Sans MS"/>
      <family val="4"/>
    </font>
    <font>
      <sz val="7"/>
      <color indexed="8"/>
      <name val="Arial Narrow"/>
      <family val="2"/>
    </font>
    <font>
      <sz val="11"/>
      <color rgb="FF0070C0"/>
      <name val="Calibri"/>
      <family val="2"/>
    </font>
    <font>
      <sz val="11"/>
      <color rgb="FF002060"/>
      <name val="Calibri"/>
      <family val="2"/>
    </font>
    <font>
      <b/>
      <sz val="8"/>
      <name val="Comic Sans MS"/>
      <family val="4"/>
    </font>
    <font>
      <sz val="11"/>
      <color indexed="8"/>
      <name val="Calibri"/>
      <family val="2"/>
    </font>
    <font>
      <sz val="9"/>
      <color indexed="10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sz val="8"/>
      <color indexed="10"/>
      <name val="Arial"/>
      <family val="2"/>
    </font>
    <font>
      <b/>
      <sz val="11"/>
      <color indexed="10"/>
      <name val="Arial"/>
      <family val="2"/>
    </font>
    <font>
      <b/>
      <sz val="9"/>
      <color indexed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b/>
      <sz val="11"/>
      <color theme="0"/>
      <name val="Arial"/>
      <family val="2"/>
    </font>
    <font>
      <b/>
      <sz val="11"/>
      <color indexed="8"/>
      <name val="Arial"/>
      <family val="2"/>
    </font>
    <font>
      <b/>
      <sz val="10"/>
      <color rgb="FF0070C0"/>
      <name val="Arial"/>
      <family val="2"/>
    </font>
    <font>
      <b/>
      <sz val="10"/>
      <color indexed="8"/>
      <name val="Arial"/>
      <family val="2"/>
    </font>
    <font>
      <b/>
      <sz val="11"/>
      <color rgb="FF3A6C38"/>
      <name val="Arial"/>
      <family val="2"/>
    </font>
    <font>
      <b/>
      <sz val="2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9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4"/>
      <name val="Comic Sans MS"/>
      <family val="4"/>
    </font>
    <font>
      <sz val="8"/>
      <name val="Comic Sans MS"/>
      <family val="4"/>
    </font>
    <font>
      <b/>
      <sz val="11"/>
      <name val="Comic Sans MS"/>
      <family val="4"/>
    </font>
    <font>
      <b/>
      <sz val="8"/>
      <color rgb="FF000000"/>
      <name val="Arial"/>
      <family val="2"/>
    </font>
    <font>
      <b/>
      <sz val="14"/>
      <color rgb="FF0000FF"/>
      <name val="Arial"/>
      <family val="2"/>
    </font>
    <font>
      <sz val="10"/>
      <color indexed="8"/>
      <name val="Comic Sans MS"/>
      <family val="4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7"/>
      <color indexed="8"/>
      <name val="Arial"/>
      <family val="2"/>
    </font>
    <font>
      <b/>
      <sz val="7"/>
      <color rgb="FF000000"/>
      <name val="Arial"/>
      <family val="2"/>
    </font>
    <font>
      <sz val="11"/>
      <name val="Calibri"/>
      <family val="2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1"/>
      <name val="Calibri"/>
    </font>
    <font>
      <b/>
      <sz val="8"/>
      <name val="Calibri"/>
      <family val="2"/>
    </font>
    <font>
      <sz val="9"/>
      <color theme="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9AE2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AEC88E"/>
        <bgColor indexed="64"/>
      </patternFill>
    </fill>
    <fill>
      <patternFill patternType="solid">
        <fgColor rgb="FFFFDF79"/>
        <bgColor indexed="64"/>
      </patternFill>
    </fill>
    <fill>
      <patternFill patternType="solid">
        <fgColor rgb="FFEDC49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C99"/>
        <bgColor rgb="FF00000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CE6C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4E6C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DDA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7" fillId="0" borderId="0"/>
    <xf numFmtId="44" fontId="65" fillId="0" borderId="0" applyFont="0" applyFill="0" applyBorder="0" applyAlignment="0" applyProtection="0"/>
    <xf numFmtId="0" fontId="74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8" fillId="0" borderId="0"/>
    <xf numFmtId="0" fontId="102" fillId="0" borderId="0"/>
  </cellStyleXfs>
  <cellXfs count="936">
    <xf numFmtId="0" fontId="0" fillId="0" borderId="0" xfId="0"/>
    <xf numFmtId="164" fontId="4" fillId="0" borderId="0" xfId="1" applyNumberFormat="1" applyFont="1" applyFill="1"/>
    <xf numFmtId="0" fontId="5" fillId="0" borderId="1" xfId="0" applyFont="1" applyBorder="1"/>
    <xf numFmtId="0" fontId="5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4" fillId="0" borderId="1" xfId="0" applyFont="1" applyFill="1" applyBorder="1" applyAlignment="1">
      <alignment horizontal="center"/>
    </xf>
    <xf numFmtId="0" fontId="6" fillId="0" borderId="1" xfId="0" applyFont="1" applyFill="1" applyBorder="1"/>
    <xf numFmtId="1" fontId="7" fillId="0" borderId="1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44" fontId="4" fillId="0" borderId="0" xfId="2" applyFont="1" applyFill="1" applyBorder="1"/>
    <xf numFmtId="0" fontId="8" fillId="0" borderId="0" xfId="0" applyNumberFormat="1" applyFont="1" applyFill="1" applyBorder="1" applyAlignment="1">
      <alignment horizontal="center"/>
    </xf>
    <xf numFmtId="44" fontId="4" fillId="0" borderId="0" xfId="2" applyFont="1" applyFill="1" applyBorder="1" applyAlignment="1">
      <alignment horizontal="center"/>
    </xf>
    <xf numFmtId="165" fontId="9" fillId="0" borderId="0" xfId="2" applyNumberFormat="1" applyFont="1" applyFill="1" applyBorder="1" applyAlignment="1">
      <alignment horizontal="center" vertical="center" wrapText="1"/>
    </xf>
    <xf numFmtId="0" fontId="4" fillId="0" borderId="0" xfId="0" applyFont="1" applyFill="1"/>
    <xf numFmtId="0" fontId="10" fillId="0" borderId="0" xfId="0" applyFont="1" applyFill="1" applyAlignment="1">
      <alignment vertical="center" wrapText="1"/>
    </xf>
    <xf numFmtId="0" fontId="11" fillId="0" borderId="0" xfId="0" applyNumberFormat="1" applyFont="1" applyFill="1" applyBorder="1" applyAlignment="1">
      <alignment horizontal="center"/>
    </xf>
    <xf numFmtId="165" fontId="12" fillId="0" borderId="0" xfId="0" applyNumberFormat="1" applyFont="1" applyFill="1" applyBorder="1" applyAlignment="1">
      <alignment horizontal="center" vertical="center" wrapText="1"/>
    </xf>
    <xf numFmtId="165" fontId="1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14" fillId="0" borderId="0" xfId="0" applyFont="1" applyFill="1"/>
    <xf numFmtId="0" fontId="14" fillId="0" borderId="0" xfId="0" applyFont="1" applyFill="1" applyBorder="1"/>
    <xf numFmtId="0" fontId="4" fillId="0" borderId="0" xfId="0" applyFont="1" applyFill="1" applyBorder="1"/>
    <xf numFmtId="0" fontId="0" fillId="0" borderId="0" xfId="0" applyFill="1" applyBorder="1"/>
    <xf numFmtId="166" fontId="8" fillId="0" borderId="7" xfId="2" applyNumberFormat="1" applyFont="1" applyFill="1" applyBorder="1" applyAlignment="1">
      <alignment horizontal="center" wrapText="1"/>
    </xf>
    <xf numFmtId="44" fontId="16" fillId="0" borderId="0" xfId="2" applyFont="1" applyFill="1" applyBorder="1" applyAlignment="1">
      <alignment horizontal="center" wrapText="1"/>
    </xf>
    <xf numFmtId="165" fontId="17" fillId="2" borderId="8" xfId="2" applyNumberFormat="1" applyFont="1" applyFill="1" applyBorder="1" applyAlignment="1">
      <alignment horizontal="center" vertical="center" wrapText="1"/>
    </xf>
    <xf numFmtId="0" fontId="7" fillId="0" borderId="0" xfId="0" applyFont="1" applyFill="1" applyBorder="1"/>
    <xf numFmtId="0" fontId="7" fillId="0" borderId="0" xfId="0" applyFont="1" applyFill="1" applyBorder="1" applyAlignment="1"/>
    <xf numFmtId="0" fontId="7" fillId="0" borderId="9" xfId="0" applyFont="1" applyFill="1" applyBorder="1"/>
    <xf numFmtId="0" fontId="7" fillId="0" borderId="10" xfId="0" applyFont="1" applyFill="1" applyBorder="1"/>
    <xf numFmtId="166" fontId="18" fillId="0" borderId="8" xfId="0" applyNumberFormat="1" applyFont="1" applyFill="1" applyBorder="1" applyAlignment="1">
      <alignment vertical="center" wrapText="1"/>
    </xf>
    <xf numFmtId="166" fontId="19" fillId="0" borderId="0" xfId="0" applyNumberFormat="1" applyFont="1" applyFill="1" applyAlignment="1">
      <alignment horizontal="center" vertical="center"/>
    </xf>
    <xf numFmtId="166" fontId="19" fillId="0" borderId="0" xfId="0" applyNumberFormat="1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/>
    </xf>
    <xf numFmtId="0" fontId="5" fillId="0" borderId="12" xfId="0" applyFont="1" applyFill="1" applyBorder="1" applyAlignment="1">
      <alignment horizontal="center"/>
    </xf>
    <xf numFmtId="0" fontId="4" fillId="0" borderId="12" xfId="0" applyFont="1" applyFill="1" applyBorder="1" applyAlignment="1">
      <alignment horizontal="left"/>
    </xf>
    <xf numFmtId="0" fontId="7" fillId="0" borderId="12" xfId="0" applyFont="1" applyFill="1" applyBorder="1" applyAlignment="1">
      <alignment horizontal="center"/>
    </xf>
    <xf numFmtId="0" fontId="20" fillId="0" borderId="12" xfId="0" applyFont="1" applyFill="1" applyBorder="1" applyAlignment="1">
      <alignment horizontal="center"/>
    </xf>
    <xf numFmtId="0" fontId="4" fillId="0" borderId="12" xfId="0" applyFont="1" applyFill="1" applyBorder="1"/>
    <xf numFmtId="44" fontId="7" fillId="0" borderId="13" xfId="2" applyFont="1" applyFill="1" applyBorder="1" applyAlignment="1">
      <alignment horizontal="center"/>
    </xf>
    <xf numFmtId="167" fontId="9" fillId="0" borderId="0" xfId="2" applyNumberFormat="1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/>
    </xf>
    <xf numFmtId="0" fontId="21" fillId="0" borderId="0" xfId="0" applyFont="1" applyFill="1" applyAlignment="1">
      <alignment vertical="center" wrapText="1"/>
    </xf>
    <xf numFmtId="165" fontId="22" fillId="0" borderId="0" xfId="0" applyNumberFormat="1" applyFont="1" applyFill="1" applyBorder="1" applyAlignment="1">
      <alignment horizontal="center"/>
    </xf>
    <xf numFmtId="0" fontId="19" fillId="0" borderId="0" xfId="0" applyFont="1" applyFill="1" applyAlignment="1">
      <alignment horizontal="center"/>
    </xf>
    <xf numFmtId="0" fontId="19" fillId="0" borderId="0" xfId="0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4" fillId="0" borderId="12" xfId="0" applyFont="1" applyFill="1" applyBorder="1" applyAlignment="1">
      <alignment horizontal="center"/>
    </xf>
    <xf numFmtId="44" fontId="4" fillId="0" borderId="13" xfId="2" applyFont="1" applyFill="1" applyBorder="1" applyAlignment="1">
      <alignment horizontal="right" wrapText="1"/>
    </xf>
    <xf numFmtId="167" fontId="26" fillId="0" borderId="0" xfId="2" applyNumberFormat="1" applyFont="1" applyFill="1" applyBorder="1" applyAlignment="1">
      <alignment horizontal="center" wrapText="1"/>
    </xf>
    <xf numFmtId="167" fontId="26" fillId="0" borderId="0" xfId="2" applyNumberFormat="1" applyFont="1" applyFill="1" applyBorder="1" applyAlignment="1">
      <alignment horizontal="center" vertical="center" wrapText="1"/>
    </xf>
    <xf numFmtId="44" fontId="4" fillId="0" borderId="14" xfId="2" applyFont="1" applyFill="1" applyBorder="1"/>
    <xf numFmtId="44" fontId="4" fillId="0" borderId="15" xfId="2" applyFont="1" applyFill="1" applyBorder="1"/>
    <xf numFmtId="0" fontId="7" fillId="0" borderId="14" xfId="0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/>
    </xf>
    <xf numFmtId="44" fontId="4" fillId="0" borderId="16" xfId="2" applyFont="1" applyFill="1" applyBorder="1"/>
    <xf numFmtId="44" fontId="4" fillId="0" borderId="0" xfId="0" applyNumberFormat="1" applyFont="1" applyFill="1"/>
    <xf numFmtId="44" fontId="27" fillId="3" borderId="0" xfId="0" applyNumberFormat="1" applyFont="1" applyFill="1" applyBorder="1" applyAlignment="1">
      <alignment vertical="center" wrapText="1"/>
    </xf>
    <xf numFmtId="0" fontId="11" fillId="4" borderId="12" xfId="0" applyNumberFormat="1" applyFont="1" applyFill="1" applyBorder="1" applyAlignment="1">
      <alignment horizontal="center"/>
    </xf>
    <xf numFmtId="165" fontId="13" fillId="0" borderId="12" xfId="0" applyNumberFormat="1" applyFont="1" applyFill="1" applyBorder="1" applyAlignment="1">
      <alignment horizontal="center" vertical="center" wrapText="1"/>
    </xf>
    <xf numFmtId="165" fontId="13" fillId="5" borderId="0" xfId="0" quotePrefix="1" applyNumberFormat="1" applyFont="1" applyFill="1" applyBorder="1" applyAlignment="1">
      <alignment horizontal="center"/>
    </xf>
    <xf numFmtId="165" fontId="11" fillId="5" borderId="0" xfId="0" applyNumberFormat="1" applyFont="1" applyFill="1" applyBorder="1" applyAlignment="1">
      <alignment horizontal="center"/>
    </xf>
    <xf numFmtId="165" fontId="11" fillId="6" borderId="0" xfId="0" applyNumberFormat="1" applyFont="1" applyFill="1" applyBorder="1" applyAlignment="1">
      <alignment horizontal="center"/>
    </xf>
    <xf numFmtId="165" fontId="11" fillId="4" borderId="0" xfId="0" applyNumberFormat="1" applyFont="1" applyFill="1" applyBorder="1" applyAlignment="1">
      <alignment horizontal="center"/>
    </xf>
    <xf numFmtId="165" fontId="28" fillId="0" borderId="0" xfId="0" applyNumberFormat="1" applyFont="1" applyFill="1" applyBorder="1" applyAlignment="1">
      <alignment horizontal="center"/>
    </xf>
    <xf numFmtId="165" fontId="29" fillId="0" borderId="0" xfId="0" applyNumberFormat="1" applyFont="1" applyFill="1" applyBorder="1" applyAlignment="1">
      <alignment horizontal="center"/>
    </xf>
    <xf numFmtId="0" fontId="0" fillId="0" borderId="0" xfId="0" applyBorder="1"/>
    <xf numFmtId="0" fontId="0" fillId="6" borderId="0" xfId="0" applyFill="1" applyBorder="1"/>
    <xf numFmtId="0" fontId="11" fillId="5" borderId="12" xfId="0" applyNumberFormat="1" applyFont="1" applyFill="1" applyBorder="1" applyAlignment="1">
      <alignment horizontal="center"/>
    </xf>
    <xf numFmtId="165" fontId="13" fillId="5" borderId="0" xfId="0" applyNumberFormat="1" applyFont="1" applyFill="1" applyBorder="1" applyAlignment="1">
      <alignment horizontal="center"/>
    </xf>
    <xf numFmtId="165" fontId="29" fillId="6" borderId="0" xfId="0" applyNumberFormat="1" applyFont="1" applyFill="1" applyBorder="1" applyAlignment="1">
      <alignment horizontal="center"/>
    </xf>
    <xf numFmtId="0" fontId="4" fillId="6" borderId="0" xfId="0" applyFont="1" applyFill="1" applyBorder="1"/>
    <xf numFmtId="167" fontId="4" fillId="0" borderId="0" xfId="2" applyNumberFormat="1" applyFont="1" applyFill="1" applyBorder="1"/>
    <xf numFmtId="0" fontId="0" fillId="6" borderId="0" xfId="0" applyFill="1" applyBorder="1" applyAlignment="1">
      <alignment horizontal="left"/>
    </xf>
    <xf numFmtId="0" fontId="5" fillId="0" borderId="19" xfId="0" applyFont="1" applyFill="1" applyBorder="1" applyAlignment="1">
      <alignment horizontal="center"/>
    </xf>
    <xf numFmtId="0" fontId="4" fillId="0" borderId="19" xfId="0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center"/>
    </xf>
    <xf numFmtId="0" fontId="30" fillId="0" borderId="0" xfId="0" applyFont="1" applyFill="1" applyBorder="1" applyAlignment="1">
      <alignment horizontal="center"/>
    </xf>
    <xf numFmtId="44" fontId="4" fillId="0" borderId="0" xfId="2" applyFont="1" applyFill="1" applyBorder="1" applyAlignment="1">
      <alignment horizontal="right" wrapText="1"/>
    </xf>
    <xf numFmtId="165" fontId="13" fillId="0" borderId="0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/>
    </xf>
    <xf numFmtId="0" fontId="2" fillId="0" borderId="0" xfId="0" applyFont="1" applyFill="1" applyBorder="1"/>
    <xf numFmtId="0" fontId="31" fillId="0" borderId="0" xfId="0" applyFont="1" applyFill="1"/>
    <xf numFmtId="0" fontId="32" fillId="0" borderId="0" xfId="0" applyFont="1" applyFill="1" applyBorder="1"/>
    <xf numFmtId="0" fontId="33" fillId="0" borderId="0" xfId="0" applyFont="1" applyFill="1" applyBorder="1"/>
    <xf numFmtId="0" fontId="33" fillId="9" borderId="0" xfId="0" applyFont="1" applyFill="1" applyBorder="1"/>
    <xf numFmtId="0" fontId="34" fillId="0" borderId="0" xfId="0" applyFont="1" applyFill="1" applyBorder="1"/>
    <xf numFmtId="0" fontId="6" fillId="0" borderId="0" xfId="0" applyFont="1" applyFill="1" applyBorder="1"/>
    <xf numFmtId="0" fontId="29" fillId="0" borderId="0" xfId="0" applyFont="1" applyFill="1" applyBorder="1"/>
    <xf numFmtId="0" fontId="4" fillId="9" borderId="0" xfId="0" applyFont="1" applyFill="1" applyBorder="1"/>
    <xf numFmtId="0" fontId="20" fillId="0" borderId="0" xfId="0" applyNumberFormat="1" applyFont="1" applyFill="1" applyBorder="1" applyAlignment="1">
      <alignment horizontal="center" vertical="center"/>
    </xf>
    <xf numFmtId="0" fontId="35" fillId="0" borderId="21" xfId="0" applyFont="1" applyFill="1" applyBorder="1" applyAlignment="1">
      <alignment horizontal="center" vertical="center" wrapText="1"/>
    </xf>
    <xf numFmtId="0" fontId="36" fillId="0" borderId="22" xfId="0" applyFont="1" applyFill="1" applyBorder="1" applyAlignment="1">
      <alignment horizontal="center" vertical="center" wrapText="1"/>
    </xf>
    <xf numFmtId="0" fontId="35" fillId="0" borderId="22" xfId="0" applyFont="1" applyFill="1" applyBorder="1" applyAlignment="1">
      <alignment horizontal="center" vertical="center" wrapText="1"/>
    </xf>
    <xf numFmtId="44" fontId="7" fillId="0" borderId="7" xfId="2" applyFont="1" applyFill="1" applyBorder="1" applyAlignment="1">
      <alignment horizontal="center"/>
    </xf>
    <xf numFmtId="1" fontId="21" fillId="0" borderId="0" xfId="0" applyNumberFormat="1" applyFont="1" applyFill="1" applyAlignment="1">
      <alignment vertical="center" wrapText="1"/>
    </xf>
    <xf numFmtId="0" fontId="37" fillId="0" borderId="0" xfId="0" applyNumberFormat="1" applyFont="1" applyFill="1" applyBorder="1" applyAlignment="1">
      <alignment horizontal="center"/>
    </xf>
    <xf numFmtId="0" fontId="29" fillId="0" borderId="0" xfId="0" applyFont="1" applyFill="1"/>
    <xf numFmtId="0" fontId="35" fillId="0" borderId="11" xfId="0" applyFont="1" applyFill="1" applyBorder="1" applyAlignment="1">
      <alignment horizontal="center" vertical="center" wrapText="1"/>
    </xf>
    <xf numFmtId="0" fontId="36" fillId="0" borderId="12" xfId="0" applyFont="1" applyFill="1" applyBorder="1" applyAlignment="1">
      <alignment vertical="center" wrapText="1"/>
    </xf>
    <xf numFmtId="0" fontId="35" fillId="0" borderId="12" xfId="0" applyFont="1" applyFill="1" applyBorder="1" applyAlignment="1">
      <alignment horizontal="center" vertical="center" wrapText="1"/>
    </xf>
    <xf numFmtId="0" fontId="35" fillId="0" borderId="12" xfId="0" applyFont="1" applyFill="1" applyBorder="1" applyAlignment="1">
      <alignment vertical="center" wrapText="1"/>
    </xf>
    <xf numFmtId="2" fontId="7" fillId="0" borderId="13" xfId="2" applyNumberFormat="1" applyFont="1" applyFill="1" applyBorder="1" applyAlignment="1">
      <alignment horizontal="center"/>
    </xf>
    <xf numFmtId="0" fontId="38" fillId="0" borderId="0" xfId="0" applyFont="1"/>
    <xf numFmtId="0" fontId="0" fillId="0" borderId="23" xfId="0" applyFill="1" applyBorder="1" applyAlignment="1">
      <alignment horizontal="center"/>
    </xf>
    <xf numFmtId="0" fontId="39" fillId="0" borderId="24" xfId="0" applyFont="1" applyFill="1" applyBorder="1" applyAlignment="1">
      <alignment horizontal="center"/>
    </xf>
    <xf numFmtId="0" fontId="40" fillId="0" borderId="24" xfId="0" applyFont="1" applyFill="1" applyBorder="1" applyAlignment="1">
      <alignment horizontal="center"/>
    </xf>
    <xf numFmtId="2" fontId="7" fillId="0" borderId="25" xfId="2" applyNumberFormat="1" applyFont="1" applyFill="1" applyBorder="1" applyAlignment="1">
      <alignment horizontal="center"/>
    </xf>
    <xf numFmtId="0" fontId="35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vertical="center" wrapText="1"/>
    </xf>
    <xf numFmtId="0" fontId="35" fillId="0" borderId="0" xfId="0" applyFont="1" applyFill="1" applyBorder="1" applyAlignment="1">
      <alignment vertical="center" wrapText="1"/>
    </xf>
    <xf numFmtId="2" fontId="7" fillId="0" borderId="0" xfId="2" applyNumberFormat="1" applyFont="1" applyFill="1" applyBorder="1" applyAlignment="1">
      <alignment horizontal="center"/>
    </xf>
    <xf numFmtId="165" fontId="14" fillId="0" borderId="0" xfId="0" applyNumberFormat="1" applyFont="1" applyFill="1" applyBorder="1" applyAlignment="1">
      <alignment horizontal="center"/>
    </xf>
    <xf numFmtId="0" fontId="0" fillId="0" borderId="11" xfId="0" applyFill="1" applyBorder="1"/>
    <xf numFmtId="0" fontId="0" fillId="0" borderId="12" xfId="0" applyFill="1" applyBorder="1"/>
    <xf numFmtId="0" fontId="38" fillId="0" borderId="12" xfId="0" applyFont="1" applyFill="1" applyBorder="1"/>
    <xf numFmtId="0" fontId="3" fillId="0" borderId="12" xfId="0" applyFont="1" applyFill="1" applyBorder="1" applyAlignment="1">
      <alignment horizontal="center"/>
    </xf>
    <xf numFmtId="0" fontId="41" fillId="0" borderId="12" xfId="0" applyFont="1" applyFill="1" applyBorder="1" applyAlignment="1">
      <alignment horizontal="center"/>
    </xf>
    <xf numFmtId="0" fontId="30" fillId="0" borderId="12" xfId="0" applyFont="1" applyFill="1" applyBorder="1" applyAlignment="1">
      <alignment horizontal="center"/>
    </xf>
    <xf numFmtId="0" fontId="42" fillId="0" borderId="13" xfId="0" applyFont="1" applyBorder="1"/>
    <xf numFmtId="0" fontId="43" fillId="0" borderId="0" xfId="0" applyFont="1" applyFill="1"/>
    <xf numFmtId="0" fontId="43" fillId="0" borderId="0" xfId="0" applyFont="1"/>
    <xf numFmtId="0" fontId="44" fillId="0" borderId="0" xfId="0" applyFont="1" applyBorder="1"/>
    <xf numFmtId="44" fontId="4" fillId="0" borderId="20" xfId="2" applyFont="1" applyFill="1" applyBorder="1" applyAlignment="1">
      <alignment horizontal="right" wrapText="1"/>
    </xf>
    <xf numFmtId="2" fontId="8" fillId="0" borderId="0" xfId="0" applyNumberFormat="1" applyFont="1" applyFill="1" applyBorder="1" applyAlignment="1">
      <alignment horizontal="center"/>
    </xf>
    <xf numFmtId="0" fontId="43" fillId="0" borderId="0" xfId="0" applyFont="1" applyFill="1" applyBorder="1"/>
    <xf numFmtId="0" fontId="24" fillId="7" borderId="12" xfId="0" applyFont="1" applyFill="1" applyBorder="1" applyAlignment="1"/>
    <xf numFmtId="165" fontId="13" fillId="5" borderId="12" xfId="0" applyNumberFormat="1" applyFont="1" applyFill="1" applyBorder="1" applyAlignment="1">
      <alignment horizontal="center" vertical="center" wrapText="1"/>
    </xf>
    <xf numFmtId="0" fontId="45" fillId="10" borderId="11" xfId="0" applyNumberFormat="1" applyFont="1" applyFill="1" applyBorder="1" applyAlignment="1">
      <alignment horizontal="center"/>
    </xf>
    <xf numFmtId="44" fontId="46" fillId="0" borderId="0" xfId="2" applyFont="1" applyFill="1" applyBorder="1" applyAlignment="1">
      <alignment horizontal="center"/>
    </xf>
    <xf numFmtId="0" fontId="23" fillId="7" borderId="11" xfId="0" applyFont="1" applyFill="1" applyBorder="1" applyAlignment="1">
      <alignment horizontal="center"/>
    </xf>
    <xf numFmtId="0" fontId="35" fillId="0" borderId="28" xfId="0" applyFont="1" applyFill="1" applyBorder="1" applyAlignment="1">
      <alignment horizontal="center" vertical="center" wrapText="1"/>
    </xf>
    <xf numFmtId="0" fontId="36" fillId="0" borderId="29" xfId="0" applyFont="1" applyFill="1" applyBorder="1" applyAlignment="1">
      <alignment vertical="center" wrapText="1"/>
    </xf>
    <xf numFmtId="0" fontId="35" fillId="0" borderId="29" xfId="0" applyFont="1" applyFill="1" applyBorder="1" applyAlignment="1">
      <alignment horizontal="center" vertical="center" wrapText="1"/>
    </xf>
    <xf numFmtId="0" fontId="35" fillId="0" borderId="29" xfId="0" applyFont="1" applyFill="1" applyBorder="1" applyAlignment="1">
      <alignment vertical="center" wrapText="1"/>
    </xf>
    <xf numFmtId="0" fontId="11" fillId="0" borderId="12" xfId="0" applyNumberFormat="1" applyFont="1" applyFill="1" applyBorder="1" applyAlignment="1">
      <alignment horizontal="center"/>
    </xf>
    <xf numFmtId="0" fontId="4" fillId="0" borderId="30" xfId="0" applyFont="1" applyFill="1" applyBorder="1" applyAlignment="1">
      <alignment horizontal="center"/>
    </xf>
    <xf numFmtId="0" fontId="25" fillId="0" borderId="30" xfId="0" applyFont="1" applyFill="1" applyBorder="1" applyAlignment="1">
      <alignment horizontal="center"/>
    </xf>
    <xf numFmtId="0" fontId="24" fillId="11" borderId="12" xfId="0" applyFont="1" applyFill="1" applyBorder="1" applyAlignment="1"/>
    <xf numFmtId="0" fontId="5" fillId="0" borderId="11" xfId="0" applyNumberFormat="1" applyFont="1" applyFill="1" applyBorder="1" applyAlignment="1">
      <alignment horizontal="center"/>
    </xf>
    <xf numFmtId="49" fontId="13" fillId="5" borderId="12" xfId="0" applyNumberFormat="1" applyFont="1" applyFill="1" applyBorder="1" applyAlignment="1">
      <alignment horizontal="center" vertical="center" wrapText="1"/>
    </xf>
    <xf numFmtId="0" fontId="5" fillId="0" borderId="18" xfId="0" applyNumberFormat="1" applyFont="1" applyFill="1" applyBorder="1" applyAlignment="1">
      <alignment horizontal="center"/>
    </xf>
    <xf numFmtId="0" fontId="4" fillId="0" borderId="19" xfId="0" applyFont="1" applyFill="1" applyBorder="1" applyAlignment="1"/>
    <xf numFmtId="0" fontId="47" fillId="0" borderId="0" xfId="0" applyFont="1" applyFill="1" applyBorder="1"/>
    <xf numFmtId="0" fontId="15" fillId="0" borderId="0" xfId="0" applyFont="1" applyFill="1" applyBorder="1" applyAlignment="1">
      <alignment horizontal="center"/>
    </xf>
    <xf numFmtId="0" fontId="34" fillId="0" borderId="0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9" fillId="0" borderId="0" xfId="0" applyFont="1" applyFill="1" applyBorder="1" applyAlignment="1">
      <alignment horizontal="center"/>
    </xf>
    <xf numFmtId="0" fontId="40" fillId="0" borderId="0" xfId="0" applyFont="1" applyFill="1" applyBorder="1" applyAlignment="1">
      <alignment horizontal="center"/>
    </xf>
    <xf numFmtId="0" fontId="48" fillId="0" borderId="0" xfId="0" applyFont="1" applyFill="1" applyBorder="1"/>
    <xf numFmtId="0" fontId="49" fillId="0" borderId="0" xfId="0" applyFont="1"/>
    <xf numFmtId="0" fontId="48" fillId="0" borderId="0" xfId="0" applyFont="1"/>
    <xf numFmtId="0" fontId="32" fillId="0" borderId="0" xfId="0" applyFont="1" applyFill="1"/>
    <xf numFmtId="44" fontId="48" fillId="12" borderId="32" xfId="2" applyFont="1" applyFill="1" applyBorder="1"/>
    <xf numFmtId="44" fontId="48" fillId="0" borderId="0" xfId="2" applyFont="1" applyFill="1" applyBorder="1"/>
    <xf numFmtId="0" fontId="48" fillId="0" borderId="0" xfId="0" applyFont="1" applyBorder="1"/>
    <xf numFmtId="0" fontId="5" fillId="13" borderId="11" xfId="0" applyNumberFormat="1" applyFont="1" applyFill="1" applyBorder="1" applyAlignment="1">
      <alignment horizontal="center"/>
    </xf>
    <xf numFmtId="0" fontId="48" fillId="13" borderId="12" xfId="0" applyFont="1" applyFill="1" applyBorder="1"/>
    <xf numFmtId="0" fontId="48" fillId="0" borderId="35" xfId="0" applyFont="1" applyFill="1" applyBorder="1"/>
    <xf numFmtId="0" fontId="48" fillId="0" borderId="0" xfId="0" applyFont="1" applyFill="1" applyAlignment="1">
      <alignment horizontal="center"/>
    </xf>
    <xf numFmtId="0" fontId="48" fillId="0" borderId="17" xfId="0" applyFont="1" applyFill="1" applyBorder="1"/>
    <xf numFmtId="44" fontId="50" fillId="0" borderId="38" xfId="2" applyFont="1" applyFill="1" applyBorder="1"/>
    <xf numFmtId="44" fontId="50" fillId="0" borderId="0" xfId="2" applyFont="1" applyFill="1" applyBorder="1"/>
    <xf numFmtId="0" fontId="51" fillId="13" borderId="12" xfId="0" applyFont="1" applyFill="1" applyBorder="1"/>
    <xf numFmtId="0" fontId="48" fillId="0" borderId="0" xfId="0" applyFont="1" applyAlignment="1">
      <alignment horizontal="center"/>
    </xf>
    <xf numFmtId="44" fontId="50" fillId="5" borderId="38" xfId="2" applyFont="1" applyFill="1" applyBorder="1"/>
    <xf numFmtId="44" fontId="50" fillId="5" borderId="39" xfId="2" applyFont="1" applyFill="1" applyBorder="1"/>
    <xf numFmtId="0" fontId="5" fillId="13" borderId="18" xfId="0" applyNumberFormat="1" applyFont="1" applyFill="1" applyBorder="1" applyAlignment="1">
      <alignment horizontal="center"/>
    </xf>
    <xf numFmtId="0" fontId="48" fillId="13" borderId="19" xfId="0" applyFont="1" applyFill="1" applyBorder="1"/>
    <xf numFmtId="0" fontId="48" fillId="0" borderId="42" xfId="0" applyFont="1" applyFill="1" applyBorder="1"/>
    <xf numFmtId="0" fontId="48" fillId="0" borderId="20" xfId="0" applyFont="1" applyFill="1" applyBorder="1"/>
    <xf numFmtId="0" fontId="17" fillId="0" borderId="39" xfId="2" applyNumberFormat="1" applyFont="1" applyFill="1" applyBorder="1" applyAlignment="1">
      <alignment horizontal="right"/>
    </xf>
    <xf numFmtId="0" fontId="7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42" fillId="0" borderId="0" xfId="0" applyFont="1" applyFill="1" applyBorder="1"/>
    <xf numFmtId="0" fontId="52" fillId="0" borderId="0" xfId="0" applyFont="1" applyFill="1" applyAlignment="1">
      <alignment horizontal="left"/>
    </xf>
    <xf numFmtId="0" fontId="53" fillId="0" borderId="0" xfId="0" applyFont="1" applyFill="1" applyBorder="1" applyAlignment="1">
      <alignment horizontal="left"/>
    </xf>
    <xf numFmtId="0" fontId="0" fillId="0" borderId="0" xfId="0" applyFill="1"/>
    <xf numFmtId="0" fontId="42" fillId="0" borderId="0" xfId="0" applyFont="1" applyFill="1"/>
    <xf numFmtId="0" fontId="54" fillId="0" borderId="0" xfId="0" applyFont="1" applyFill="1" applyBorder="1" applyAlignment="1">
      <alignment horizontal="center"/>
    </xf>
    <xf numFmtId="0" fontId="55" fillId="0" borderId="0" xfId="0" applyFont="1" applyFill="1" applyBorder="1"/>
    <xf numFmtId="0" fontId="57" fillId="0" borderId="21" xfId="0" applyFont="1" applyFill="1" applyBorder="1" applyAlignment="1">
      <alignment horizontal="center"/>
    </xf>
    <xf numFmtId="0" fontId="0" fillId="0" borderId="22" xfId="0" applyFill="1" applyBorder="1"/>
    <xf numFmtId="2" fontId="7" fillId="0" borderId="22" xfId="0" applyNumberFormat="1" applyFont="1" applyBorder="1" applyAlignment="1">
      <alignment horizontal="center" vertical="center"/>
    </xf>
    <xf numFmtId="2" fontId="51" fillId="0" borderId="22" xfId="0" applyNumberFormat="1" applyFont="1" applyBorder="1" applyAlignment="1">
      <alignment horizontal="center" vertical="center"/>
    </xf>
    <xf numFmtId="0" fontId="0" fillId="0" borderId="2" xfId="0" applyFill="1" applyBorder="1"/>
    <xf numFmtId="1" fontId="59" fillId="0" borderId="11" xfId="3" applyNumberFormat="1" applyFont="1" applyFill="1" applyBorder="1" applyAlignment="1" applyProtection="1">
      <alignment horizontal="center" vertical="center"/>
      <protection locked="0"/>
    </xf>
    <xf numFmtId="0" fontId="34" fillId="13" borderId="12" xfId="0" applyFont="1" applyFill="1" applyBorder="1"/>
    <xf numFmtId="1" fontId="0" fillId="0" borderId="12" xfId="0" applyNumberFormat="1" applyFill="1" applyBorder="1" applyAlignment="1">
      <alignment horizontal="center"/>
    </xf>
    <xf numFmtId="16" fontId="0" fillId="0" borderId="0" xfId="0" quotePrefix="1" applyNumberFormat="1"/>
    <xf numFmtId="0" fontId="0" fillId="0" borderId="0" xfId="0" quotePrefix="1" applyFill="1" applyBorder="1"/>
    <xf numFmtId="0" fontId="5" fillId="0" borderId="11" xfId="0" applyNumberFormat="1" applyFont="1" applyFill="1" applyBorder="1" applyAlignment="1">
      <alignment horizontal="center" vertical="top"/>
    </xf>
    <xf numFmtId="0" fontId="0" fillId="0" borderId="17" xfId="0" applyBorder="1"/>
    <xf numFmtId="0" fontId="49" fillId="0" borderId="0" xfId="0" applyFont="1" applyFill="1"/>
    <xf numFmtId="1" fontId="59" fillId="0" borderId="26" xfId="3" applyNumberFormat="1" applyFont="1" applyFill="1" applyBorder="1" applyAlignment="1" applyProtection="1">
      <alignment horizontal="center" vertical="center"/>
      <protection locked="0"/>
    </xf>
    <xf numFmtId="0" fontId="0" fillId="0" borderId="27" xfId="0" applyFill="1" applyBorder="1"/>
    <xf numFmtId="0" fontId="34" fillId="13" borderId="27" xfId="0" applyFont="1" applyFill="1" applyBorder="1"/>
    <xf numFmtId="1" fontId="0" fillId="0" borderId="27" xfId="0" applyNumberFormat="1" applyFill="1" applyBorder="1" applyAlignment="1">
      <alignment horizontal="center"/>
    </xf>
    <xf numFmtId="0" fontId="0" fillId="0" borderId="13" xfId="0" applyBorder="1"/>
    <xf numFmtId="1" fontId="59" fillId="0" borderId="18" xfId="3" applyNumberFormat="1" applyFont="1" applyFill="1" applyBorder="1" applyAlignment="1" applyProtection="1">
      <alignment horizontal="center" vertical="center"/>
      <protection locked="0"/>
    </xf>
    <xf numFmtId="0" fontId="0" fillId="0" borderId="19" xfId="0" applyFill="1" applyBorder="1"/>
    <xf numFmtId="0" fontId="34" fillId="13" borderId="19" xfId="0" applyFont="1" applyFill="1" applyBorder="1"/>
    <xf numFmtId="1" fontId="0" fillId="0" borderId="19" xfId="0" applyNumberFormat="1" applyFill="1" applyBorder="1" applyAlignment="1">
      <alignment horizontal="center"/>
    </xf>
    <xf numFmtId="0" fontId="5" fillId="0" borderId="18" xfId="0" applyNumberFormat="1" applyFont="1" applyFill="1" applyBorder="1" applyAlignment="1">
      <alignment horizontal="center" vertical="top"/>
    </xf>
    <xf numFmtId="0" fontId="0" fillId="0" borderId="20" xfId="0" applyBorder="1"/>
    <xf numFmtId="0" fontId="57" fillId="0" borderId="0" xfId="0" applyFont="1" applyFill="1" applyBorder="1" applyAlignment="1">
      <alignment horizontal="center"/>
    </xf>
    <xf numFmtId="1" fontId="61" fillId="0" borderId="0" xfId="0" applyNumberFormat="1" applyFont="1" applyFill="1" applyBorder="1" applyAlignment="1" applyProtection="1">
      <alignment horizontal="left" vertical="top"/>
      <protection locked="0"/>
    </xf>
    <xf numFmtId="0" fontId="34" fillId="0" borderId="0" xfId="0" applyFont="1" applyFill="1" applyBorder="1" applyAlignment="1" applyProtection="1">
      <alignment horizontal="left" vertical="top"/>
      <protection locked="0"/>
    </xf>
    <xf numFmtId="168" fontId="58" fillId="0" borderId="0" xfId="0" applyNumberFormat="1" applyFont="1" applyFill="1" applyBorder="1" applyAlignment="1">
      <alignment horizontal="center" vertical="center" wrapText="1" shrinkToFit="1"/>
    </xf>
    <xf numFmtId="0" fontId="0" fillId="0" borderId="0" xfId="0" quotePrefix="1" applyNumberFormat="1" applyBorder="1"/>
    <xf numFmtId="0" fontId="5" fillId="0" borderId="0" xfId="0" applyNumberFormat="1" applyFont="1" applyFill="1" applyBorder="1" applyAlignment="1">
      <alignment horizontal="center" vertical="top"/>
    </xf>
    <xf numFmtId="0" fontId="49" fillId="0" borderId="0" xfId="0" applyFont="1" applyFill="1" applyBorder="1"/>
    <xf numFmtId="1" fontId="21" fillId="0" borderId="0" xfId="0" applyNumberFormat="1" applyFont="1" applyFill="1" applyBorder="1" applyAlignment="1">
      <alignment vertical="center" wrapText="1"/>
    </xf>
    <xf numFmtId="0" fontId="31" fillId="0" borderId="0" xfId="0" applyFont="1" applyFill="1" applyBorder="1"/>
    <xf numFmtId="1" fontId="61" fillId="0" borderId="0" xfId="0" applyNumberFormat="1" applyFont="1" applyFill="1" applyAlignment="1" applyProtection="1">
      <alignment horizontal="left" vertical="top"/>
      <protection locked="0"/>
    </xf>
    <xf numFmtId="0" fontId="34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>
      <alignment horizontal="center"/>
    </xf>
    <xf numFmtId="0" fontId="2" fillId="0" borderId="0" xfId="0" applyFont="1"/>
    <xf numFmtId="0" fontId="0" fillId="0" borderId="0" xfId="0" quotePrefix="1" applyNumberFormat="1"/>
    <xf numFmtId="164" fontId="4" fillId="0" borderId="0" xfId="1" applyNumberFormat="1" applyFont="1" applyFill="1" applyBorder="1"/>
    <xf numFmtId="168" fontId="60" fillId="0" borderId="0" xfId="0" applyNumberFormat="1" applyFont="1" applyFill="1" applyBorder="1" applyAlignment="1">
      <alignment horizontal="center" vertical="center" wrapText="1" shrinkToFit="1"/>
    </xf>
    <xf numFmtId="0" fontId="0" fillId="0" borderId="0" xfId="0" applyFill="1" applyBorder="1" applyAlignment="1"/>
    <xf numFmtId="0" fontId="62" fillId="0" borderId="0" xfId="0" applyFont="1" applyFill="1"/>
    <xf numFmtId="0" fontId="63" fillId="0" borderId="0" xfId="0" applyFont="1" applyFill="1"/>
    <xf numFmtId="0" fontId="63" fillId="0" borderId="0" xfId="0" applyFont="1" applyFill="1" applyBorder="1"/>
    <xf numFmtId="0" fontId="64" fillId="0" borderId="0" xfId="0" applyFont="1" applyAlignment="1"/>
    <xf numFmtId="0" fontId="44" fillId="0" borderId="0" xfId="0" applyFont="1" applyFill="1"/>
    <xf numFmtId="0" fontId="44" fillId="0" borderId="0" xfId="0" applyFont="1" applyFill="1" applyBorder="1"/>
    <xf numFmtId="164" fontId="0" fillId="0" borderId="0" xfId="1" applyNumberFormat="1" applyFont="1" applyFill="1"/>
    <xf numFmtId="0" fontId="4" fillId="14" borderId="12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right"/>
    </xf>
    <xf numFmtId="2" fontId="66" fillId="0" borderId="49" xfId="0" applyNumberFormat="1" applyFont="1" applyFill="1" applyBorder="1" applyAlignment="1">
      <alignment horizontal="center"/>
    </xf>
    <xf numFmtId="2" fontId="67" fillId="0" borderId="50" xfId="0" applyNumberFormat="1" applyFont="1" applyFill="1" applyBorder="1" applyAlignment="1">
      <alignment horizontal="center"/>
    </xf>
    <xf numFmtId="0" fontId="40" fillId="0" borderId="50" xfId="0" applyFont="1" applyFill="1" applyBorder="1" applyAlignment="1">
      <alignment horizontal="center"/>
    </xf>
    <xf numFmtId="0" fontId="4" fillId="0" borderId="50" xfId="0" applyFont="1" applyFill="1" applyBorder="1"/>
    <xf numFmtId="0" fontId="40" fillId="0" borderId="51" xfId="0" applyFont="1" applyFill="1" applyBorder="1" applyAlignment="1">
      <alignment horizontal="center"/>
    </xf>
    <xf numFmtId="0" fontId="7" fillId="0" borderId="38" xfId="0" applyFont="1" applyFill="1" applyBorder="1" applyAlignment="1">
      <alignment horizontal="right"/>
    </xf>
    <xf numFmtId="0" fontId="4" fillId="15" borderId="38" xfId="0" applyFont="1" applyFill="1" applyBorder="1" applyAlignment="1">
      <alignment horizontal="right"/>
    </xf>
    <xf numFmtId="2" fontId="5" fillId="0" borderId="49" xfId="0" applyNumberFormat="1" applyFont="1" applyFill="1" applyBorder="1" applyAlignment="1">
      <alignment horizontal="center"/>
    </xf>
    <xf numFmtId="0" fontId="68" fillId="0" borderId="50" xfId="0" applyFont="1" applyFill="1" applyBorder="1" applyAlignment="1">
      <alignment horizontal="center"/>
    </xf>
    <xf numFmtId="0" fontId="5" fillId="0" borderId="50" xfId="0" applyFont="1" applyFill="1" applyBorder="1" applyAlignment="1">
      <alignment horizontal="center"/>
    </xf>
    <xf numFmtId="0" fontId="5" fillId="0" borderId="51" xfId="0" applyFont="1" applyFill="1" applyBorder="1" applyAlignment="1">
      <alignment horizontal="center"/>
    </xf>
    <xf numFmtId="0" fontId="7" fillId="0" borderId="38" xfId="0" applyFont="1" applyFill="1" applyBorder="1"/>
    <xf numFmtId="0" fontId="17" fillId="0" borderId="16" xfId="0" applyFont="1" applyFill="1" applyBorder="1" applyAlignment="1">
      <alignment horizontal="center" wrapText="1" shrinkToFit="1"/>
    </xf>
    <xf numFmtId="0" fontId="2" fillId="0" borderId="14" xfId="0" applyFont="1" applyFill="1" applyBorder="1" applyAlignment="1">
      <alignment horizontal="center" wrapText="1" shrinkToFit="1"/>
    </xf>
    <xf numFmtId="0" fontId="25" fillId="16" borderId="14" xfId="0" applyFont="1" applyFill="1" applyBorder="1" applyAlignment="1">
      <alignment horizontal="center"/>
    </xf>
    <xf numFmtId="0" fontId="69" fillId="16" borderId="14" xfId="0" applyFont="1" applyFill="1" applyBorder="1" applyAlignment="1">
      <alignment horizontal="center"/>
    </xf>
    <xf numFmtId="0" fontId="25" fillId="16" borderId="15" xfId="0" applyFont="1" applyFill="1" applyBorder="1" applyAlignment="1">
      <alignment horizontal="center"/>
    </xf>
    <xf numFmtId="0" fontId="70" fillId="0" borderId="8" xfId="0" applyFont="1" applyFill="1" applyBorder="1" applyAlignment="1">
      <alignment horizontal="right"/>
    </xf>
    <xf numFmtId="2" fontId="71" fillId="0" borderId="49" xfId="0" applyNumberFormat="1" applyFont="1" applyFill="1" applyBorder="1" applyAlignment="1">
      <alignment horizontal="center"/>
    </xf>
    <xf numFmtId="0" fontId="20" fillId="0" borderId="50" xfId="0" applyFont="1" applyFill="1" applyBorder="1" applyAlignment="1">
      <alignment horizontal="center"/>
    </xf>
    <xf numFmtId="0" fontId="7" fillId="0" borderId="50" xfId="0" applyFont="1" applyFill="1" applyBorder="1" applyAlignment="1">
      <alignment horizontal="center"/>
    </xf>
    <xf numFmtId="0" fontId="70" fillId="0" borderId="50" xfId="0" applyFont="1" applyFill="1" applyBorder="1" applyAlignment="1">
      <alignment horizontal="center"/>
    </xf>
    <xf numFmtId="0" fontId="7" fillId="0" borderId="51" xfId="0" applyFont="1" applyFill="1" applyBorder="1" applyAlignment="1">
      <alignment horizontal="center"/>
    </xf>
    <xf numFmtId="0" fontId="25" fillId="14" borderId="12" xfId="0" applyFont="1" applyFill="1" applyBorder="1" applyAlignment="1">
      <alignment horizontal="center"/>
    </xf>
    <xf numFmtId="0" fontId="24" fillId="19" borderId="12" xfId="0" applyFont="1" applyFill="1" applyBorder="1" applyAlignment="1"/>
    <xf numFmtId="44" fontId="7" fillId="8" borderId="13" xfId="2" applyFont="1" applyFill="1" applyBorder="1" applyAlignment="1">
      <alignment horizontal="right" wrapText="1"/>
    </xf>
    <xf numFmtId="0" fontId="35" fillId="11" borderId="11" xfId="0" applyFont="1" applyFill="1" applyBorder="1" applyAlignment="1">
      <alignment horizontal="center" vertical="center" wrapText="1"/>
    </xf>
    <xf numFmtId="0" fontId="35" fillId="19" borderId="11" xfId="0" applyFont="1" applyFill="1" applyBorder="1" applyAlignment="1">
      <alignment horizontal="center" vertical="center" wrapText="1"/>
    </xf>
    <xf numFmtId="0" fontId="35" fillId="18" borderId="11" xfId="0" applyFont="1" applyFill="1" applyBorder="1" applyAlignment="1">
      <alignment horizontal="center" vertical="center" wrapText="1"/>
    </xf>
    <xf numFmtId="0" fontId="35" fillId="17" borderId="11" xfId="0" applyFont="1" applyFill="1" applyBorder="1" applyAlignment="1">
      <alignment horizontal="center" vertical="center" wrapText="1"/>
    </xf>
    <xf numFmtId="0" fontId="51" fillId="0" borderId="35" xfId="0" applyFont="1" applyFill="1" applyBorder="1"/>
    <xf numFmtId="0" fontId="4" fillId="14" borderId="19" xfId="0" applyFont="1" applyFill="1" applyBorder="1" applyAlignment="1">
      <alignment horizontal="center"/>
    </xf>
    <xf numFmtId="0" fontId="25" fillId="14" borderId="19" xfId="0" applyFont="1" applyFill="1" applyBorder="1" applyAlignment="1">
      <alignment horizontal="center"/>
    </xf>
    <xf numFmtId="0" fontId="24" fillId="0" borderId="12" xfId="0" applyFont="1" applyFill="1" applyBorder="1" applyAlignment="1"/>
    <xf numFmtId="0" fontId="35" fillId="20" borderId="11" xfId="0" applyFont="1" applyFill="1" applyBorder="1" applyAlignment="1">
      <alignment horizontal="center" vertical="center" wrapText="1"/>
    </xf>
    <xf numFmtId="0" fontId="23" fillId="19" borderId="11" xfId="0" applyNumberFormat="1" applyFont="1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23" fillId="11" borderId="11" xfId="0" applyNumberFormat="1" applyFont="1" applyFill="1" applyBorder="1" applyAlignment="1">
      <alignment horizontal="center"/>
    </xf>
    <xf numFmtId="0" fontId="30" fillId="14" borderId="12" xfId="0" applyFont="1" applyFill="1" applyBorder="1" applyAlignment="1">
      <alignment horizontal="center"/>
    </xf>
    <xf numFmtId="0" fontId="24" fillId="8" borderId="12" xfId="0" applyFont="1" applyFill="1" applyBorder="1" applyAlignment="1"/>
    <xf numFmtId="0" fontId="23" fillId="8" borderId="11" xfId="0" applyNumberFormat="1" applyFont="1" applyFill="1" applyBorder="1" applyAlignment="1">
      <alignment horizontal="center"/>
    </xf>
    <xf numFmtId="0" fontId="45" fillId="17" borderId="11" xfId="0" applyNumberFormat="1" applyFont="1" applyFill="1" applyBorder="1" applyAlignment="1">
      <alignment horizontal="center"/>
    </xf>
    <xf numFmtId="0" fontId="75" fillId="17" borderId="12" xfId="0" applyFont="1" applyFill="1" applyBorder="1" applyAlignment="1"/>
    <xf numFmtId="0" fontId="7" fillId="21" borderId="12" xfId="0" applyFont="1" applyFill="1" applyBorder="1" applyAlignment="1"/>
    <xf numFmtId="164" fontId="4" fillId="14" borderId="0" xfId="1" applyNumberFormat="1" applyFont="1" applyFill="1"/>
    <xf numFmtId="0" fontId="11" fillId="14" borderId="12" xfId="0" applyNumberFormat="1" applyFont="1" applyFill="1" applyBorder="1" applyAlignment="1">
      <alignment horizontal="center"/>
    </xf>
    <xf numFmtId="165" fontId="13" fillId="14" borderId="0" xfId="0" quotePrefix="1" applyNumberFormat="1" applyFont="1" applyFill="1" applyBorder="1" applyAlignment="1">
      <alignment horizontal="center"/>
    </xf>
    <xf numFmtId="165" fontId="11" fillId="14" borderId="0" xfId="0" applyNumberFormat="1" applyFont="1" applyFill="1" applyBorder="1" applyAlignment="1">
      <alignment horizontal="center"/>
    </xf>
    <xf numFmtId="165" fontId="28" fillId="14" borderId="0" xfId="0" applyNumberFormat="1" applyFont="1" applyFill="1" applyBorder="1" applyAlignment="1">
      <alignment horizontal="center"/>
    </xf>
    <xf numFmtId="165" fontId="29" fillId="14" borderId="0" xfId="0" applyNumberFormat="1" applyFont="1" applyFill="1" applyBorder="1" applyAlignment="1">
      <alignment horizontal="center"/>
    </xf>
    <xf numFmtId="0" fontId="4" fillId="14" borderId="0" xfId="0" applyFont="1" applyFill="1" applyBorder="1"/>
    <xf numFmtId="0" fontId="0" fillId="14" borderId="0" xfId="0" applyFill="1" applyBorder="1" applyAlignment="1">
      <alignment horizontal="left"/>
    </xf>
    <xf numFmtId="0" fontId="0" fillId="14" borderId="0" xfId="0" applyFill="1" applyBorder="1"/>
    <xf numFmtId="0" fontId="5" fillId="0" borderId="21" xfId="0" applyFont="1" applyBorder="1" applyAlignment="1">
      <alignment horizontal="center"/>
    </xf>
    <xf numFmtId="0" fontId="0" fillId="0" borderId="22" xfId="0" applyBorder="1"/>
    <xf numFmtId="0" fontId="76" fillId="0" borderId="22" xfId="0" applyFont="1" applyBorder="1"/>
    <xf numFmtId="0" fontId="0" fillId="0" borderId="22" xfId="0" applyBorder="1" applyAlignment="1">
      <alignment horizontal="center"/>
    </xf>
    <xf numFmtId="0" fontId="2" fillId="0" borderId="22" xfId="0" applyFont="1" applyBorder="1"/>
    <xf numFmtId="0" fontId="4" fillId="0" borderId="22" xfId="0" applyFont="1" applyBorder="1" applyAlignment="1">
      <alignment horizontal="center"/>
    </xf>
    <xf numFmtId="44" fontId="4" fillId="0" borderId="7" xfId="2" applyFont="1" applyFill="1" applyBorder="1" applyAlignment="1">
      <alignment horizontal="right" wrapText="1"/>
    </xf>
    <xf numFmtId="0" fontId="7" fillId="0" borderId="14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44" fontId="4" fillId="0" borderId="0" xfId="0" applyNumberFormat="1" applyFont="1"/>
    <xf numFmtId="44" fontId="27" fillId="3" borderId="0" xfId="0" applyNumberFormat="1" applyFont="1" applyFill="1" applyAlignment="1">
      <alignment vertical="center" wrapText="1"/>
    </xf>
    <xf numFmtId="0" fontId="11" fillId="0" borderId="0" xfId="0" applyFont="1" applyAlignment="1">
      <alignment horizontal="center"/>
    </xf>
    <xf numFmtId="165" fontId="13" fillId="0" borderId="0" xfId="0" applyNumberFormat="1" applyFont="1" applyAlignment="1">
      <alignment horizontal="center" vertical="center" wrapText="1"/>
    </xf>
    <xf numFmtId="165" fontId="13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165" fontId="14" fillId="0" borderId="0" xfId="0" applyNumberFormat="1" applyFont="1" applyAlignment="1">
      <alignment horizontal="center"/>
    </xf>
    <xf numFmtId="165" fontId="29" fillId="0" borderId="0" xfId="0" applyNumberFormat="1" applyFont="1" applyAlignment="1">
      <alignment horizontal="center"/>
    </xf>
    <xf numFmtId="0" fontId="4" fillId="0" borderId="0" xfId="0" applyFont="1"/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4" fillId="0" borderId="12" xfId="0" applyFont="1" applyBorder="1"/>
    <xf numFmtId="0" fontId="4" fillId="0" borderId="12" xfId="0" applyFont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11" fillId="6" borderId="12" xfId="0" applyFont="1" applyFill="1" applyBorder="1" applyAlignment="1">
      <alignment horizontal="center"/>
    </xf>
    <xf numFmtId="165" fontId="13" fillId="6" borderId="12" xfId="0" applyNumberFormat="1" applyFont="1" applyFill="1" applyBorder="1" applyAlignment="1">
      <alignment horizontal="center" vertical="center" wrapText="1"/>
    </xf>
    <xf numFmtId="165" fontId="13" fillId="5" borderId="0" xfId="0" applyNumberFormat="1" applyFont="1" applyFill="1" applyAlignment="1">
      <alignment horizontal="center" vertical="center" wrapText="1"/>
    </xf>
    <xf numFmtId="165" fontId="11" fillId="6" borderId="0" xfId="0" applyNumberFormat="1" applyFont="1" applyFill="1" applyAlignment="1">
      <alignment horizontal="center"/>
    </xf>
    <xf numFmtId="165" fontId="77" fillId="5" borderId="0" xfId="0" applyNumberFormat="1" applyFont="1" applyFill="1" applyAlignment="1">
      <alignment horizontal="center"/>
    </xf>
    <xf numFmtId="165" fontId="11" fillId="5" borderId="0" xfId="0" applyNumberFormat="1" applyFont="1" applyFill="1" applyAlignment="1">
      <alignment horizontal="center"/>
    </xf>
    <xf numFmtId="165" fontId="56" fillId="6" borderId="0" xfId="0" applyNumberFormat="1" applyFont="1" applyFill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4" fillId="0" borderId="19" xfId="0" applyFont="1" applyBorder="1"/>
    <xf numFmtId="0" fontId="4" fillId="0" borderId="19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70" fillId="0" borderId="0" xfId="0" applyFont="1" applyFill="1" applyBorder="1" applyAlignment="1">
      <alignment horizontal="right"/>
    </xf>
    <xf numFmtId="2" fontId="71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/>
    </xf>
    <xf numFmtId="0" fontId="70" fillId="0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2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1" fillId="6" borderId="0" xfId="0" applyFont="1" applyFill="1" applyBorder="1" applyAlignment="1">
      <alignment horizontal="center"/>
    </xf>
    <xf numFmtId="165" fontId="13" fillId="6" borderId="0" xfId="0" applyNumberFormat="1" applyFont="1" applyFill="1" applyBorder="1" applyAlignment="1">
      <alignment horizontal="center" vertical="center" wrapText="1"/>
    </xf>
    <xf numFmtId="0" fontId="35" fillId="21" borderId="11" xfId="0" applyFont="1" applyFill="1" applyBorder="1" applyAlignment="1">
      <alignment horizontal="center" vertical="center" wrapText="1"/>
    </xf>
    <xf numFmtId="0" fontId="11" fillId="0" borderId="0" xfId="0" applyNumberFormat="1" applyFont="1" applyFill="1" applyBorder="1" applyAlignment="1">
      <alignment horizontal="center" vertical="center"/>
    </xf>
    <xf numFmtId="0" fontId="35" fillId="6" borderId="11" xfId="0" applyFont="1" applyFill="1" applyBorder="1" applyAlignment="1">
      <alignment horizontal="center" vertical="center" wrapText="1"/>
    </xf>
    <xf numFmtId="165" fontId="37" fillId="0" borderId="0" xfId="0" applyNumberFormat="1" applyFont="1" applyFill="1" applyBorder="1" applyAlignment="1">
      <alignment horizontal="center"/>
    </xf>
    <xf numFmtId="0" fontId="46" fillId="0" borderId="11" xfId="0" applyNumberFormat="1" applyFont="1" applyFill="1" applyBorder="1" applyAlignment="1">
      <alignment horizontal="center"/>
    </xf>
    <xf numFmtId="44" fontId="4" fillId="8" borderId="13" xfId="2" applyFont="1" applyFill="1" applyBorder="1" applyAlignment="1">
      <alignment horizontal="right" wrapText="1"/>
    </xf>
    <xf numFmtId="0" fontId="3" fillId="14" borderId="12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24" fillId="6" borderId="12" xfId="0" applyFont="1" applyFill="1" applyBorder="1" applyAlignment="1"/>
    <xf numFmtId="0" fontId="46" fillId="21" borderId="11" xfId="0" applyFont="1" applyFill="1" applyBorder="1" applyAlignment="1">
      <alignment horizontal="center"/>
    </xf>
    <xf numFmtId="165" fontId="27" fillId="3" borderId="0" xfId="0" applyNumberFormat="1" applyFont="1" applyFill="1" applyBorder="1" applyAlignment="1">
      <alignment vertical="center" wrapText="1"/>
    </xf>
    <xf numFmtId="0" fontId="4" fillId="19" borderId="12" xfId="0" applyFont="1" applyFill="1" applyBorder="1" applyAlignment="1">
      <alignment horizontal="center"/>
    </xf>
    <xf numFmtId="0" fontId="25" fillId="19" borderId="12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25" fillId="6" borderId="12" xfId="0" applyFont="1" applyFill="1" applyBorder="1" applyAlignment="1">
      <alignment horizontal="center"/>
    </xf>
    <xf numFmtId="165" fontId="11" fillId="6" borderId="0" xfId="0" applyNumberFormat="1" applyFont="1" applyFill="1" applyBorder="1" applyAlignment="1">
      <alignment horizontal="right"/>
    </xf>
    <xf numFmtId="0" fontId="45" fillId="23" borderId="11" xfId="0" applyNumberFormat="1" applyFont="1" applyFill="1" applyBorder="1" applyAlignment="1">
      <alignment horizontal="center"/>
    </xf>
    <xf numFmtId="0" fontId="75" fillId="23" borderId="12" xfId="0" applyFont="1" applyFill="1" applyBorder="1" applyAlignment="1"/>
    <xf numFmtId="0" fontId="45" fillId="10" borderId="52" xfId="0" applyFont="1" applyFill="1" applyBorder="1" applyAlignment="1">
      <alignment horizontal="center"/>
    </xf>
    <xf numFmtId="0" fontId="78" fillId="14" borderId="12" xfId="0" applyFont="1" applyFill="1" applyBorder="1" applyAlignment="1" applyProtection="1">
      <alignment horizontal="center" vertical="top"/>
      <protection locked="0"/>
    </xf>
    <xf numFmtId="0" fontId="5" fillId="14" borderId="12" xfId="0" applyFont="1" applyFill="1" applyBorder="1" applyAlignment="1" applyProtection="1">
      <alignment horizontal="left" vertical="top"/>
      <protection locked="0"/>
    </xf>
    <xf numFmtId="0" fontId="4" fillId="22" borderId="12" xfId="0" applyFont="1" applyFill="1" applyBorder="1" applyAlignment="1">
      <alignment horizontal="center"/>
    </xf>
    <xf numFmtId="0" fontId="25" fillId="22" borderId="12" xfId="0" applyFont="1" applyFill="1" applyBorder="1" applyAlignment="1">
      <alignment horizontal="center"/>
    </xf>
    <xf numFmtId="0" fontId="24" fillId="13" borderId="12" xfId="0" applyFont="1" applyFill="1" applyBorder="1" applyAlignment="1"/>
    <xf numFmtId="0" fontId="23" fillId="13" borderId="11" xfId="0" applyNumberFormat="1" applyFont="1" applyFill="1" applyBorder="1" applyAlignment="1">
      <alignment horizontal="center"/>
    </xf>
    <xf numFmtId="0" fontId="4" fillId="24" borderId="12" xfId="0" applyFont="1" applyFill="1" applyBorder="1" applyAlignment="1">
      <alignment horizontal="center"/>
    </xf>
    <xf numFmtId="0" fontId="4" fillId="9" borderId="12" xfId="0" applyFont="1" applyFill="1" applyBorder="1" applyAlignment="1">
      <alignment horizontal="center"/>
    </xf>
    <xf numFmtId="0" fontId="25" fillId="9" borderId="12" xfId="0" applyFont="1" applyFill="1" applyBorder="1" applyAlignment="1">
      <alignment horizontal="center"/>
    </xf>
    <xf numFmtId="0" fontId="4" fillId="25" borderId="12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44" fontId="4" fillId="19" borderId="13" xfId="2" applyFont="1" applyFill="1" applyBorder="1" applyAlignment="1">
      <alignment horizontal="right" wrapText="1"/>
    </xf>
    <xf numFmtId="0" fontId="4" fillId="5" borderId="12" xfId="0" applyFont="1" applyFill="1" applyBorder="1" applyAlignment="1">
      <alignment horizontal="center"/>
    </xf>
    <xf numFmtId="0" fontId="25" fillId="5" borderId="12" xfId="0" applyFont="1" applyFill="1" applyBorder="1" applyAlignment="1">
      <alignment horizontal="center"/>
    </xf>
    <xf numFmtId="44" fontId="4" fillId="5" borderId="13" xfId="2" applyFont="1" applyFill="1" applyBorder="1" applyAlignment="1">
      <alignment horizontal="right" wrapText="1"/>
    </xf>
    <xf numFmtId="0" fontId="24" fillId="5" borderId="12" xfId="0" applyFont="1" applyFill="1" applyBorder="1" applyAlignment="1"/>
    <xf numFmtId="0" fontId="23" fillId="5" borderId="11" xfId="0" applyNumberFormat="1" applyFont="1" applyFill="1" applyBorder="1" applyAlignment="1">
      <alignment horizontal="center"/>
    </xf>
    <xf numFmtId="0" fontId="6" fillId="0" borderId="12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23" fillId="0" borderId="11" xfId="0" applyNumberFormat="1" applyFont="1" applyFill="1" applyBorder="1" applyAlignment="1">
      <alignment horizontal="center"/>
    </xf>
    <xf numFmtId="0" fontId="23" fillId="26" borderId="11" xfId="0" applyNumberFormat="1" applyFont="1" applyFill="1" applyBorder="1" applyAlignment="1">
      <alignment horizontal="center"/>
    </xf>
    <xf numFmtId="0" fontId="24" fillId="26" borderId="12" xfId="0" applyFont="1" applyFill="1" applyBorder="1" applyAlignment="1"/>
    <xf numFmtId="0" fontId="79" fillId="26" borderId="12" xfId="0" applyFont="1" applyFill="1" applyBorder="1" applyAlignment="1"/>
    <xf numFmtId="0" fontId="6" fillId="14" borderId="12" xfId="0" applyFont="1" applyFill="1" applyBorder="1" applyAlignment="1">
      <alignment horizontal="center"/>
    </xf>
    <xf numFmtId="0" fontId="24" fillId="26" borderId="19" xfId="0" applyFont="1" applyFill="1" applyBorder="1" applyAlignment="1"/>
    <xf numFmtId="0" fontId="23" fillId="26" borderId="18" xfId="0" applyNumberFormat="1" applyFont="1" applyFill="1" applyBorder="1" applyAlignment="1">
      <alignment horizontal="center"/>
    </xf>
    <xf numFmtId="0" fontId="23" fillId="19" borderId="11" xfId="0" applyFont="1" applyFill="1" applyBorder="1" applyAlignment="1">
      <alignment horizontal="center"/>
    </xf>
    <xf numFmtId="0" fontId="24" fillId="27" borderId="12" xfId="0" applyFont="1" applyFill="1" applyBorder="1" applyAlignment="1"/>
    <xf numFmtId="0" fontId="24" fillId="27" borderId="11" xfId="0" applyFont="1" applyFill="1" applyBorder="1" applyAlignment="1">
      <alignment horizontal="center"/>
    </xf>
    <xf numFmtId="0" fontId="7" fillId="28" borderId="12" xfId="0" applyFont="1" applyFill="1" applyBorder="1" applyAlignment="1"/>
    <xf numFmtId="0" fontId="46" fillId="28" borderId="11" xfId="0" applyNumberFormat="1" applyFont="1" applyFill="1" applyBorder="1" applyAlignment="1">
      <alignment horizontal="center"/>
    </xf>
    <xf numFmtId="0" fontId="35" fillId="28" borderId="11" xfId="0" applyFont="1" applyFill="1" applyBorder="1" applyAlignment="1">
      <alignment horizontal="center" vertical="center" wrapText="1"/>
    </xf>
    <xf numFmtId="0" fontId="7" fillId="29" borderId="12" xfId="0" applyFont="1" applyFill="1" applyBorder="1" applyAlignment="1"/>
    <xf numFmtId="0" fontId="23" fillId="29" borderId="11" xfId="0" applyNumberFormat="1" applyFont="1" applyFill="1" applyBorder="1" applyAlignment="1">
      <alignment horizontal="center"/>
    </xf>
    <xf numFmtId="0" fontId="35" fillId="29" borderId="11" xfId="0" applyFont="1" applyFill="1" applyBorder="1" applyAlignment="1">
      <alignment horizontal="center" vertical="center" wrapText="1"/>
    </xf>
    <xf numFmtId="0" fontId="6" fillId="25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14" borderId="12" xfId="0" applyFill="1" applyBorder="1"/>
    <xf numFmtId="0" fontId="38" fillId="14" borderId="12" xfId="0" applyFont="1" applyFill="1" applyBorder="1" applyAlignment="1"/>
    <xf numFmtId="0" fontId="0" fillId="0" borderId="12" xfId="0" applyBorder="1"/>
    <xf numFmtId="0" fontId="38" fillId="14" borderId="12" xfId="0" applyFont="1" applyFill="1" applyBorder="1" applyAlignment="1">
      <alignment horizontal="left" vertical="center"/>
    </xf>
    <xf numFmtId="0" fontId="46" fillId="14" borderId="12" xfId="0" applyFont="1" applyFill="1" applyBorder="1" applyAlignment="1" applyProtection="1">
      <alignment horizontal="center"/>
      <protection locked="0" hidden="1"/>
    </xf>
    <xf numFmtId="0" fontId="82" fillId="14" borderId="12" xfId="0" applyFont="1" applyFill="1" applyBorder="1" applyAlignment="1">
      <alignment horizontal="left"/>
    </xf>
    <xf numFmtId="0" fontId="0" fillId="14" borderId="0" xfId="0" applyFont="1" applyFill="1" applyBorder="1"/>
    <xf numFmtId="0" fontId="0" fillId="14" borderId="0" xfId="0" applyFill="1"/>
    <xf numFmtId="0" fontId="38" fillId="0" borderId="12" xfId="0" applyFont="1" applyFill="1" applyBorder="1" applyAlignment="1"/>
    <xf numFmtId="0" fontId="78" fillId="0" borderId="12" xfId="0" applyFont="1" applyFill="1" applyBorder="1" applyAlignment="1" applyProtection="1">
      <alignment horizontal="center" vertical="top"/>
      <protection locked="0"/>
    </xf>
    <xf numFmtId="0" fontId="41" fillId="14" borderId="12" xfId="0" applyFont="1" applyFill="1" applyBorder="1" applyAlignment="1" applyProtection="1">
      <alignment horizontal="center" vertical="top"/>
      <protection locked="0"/>
    </xf>
    <xf numFmtId="0" fontId="3" fillId="0" borderId="0" xfId="0" applyFont="1" applyFill="1" applyBorder="1"/>
    <xf numFmtId="1" fontId="81" fillId="0" borderId="0" xfId="0" applyNumberFormat="1" applyFont="1" applyFill="1" applyBorder="1" applyAlignment="1" applyProtection="1">
      <alignment horizontal="center" vertical="top"/>
      <protection locked="0"/>
    </xf>
    <xf numFmtId="0" fontId="83" fillId="0" borderId="0" xfId="0" applyFont="1" applyFill="1" applyBorder="1" applyAlignment="1"/>
    <xf numFmtId="0" fontId="78" fillId="0" borderId="0" xfId="0" applyFont="1" applyFill="1" applyBorder="1" applyAlignment="1" applyProtection="1">
      <alignment horizontal="center" vertical="top"/>
      <protection locked="0"/>
    </xf>
    <xf numFmtId="6" fontId="3" fillId="0" borderId="0" xfId="0" applyNumberFormat="1" applyFont="1" applyFill="1" applyBorder="1"/>
    <xf numFmtId="0" fontId="3" fillId="0" borderId="0" xfId="0" applyFont="1" applyFill="1"/>
    <xf numFmtId="1" fontId="82" fillId="0" borderId="0" xfId="0" applyNumberFormat="1" applyFont="1" applyFill="1" applyBorder="1" applyAlignment="1" applyProtection="1">
      <alignment horizontal="center" vertical="top"/>
      <protection locked="0"/>
    </xf>
    <xf numFmtId="0" fontId="38" fillId="0" borderId="0" xfId="0" applyFont="1" applyFill="1" applyBorder="1" applyAlignment="1"/>
    <xf numFmtId="0" fontId="3" fillId="0" borderId="0" xfId="0" applyFont="1"/>
    <xf numFmtId="0" fontId="38" fillId="9" borderId="12" xfId="0" applyFont="1" applyFill="1" applyBorder="1" applyAlignment="1">
      <alignment horizontal="left"/>
    </xf>
    <xf numFmtId="0" fontId="20" fillId="0" borderId="0" xfId="0" applyFont="1" applyBorder="1" applyAlignment="1">
      <alignment horizontal="center"/>
    </xf>
    <xf numFmtId="0" fontId="85" fillId="0" borderId="0" xfId="0" applyFont="1" applyBorder="1"/>
    <xf numFmtId="0" fontId="7" fillId="0" borderId="51" xfId="0" applyFont="1" applyFill="1" applyBorder="1" applyAlignment="1">
      <alignment horizontal="right"/>
    </xf>
    <xf numFmtId="0" fontId="67" fillId="0" borderId="50" xfId="0" applyFont="1" applyFill="1" applyBorder="1" applyAlignment="1">
      <alignment horizontal="center"/>
    </xf>
    <xf numFmtId="0" fontId="87" fillId="0" borderId="50" xfId="0" applyFont="1" applyFill="1" applyBorder="1" applyAlignment="1">
      <alignment horizontal="center"/>
    </xf>
    <xf numFmtId="0" fontId="86" fillId="0" borderId="50" xfId="0" applyFont="1" applyFill="1" applyBorder="1" applyAlignment="1">
      <alignment horizontal="center"/>
    </xf>
    <xf numFmtId="2" fontId="86" fillId="0" borderId="49" xfId="0" applyNumberFormat="1" applyFont="1" applyFill="1" applyBorder="1" applyAlignment="1">
      <alignment horizontal="center"/>
    </xf>
    <xf numFmtId="0" fontId="86" fillId="0" borderId="51" xfId="0" applyFont="1" applyFill="1" applyBorder="1" applyAlignment="1">
      <alignment horizontal="center"/>
    </xf>
    <xf numFmtId="0" fontId="7" fillId="15" borderId="9" xfId="0" applyFont="1" applyFill="1" applyBorder="1" applyAlignment="1">
      <alignment horizontal="right"/>
    </xf>
    <xf numFmtId="0" fontId="0" fillId="0" borderId="3" xfId="0" applyBorder="1"/>
    <xf numFmtId="0" fontId="0" fillId="0" borderId="1" xfId="0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0" fillId="0" borderId="2" xfId="0" applyBorder="1"/>
    <xf numFmtId="44" fontId="0" fillId="0" borderId="0" xfId="0" applyNumberFormat="1" applyAlignment="1">
      <alignment horizontal="center"/>
    </xf>
    <xf numFmtId="0" fontId="0" fillId="0" borderId="10" xfId="0" applyFill="1" applyBorder="1"/>
    <xf numFmtId="0" fontId="48" fillId="0" borderId="0" xfId="0" applyFont="1" applyFill="1" applyBorder="1" applyAlignment="1">
      <alignment horizontal="center"/>
    </xf>
    <xf numFmtId="0" fontId="0" fillId="0" borderId="9" xfId="0" applyFill="1" applyBorder="1"/>
    <xf numFmtId="0" fontId="0" fillId="0" borderId="0" xfId="0" applyNumberFormat="1" applyAlignment="1">
      <alignment horizontal="center"/>
    </xf>
    <xf numFmtId="2" fontId="7" fillId="0" borderId="25" xfId="6" applyNumberFormat="1" applyFont="1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5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44" fontId="51" fillId="0" borderId="0" xfId="2" applyFont="1" applyBorder="1" applyAlignment="1">
      <alignment horizontal="center"/>
    </xf>
    <xf numFmtId="0" fontId="35" fillId="0" borderId="0" xfId="0" applyFont="1" applyFill="1" applyBorder="1" applyAlignment="1">
      <alignment horizontal="center"/>
    </xf>
    <xf numFmtId="0" fontId="48" fillId="0" borderId="0" xfId="0" applyFont="1" applyBorder="1" applyAlignment="1">
      <alignment horizontal="center"/>
    </xf>
    <xf numFmtId="44" fontId="49" fillId="0" borderId="0" xfId="0" applyNumberFormat="1" applyFont="1" applyFill="1" applyBorder="1" applyAlignment="1">
      <alignment horizontal="center" vertical="center" wrapText="1"/>
    </xf>
    <xf numFmtId="44" fontId="89" fillId="0" borderId="9" xfId="0" applyNumberFormat="1" applyFont="1" applyFill="1" applyBorder="1"/>
    <xf numFmtId="44" fontId="51" fillId="0" borderId="0" xfId="2" applyFont="1" applyFill="1" applyBorder="1" applyAlignment="1">
      <alignment horizontal="center"/>
    </xf>
    <xf numFmtId="44" fontId="90" fillId="0" borderId="0" xfId="2" applyFont="1" applyBorder="1" applyAlignment="1">
      <alignment horizontal="center"/>
    </xf>
    <xf numFmtId="0" fontId="0" fillId="0" borderId="16" xfId="0" applyBorder="1"/>
    <xf numFmtId="0" fontId="0" fillId="0" borderId="14" xfId="0" applyBorder="1" applyAlignment="1">
      <alignment horizontal="center"/>
    </xf>
    <xf numFmtId="0" fontId="48" fillId="0" borderId="14" xfId="0" applyFont="1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Border="1"/>
    <xf numFmtId="2" fontId="7" fillId="0" borderId="0" xfId="6" applyNumberFormat="1" applyFont="1" applyFill="1" applyBorder="1" applyAlignment="1">
      <alignment horizontal="center"/>
    </xf>
    <xf numFmtId="44" fontId="0" fillId="0" borderId="0" xfId="0" applyNumberFormat="1"/>
    <xf numFmtId="0" fontId="48" fillId="9" borderId="0" xfId="0" applyFont="1" applyFill="1" applyBorder="1" applyAlignment="1">
      <alignment horizontal="center"/>
    </xf>
    <xf numFmtId="0" fontId="78" fillId="14" borderId="13" xfId="0" applyFont="1" applyFill="1" applyBorder="1" applyAlignment="1" applyProtection="1">
      <alignment horizontal="center" vertical="top"/>
      <protection locked="0"/>
    </xf>
    <xf numFmtId="0" fontId="0" fillId="0" borderId="19" xfId="0" applyBorder="1"/>
    <xf numFmtId="0" fontId="0" fillId="0" borderId="0" xfId="0" applyNumberFormat="1" applyFill="1" applyBorder="1" applyAlignment="1">
      <alignment horizontal="center"/>
    </xf>
    <xf numFmtId="169" fontId="3" fillId="0" borderId="0" xfId="0" applyNumberFormat="1" applyFont="1" applyFill="1" applyBorder="1"/>
    <xf numFmtId="0" fontId="3" fillId="9" borderId="11" xfId="0" applyFont="1" applyFill="1" applyBorder="1"/>
    <xf numFmtId="0" fontId="3" fillId="0" borderId="11" xfId="0" applyFont="1" applyBorder="1"/>
    <xf numFmtId="0" fontId="82" fillId="0" borderId="12" xfId="0" applyFont="1" applyFill="1" applyBorder="1" applyAlignment="1">
      <alignment horizontal="left"/>
    </xf>
    <xf numFmtId="0" fontId="0" fillId="0" borderId="12" xfId="0" applyFill="1" applyBorder="1" applyAlignment="1"/>
    <xf numFmtId="0" fontId="3" fillId="0" borderId="0" xfId="0" applyFont="1" applyAlignment="1">
      <alignment horizontal="center"/>
    </xf>
    <xf numFmtId="0" fontId="78" fillId="14" borderId="12" xfId="0" applyFont="1" applyFill="1" applyBorder="1" applyAlignment="1" applyProtection="1">
      <alignment horizontal="center" vertical="center"/>
      <protection locked="0"/>
    </xf>
    <xf numFmtId="0" fontId="78" fillId="14" borderId="12" xfId="0" applyFont="1" applyFill="1" applyBorder="1" applyAlignment="1" applyProtection="1">
      <alignment horizontal="center"/>
      <protection locked="0"/>
    </xf>
    <xf numFmtId="0" fontId="3" fillId="19" borderId="11" xfId="0" applyFont="1" applyFill="1" applyBorder="1"/>
    <xf numFmtId="0" fontId="38" fillId="14" borderId="19" xfId="0" applyFont="1" applyFill="1" applyBorder="1" applyAlignment="1"/>
    <xf numFmtId="0" fontId="78" fillId="14" borderId="19" xfId="0" applyFont="1" applyFill="1" applyBorder="1" applyAlignment="1" applyProtection="1">
      <alignment horizontal="center" vertical="top"/>
      <protection locked="0"/>
    </xf>
    <xf numFmtId="0" fontId="78" fillId="14" borderId="20" xfId="0" applyFont="1" applyFill="1" applyBorder="1" applyAlignment="1" applyProtection="1">
      <alignment horizontal="center" vertical="top"/>
      <protection locked="0"/>
    </xf>
    <xf numFmtId="0" fontId="3" fillId="0" borderId="18" xfId="0" applyFont="1" applyBorder="1"/>
    <xf numFmtId="0" fontId="3" fillId="19" borderId="11" xfId="0" applyNumberFormat="1" applyFont="1" applyFill="1" applyBorder="1"/>
    <xf numFmtId="0" fontId="3" fillId="0" borderId="11" xfId="0" applyNumberFormat="1" applyFont="1" applyBorder="1"/>
    <xf numFmtId="0" fontId="3" fillId="9" borderId="11" xfId="0" applyNumberFormat="1" applyFont="1" applyFill="1" applyBorder="1"/>
    <xf numFmtId="0" fontId="35" fillId="0" borderId="23" xfId="0" applyFont="1" applyFill="1" applyBorder="1" applyAlignment="1">
      <alignment horizontal="center" vertical="center" wrapText="1"/>
    </xf>
    <xf numFmtId="0" fontId="82" fillId="14" borderId="18" xfId="0" applyFont="1" applyFill="1" applyBorder="1" applyAlignment="1" applyProtection="1">
      <alignment horizontal="left"/>
      <protection hidden="1"/>
    </xf>
    <xf numFmtId="0" fontId="82" fillId="14" borderId="19" xfId="0" applyFont="1" applyFill="1" applyBorder="1" applyAlignment="1" applyProtection="1">
      <alignment horizontal="left"/>
      <protection hidden="1"/>
    </xf>
    <xf numFmtId="0" fontId="82" fillId="24" borderId="19" xfId="0" applyFont="1" applyFill="1" applyBorder="1" applyAlignment="1" applyProtection="1">
      <alignment horizontal="center" vertical="center"/>
      <protection hidden="1"/>
    </xf>
    <xf numFmtId="44" fontId="0" fillId="0" borderId="0" xfId="0" applyNumberFormat="1" applyFont="1" applyFill="1" applyBorder="1"/>
    <xf numFmtId="0" fontId="0" fillId="14" borderId="0" xfId="0" applyFont="1" applyFill="1" applyBorder="1" applyAlignment="1">
      <alignment horizontal="center"/>
    </xf>
    <xf numFmtId="0" fontId="0" fillId="14" borderId="0" xfId="0" applyFill="1" applyBorder="1" applyAlignment="1">
      <alignment horizontal="center"/>
    </xf>
    <xf numFmtId="0" fontId="46" fillId="30" borderId="11" xfId="0" applyFont="1" applyFill="1" applyBorder="1" applyAlignment="1" applyProtection="1">
      <alignment horizontal="center" vertical="center"/>
      <protection hidden="1"/>
    </xf>
    <xf numFmtId="0" fontId="46" fillId="30" borderId="12" xfId="0" applyFont="1" applyFill="1" applyBorder="1" applyAlignment="1" applyProtection="1">
      <alignment horizontal="center" vertical="center"/>
      <protection hidden="1"/>
    </xf>
    <xf numFmtId="0" fontId="46" fillId="30" borderId="12" xfId="0" applyFont="1" applyFill="1" applyBorder="1" applyAlignment="1" applyProtection="1">
      <alignment horizontal="center" vertical="center"/>
      <protection locked="0" hidden="1"/>
    </xf>
    <xf numFmtId="0" fontId="46" fillId="30" borderId="13" xfId="0" applyFont="1" applyFill="1" applyBorder="1" applyAlignment="1" applyProtection="1">
      <alignment horizontal="center" vertical="center"/>
      <protection locked="0" hidden="1"/>
    </xf>
    <xf numFmtId="0" fontId="0" fillId="24" borderId="0" xfId="0" applyFill="1"/>
    <xf numFmtId="0" fontId="46" fillId="30" borderId="33" xfId="0" applyFont="1" applyFill="1" applyBorder="1" applyAlignment="1" applyProtection="1">
      <alignment horizontal="center" vertical="center"/>
      <protection locked="0" hidden="1"/>
    </xf>
    <xf numFmtId="0" fontId="78" fillId="14" borderId="40" xfId="0" applyFont="1" applyFill="1" applyBorder="1" applyAlignment="1" applyProtection="1">
      <alignment horizontal="center" vertical="top"/>
      <protection locked="0"/>
    </xf>
    <xf numFmtId="1" fontId="81" fillId="35" borderId="11" xfId="0" applyNumberFormat="1" applyFont="1" applyFill="1" applyBorder="1" applyAlignment="1" applyProtection="1">
      <alignment horizontal="center" vertical="top"/>
      <protection locked="0"/>
    </xf>
    <xf numFmtId="0" fontId="81" fillId="35" borderId="11" xfId="0" applyNumberFormat="1" applyFont="1" applyFill="1" applyBorder="1" applyAlignment="1">
      <alignment horizontal="center"/>
    </xf>
    <xf numFmtId="0" fontId="81" fillId="35" borderId="18" xfId="0" applyNumberFormat="1" applyFont="1" applyFill="1" applyBorder="1" applyAlignment="1">
      <alignment horizontal="center"/>
    </xf>
    <xf numFmtId="0" fontId="81" fillId="35" borderId="11" xfId="0" applyNumberFormat="1" applyFont="1" applyFill="1" applyBorder="1" applyAlignment="1">
      <alignment horizontal="center" vertical="center"/>
    </xf>
    <xf numFmtId="1" fontId="81" fillId="35" borderId="18" xfId="0" applyNumberFormat="1" applyFont="1" applyFill="1" applyBorder="1" applyAlignment="1" applyProtection="1">
      <alignment horizontal="center" vertical="top"/>
      <protection locked="0"/>
    </xf>
    <xf numFmtId="0" fontId="81" fillId="35" borderId="11" xfId="0" applyFont="1" applyFill="1" applyBorder="1" applyAlignment="1" applyProtection="1">
      <alignment horizontal="center"/>
      <protection hidden="1"/>
    </xf>
    <xf numFmtId="44" fontId="0" fillId="0" borderId="0" xfId="0" applyNumberFormat="1" applyFill="1" applyBorder="1" applyAlignment="1">
      <alignment horizontal="center"/>
    </xf>
    <xf numFmtId="44" fontId="51" fillId="0" borderId="0" xfId="2" applyNumberFormat="1" applyFont="1" applyBorder="1" applyAlignment="1">
      <alignment horizontal="center"/>
    </xf>
    <xf numFmtId="44" fontId="3" fillId="0" borderId="13" xfId="0" applyNumberFormat="1" applyFont="1" applyFill="1" applyBorder="1"/>
    <xf numFmtId="0" fontId="91" fillId="0" borderId="21" xfId="0" applyFont="1" applyFill="1" applyBorder="1" applyAlignment="1">
      <alignment horizontal="center" vertical="center" wrapText="1"/>
    </xf>
    <xf numFmtId="0" fontId="91" fillId="0" borderId="22" xfId="0" applyFont="1" applyFill="1" applyBorder="1" applyAlignment="1">
      <alignment horizontal="center" vertical="center" wrapText="1"/>
    </xf>
    <xf numFmtId="0" fontId="91" fillId="0" borderId="12" xfId="0" applyFont="1" applyFill="1" applyBorder="1" applyAlignment="1">
      <alignment horizontal="center" vertical="center" wrapText="1"/>
    </xf>
    <xf numFmtId="0" fontId="91" fillId="0" borderId="12" xfId="0" applyFont="1" applyFill="1" applyBorder="1" applyAlignment="1">
      <alignment vertical="center" wrapText="1"/>
    </xf>
    <xf numFmtId="0" fontId="57" fillId="0" borderId="0" xfId="0" applyFont="1" applyFill="1" applyBorder="1"/>
    <xf numFmtId="0" fontId="48" fillId="21" borderId="0" xfId="0" applyFont="1" applyFill="1" applyBorder="1" applyAlignment="1">
      <alignment horizontal="center"/>
    </xf>
    <xf numFmtId="0" fontId="93" fillId="20" borderId="11" xfId="0" applyFont="1" applyFill="1" applyBorder="1" applyAlignment="1">
      <alignment horizontal="center" vertical="center" wrapText="1"/>
    </xf>
    <xf numFmtId="0" fontId="48" fillId="18" borderId="0" xfId="0" applyFont="1" applyFill="1" applyBorder="1" applyAlignment="1">
      <alignment horizontal="center"/>
    </xf>
    <xf numFmtId="0" fontId="48" fillId="6" borderId="0" xfId="0" applyFont="1" applyFill="1" applyBorder="1" applyAlignment="1">
      <alignment horizontal="center" wrapText="1"/>
    </xf>
    <xf numFmtId="0" fontId="48" fillId="19" borderId="0" xfId="0" applyFont="1" applyFill="1" applyBorder="1" applyAlignment="1">
      <alignment horizontal="center"/>
    </xf>
    <xf numFmtId="0" fontId="48" fillId="36" borderId="0" xfId="0" applyFont="1" applyFill="1" applyBorder="1" applyAlignment="1">
      <alignment horizontal="center"/>
    </xf>
    <xf numFmtId="0" fontId="48" fillId="11" borderId="0" xfId="0" applyFont="1" applyFill="1" applyBorder="1" applyAlignment="1">
      <alignment horizontal="center"/>
    </xf>
    <xf numFmtId="0" fontId="48" fillId="37" borderId="0" xfId="0" applyFont="1" applyFill="1" applyBorder="1" applyAlignment="1">
      <alignment horizontal="center"/>
    </xf>
    <xf numFmtId="44" fontId="3" fillId="14" borderId="13" xfId="0" applyNumberFormat="1" applyFont="1" applyFill="1" applyBorder="1"/>
    <xf numFmtId="44" fontId="3" fillId="0" borderId="0" xfId="0" applyNumberFormat="1" applyFont="1" applyFill="1" applyBorder="1"/>
    <xf numFmtId="0" fontId="0" fillId="0" borderId="0" xfId="0" applyFont="1" applyFill="1"/>
    <xf numFmtId="0" fontId="42" fillId="0" borderId="12" xfId="0" applyFont="1" applyBorder="1"/>
    <xf numFmtId="44" fontId="95" fillId="14" borderId="13" xfId="0" applyNumberFormat="1" applyFont="1" applyFill="1" applyBorder="1"/>
    <xf numFmtId="0" fontId="46" fillId="0" borderId="12" xfId="0" applyFont="1" applyFill="1" applyBorder="1" applyAlignment="1" applyProtection="1">
      <alignment horizontal="center"/>
      <protection locked="0" hidden="1"/>
    </xf>
    <xf numFmtId="1" fontId="78" fillId="30" borderId="11" xfId="0" applyNumberFormat="1" applyFont="1" applyFill="1" applyBorder="1" applyAlignment="1" applyProtection="1">
      <alignment horizontal="left"/>
      <protection locked="0"/>
    </xf>
    <xf numFmtId="44" fontId="3" fillId="0" borderId="20" xfId="0" applyNumberFormat="1" applyFont="1" applyFill="1" applyBorder="1"/>
    <xf numFmtId="0" fontId="82" fillId="14" borderId="12" xfId="0" applyFont="1" applyFill="1" applyBorder="1" applyAlignment="1" applyProtection="1">
      <alignment horizontal="left"/>
      <protection locked="0"/>
    </xf>
    <xf numFmtId="0" fontId="96" fillId="21" borderId="11" xfId="0" applyFont="1" applyFill="1" applyBorder="1" applyAlignment="1">
      <alignment horizontal="center" vertical="center" wrapText="1"/>
    </xf>
    <xf numFmtId="0" fontId="96" fillId="20" borderId="11" xfId="0" applyFont="1" applyFill="1" applyBorder="1" applyAlignment="1">
      <alignment horizontal="center" vertical="center" wrapText="1"/>
    </xf>
    <xf numFmtId="0" fontId="96" fillId="0" borderId="11" xfId="0" applyFont="1" applyFill="1" applyBorder="1" applyAlignment="1">
      <alignment horizontal="center" vertical="center" wrapText="1"/>
    </xf>
    <xf numFmtId="0" fontId="96" fillId="18" borderId="11" xfId="0" applyFont="1" applyFill="1" applyBorder="1" applyAlignment="1">
      <alignment horizontal="center" vertical="center" wrapText="1"/>
    </xf>
    <xf numFmtId="0" fontId="96" fillId="6" borderId="11" xfId="0" applyFont="1" applyFill="1" applyBorder="1" applyAlignment="1">
      <alignment horizontal="center" vertical="center" wrapText="1"/>
    </xf>
    <xf numFmtId="0" fontId="96" fillId="19" borderId="11" xfId="0" applyFont="1" applyFill="1" applyBorder="1" applyAlignment="1">
      <alignment horizontal="center" vertical="center" wrapText="1"/>
    </xf>
    <xf numFmtId="0" fontId="96" fillId="36" borderId="11" xfId="0" applyFont="1" applyFill="1" applyBorder="1" applyAlignment="1">
      <alignment horizontal="center" vertical="center" wrapText="1"/>
    </xf>
    <xf numFmtId="0" fontId="96" fillId="11" borderId="11" xfId="0" applyFont="1" applyFill="1" applyBorder="1" applyAlignment="1">
      <alignment horizontal="center" vertical="center" wrapText="1"/>
    </xf>
    <xf numFmtId="0" fontId="96" fillId="17" borderId="11" xfId="0" applyFont="1" applyFill="1" applyBorder="1" applyAlignment="1">
      <alignment horizontal="center" vertical="center" wrapText="1"/>
    </xf>
    <xf numFmtId="0" fontId="96" fillId="37" borderId="11" xfId="0" applyFont="1" applyFill="1" applyBorder="1" applyAlignment="1">
      <alignment horizontal="center" vertical="center" wrapText="1"/>
    </xf>
    <xf numFmtId="0" fontId="97" fillId="0" borderId="1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84" fillId="0" borderId="18" xfId="0" applyFont="1" applyFill="1" applyBorder="1" applyAlignment="1">
      <alignment horizontal="center"/>
    </xf>
    <xf numFmtId="0" fontId="39" fillId="0" borderId="19" xfId="0" applyFont="1" applyFill="1" applyBorder="1" applyAlignment="1">
      <alignment horizontal="center"/>
    </xf>
    <xf numFmtId="0" fontId="92" fillId="0" borderId="19" xfId="0" applyFont="1" applyFill="1" applyBorder="1" applyAlignment="1">
      <alignment horizontal="center"/>
    </xf>
    <xf numFmtId="0" fontId="68" fillId="0" borderId="12" xfId="0" applyFont="1" applyFill="1" applyBorder="1" applyAlignment="1" applyProtection="1">
      <alignment horizontal="center" vertical="top"/>
      <protection locked="0"/>
    </xf>
    <xf numFmtId="169" fontId="0" fillId="0" borderId="0" xfId="0" applyNumberFormat="1"/>
    <xf numFmtId="0" fontId="41" fillId="14" borderId="19" xfId="0" applyFont="1" applyFill="1" applyBorder="1" applyAlignment="1" applyProtection="1">
      <alignment horizontal="center" vertical="top"/>
      <protection locked="0"/>
    </xf>
    <xf numFmtId="0" fontId="42" fillId="0" borderId="0" xfId="0" applyFont="1"/>
    <xf numFmtId="0" fontId="95" fillId="0" borderId="0" xfId="0" applyFont="1" applyFill="1"/>
    <xf numFmtId="0" fontId="95" fillId="0" borderId="0" xfId="0" applyFont="1"/>
    <xf numFmtId="0" fontId="42" fillId="0" borderId="0" xfId="0" applyFont="1" applyAlignment="1">
      <alignment horizontal="center"/>
    </xf>
    <xf numFmtId="0" fontId="42" fillId="0" borderId="0" xfId="0" applyFont="1" applyFill="1" applyAlignment="1">
      <alignment horizontal="right"/>
    </xf>
    <xf numFmtId="0" fontId="41" fillId="14" borderId="12" xfId="0" applyFont="1" applyFill="1" applyBorder="1" applyAlignment="1" applyProtection="1">
      <alignment horizontal="center"/>
      <protection locked="0" hidden="1"/>
    </xf>
    <xf numFmtId="0" fontId="0" fillId="38" borderId="12" xfId="0" applyFill="1" applyBorder="1"/>
    <xf numFmtId="0" fontId="0" fillId="35" borderId="12" xfId="0" applyFill="1" applyBorder="1"/>
    <xf numFmtId="0" fontId="41" fillId="14" borderId="12" xfId="0" applyFont="1" applyFill="1" applyBorder="1" applyAlignment="1" applyProtection="1">
      <alignment horizontal="center"/>
      <protection locked="0"/>
    </xf>
    <xf numFmtId="169" fontId="3" fillId="0" borderId="0" xfId="0" applyNumberFormat="1" applyFont="1"/>
    <xf numFmtId="0" fontId="78" fillId="6" borderId="12" xfId="0" applyFont="1" applyFill="1" applyBorder="1" applyAlignment="1" applyProtection="1">
      <alignment horizontal="center" vertical="top"/>
      <protection locked="0"/>
    </xf>
    <xf numFmtId="0" fontId="82" fillId="9" borderId="12" xfId="0" applyFont="1" applyFill="1" applyBorder="1" applyAlignment="1" applyProtection="1">
      <alignment horizontal="left" vertical="top"/>
      <protection locked="0"/>
    </xf>
    <xf numFmtId="0" fontId="82" fillId="19" borderId="12" xfId="0" applyFont="1" applyFill="1" applyBorder="1" applyAlignment="1" applyProtection="1">
      <alignment horizontal="left" vertical="center"/>
      <protection locked="0"/>
    </xf>
    <xf numFmtId="0" fontId="82" fillId="28" borderId="12" xfId="0" applyFont="1" applyFill="1" applyBorder="1" applyAlignment="1" applyProtection="1">
      <alignment horizontal="left" vertical="center"/>
      <protection locked="0"/>
    </xf>
    <xf numFmtId="0" fontId="82" fillId="34" borderId="12" xfId="0" applyFont="1" applyFill="1" applyBorder="1" applyAlignment="1" applyProtection="1">
      <alignment horizontal="left" vertical="center"/>
      <protection locked="0"/>
    </xf>
    <xf numFmtId="0" fontId="68" fillId="14" borderId="12" xfId="0" applyFont="1" applyFill="1" applyBorder="1" applyAlignment="1" applyProtection="1">
      <alignment horizontal="left" vertical="center"/>
      <protection locked="0"/>
    </xf>
    <xf numFmtId="0" fontId="82" fillId="31" borderId="12" xfId="0" applyFont="1" applyFill="1" applyBorder="1" applyAlignment="1" applyProtection="1">
      <alignment horizontal="left" vertical="center"/>
      <protection hidden="1"/>
    </xf>
    <xf numFmtId="0" fontId="82" fillId="27" borderId="12" xfId="0" applyFont="1" applyFill="1" applyBorder="1" applyAlignment="1" applyProtection="1">
      <alignment horizontal="left" vertical="center"/>
      <protection locked="0"/>
    </xf>
    <xf numFmtId="0" fontId="41" fillId="14" borderId="12" xfId="0" applyFont="1" applyFill="1" applyBorder="1" applyAlignment="1" applyProtection="1">
      <alignment horizontal="center" vertical="center"/>
      <protection locked="0"/>
    </xf>
    <xf numFmtId="0" fontId="45" fillId="22" borderId="11" xfId="0" applyFont="1" applyFill="1" applyBorder="1" applyAlignment="1">
      <alignment horizontal="center"/>
    </xf>
    <xf numFmtId="0" fontId="84" fillId="0" borderId="0" xfId="0" applyFont="1" applyFill="1" applyBorder="1" applyAlignment="1">
      <alignment horizontal="center"/>
    </xf>
    <xf numFmtId="0" fontId="92" fillId="0" borderId="0" xfId="0" applyFont="1" applyFill="1" applyBorder="1" applyAlignment="1">
      <alignment horizontal="center"/>
    </xf>
    <xf numFmtId="0" fontId="0" fillId="14" borderId="19" xfId="0" applyFill="1" applyBorder="1"/>
    <xf numFmtId="44" fontId="95" fillId="14" borderId="20" xfId="0" applyNumberFormat="1" applyFont="1" applyFill="1" applyBorder="1"/>
    <xf numFmtId="0" fontId="3" fillId="14" borderId="11" xfId="0" applyFont="1" applyFill="1" applyBorder="1"/>
    <xf numFmtId="0" fontId="0" fillId="0" borderId="18" xfId="0" applyFill="1" applyBorder="1" applyAlignment="1">
      <alignment horizontal="center"/>
    </xf>
    <xf numFmtId="0" fontId="40" fillId="0" borderId="19" xfId="0" applyFont="1" applyFill="1" applyBorder="1" applyAlignment="1">
      <alignment horizontal="center"/>
    </xf>
    <xf numFmtId="2" fontId="7" fillId="0" borderId="20" xfId="2" applyNumberFormat="1" applyFont="1" applyFill="1" applyBorder="1" applyAlignment="1">
      <alignment horizontal="center"/>
    </xf>
    <xf numFmtId="0" fontId="82" fillId="0" borderId="12" xfId="0" applyFont="1" applyFill="1" applyBorder="1" applyAlignment="1" applyProtection="1">
      <alignment horizontal="left" vertical="center"/>
      <protection locked="0"/>
    </xf>
    <xf numFmtId="0" fontId="0" fillId="14" borderId="4" xfId="0" applyFill="1" applyBorder="1"/>
    <xf numFmtId="0" fontId="0" fillId="14" borderId="36" xfId="0" applyFont="1" applyFill="1" applyBorder="1"/>
    <xf numFmtId="44" fontId="78" fillId="0" borderId="0" xfId="0" applyNumberFormat="1" applyFont="1" applyFill="1" applyBorder="1" applyAlignment="1" applyProtection="1">
      <alignment horizontal="center" vertical="top"/>
      <protection locked="0"/>
    </xf>
    <xf numFmtId="0" fontId="3" fillId="9" borderId="11" xfId="0" applyFont="1" applyFill="1" applyBorder="1" applyAlignment="1">
      <alignment horizontal="right"/>
    </xf>
    <xf numFmtId="0" fontId="74" fillId="33" borderId="11" xfId="0" applyFont="1" applyFill="1" applyBorder="1" applyAlignment="1" applyProtection="1">
      <alignment horizontal="right" vertical="top"/>
      <protection locked="0"/>
    </xf>
    <xf numFmtId="0" fontId="81" fillId="14" borderId="12" xfId="0" applyFont="1" applyFill="1" applyBorder="1" applyAlignment="1" applyProtection="1">
      <alignment horizontal="center" vertical="top"/>
      <protection locked="0"/>
    </xf>
    <xf numFmtId="0" fontId="3" fillId="14" borderId="11" xfId="0" applyNumberFormat="1" applyFont="1" applyFill="1" applyBorder="1"/>
    <xf numFmtId="0" fontId="46" fillId="14" borderId="12" xfId="0" applyFont="1" applyFill="1" applyBorder="1" applyAlignment="1" applyProtection="1">
      <alignment horizontal="center" vertical="top"/>
      <protection locked="0"/>
    </xf>
    <xf numFmtId="0" fontId="3" fillId="14" borderId="11" xfId="0" applyFont="1" applyFill="1" applyBorder="1" applyAlignment="1">
      <alignment horizontal="right"/>
    </xf>
    <xf numFmtId="0" fontId="82" fillId="14" borderId="12" xfId="0" applyFont="1" applyFill="1" applyBorder="1" applyAlignment="1" applyProtection="1">
      <alignment horizontal="left" vertical="top"/>
      <protection locked="0"/>
    </xf>
    <xf numFmtId="0" fontId="81" fillId="35" borderId="12" xfId="0" applyNumberFormat="1" applyFont="1" applyFill="1" applyBorder="1" applyAlignment="1">
      <alignment horizontal="center"/>
    </xf>
    <xf numFmtId="0" fontId="0" fillId="14" borderId="11" xfId="0" applyFill="1" applyBorder="1"/>
    <xf numFmtId="0" fontId="78" fillId="14" borderId="13" xfId="0" applyFont="1" applyFill="1" applyBorder="1" applyAlignment="1" applyProtection="1">
      <alignment horizontal="left" vertical="center"/>
      <protection locked="0"/>
    </xf>
    <xf numFmtId="0" fontId="41" fillId="14" borderId="12" xfId="0" applyFont="1" applyFill="1" applyBorder="1" applyAlignment="1" applyProtection="1">
      <alignment horizontal="center" vertical="center"/>
      <protection locked="0" hidden="1"/>
    </xf>
    <xf numFmtId="0" fontId="5" fillId="9" borderId="19" xfId="0" applyFont="1" applyFill="1" applyBorder="1" applyAlignment="1" applyProtection="1">
      <alignment vertical="center"/>
      <protection locked="0"/>
    </xf>
    <xf numFmtId="44" fontId="42" fillId="0" borderId="0" xfId="0" applyNumberFormat="1" applyFont="1"/>
    <xf numFmtId="0" fontId="46" fillId="19" borderId="11" xfId="0" applyFont="1" applyFill="1" applyBorder="1" applyAlignment="1" applyProtection="1">
      <alignment horizontal="right"/>
      <protection locked="0" hidden="1"/>
    </xf>
    <xf numFmtId="0" fontId="46" fillId="14" borderId="11" xfId="0" applyFont="1" applyFill="1" applyBorder="1" applyAlignment="1" applyProtection="1">
      <alignment horizontal="right"/>
      <protection locked="0" hidden="1"/>
    </xf>
    <xf numFmtId="0" fontId="78" fillId="14" borderId="33" xfId="0" applyFont="1" applyFill="1" applyBorder="1" applyAlignment="1" applyProtection="1">
      <alignment horizontal="center" vertical="top"/>
      <protection locked="0"/>
    </xf>
    <xf numFmtId="0" fontId="5" fillId="14" borderId="19" xfId="0" applyFont="1" applyFill="1" applyBorder="1" applyAlignment="1" applyProtection="1">
      <alignment horizontal="left" vertical="top"/>
      <protection locked="0"/>
    </xf>
    <xf numFmtId="0" fontId="3" fillId="0" borderId="11" xfId="0" applyFont="1" applyFill="1" applyBorder="1" applyAlignment="1"/>
    <xf numFmtId="0" fontId="3" fillId="0" borderId="11" xfId="0" applyFont="1" applyFill="1" applyBorder="1"/>
    <xf numFmtId="44" fontId="95" fillId="0" borderId="0" xfId="0" applyNumberFormat="1" applyFont="1" applyFill="1"/>
    <xf numFmtId="169" fontId="95" fillId="0" borderId="0" xfId="0" applyNumberFormat="1" applyFont="1"/>
    <xf numFmtId="0" fontId="81" fillId="30" borderId="11" xfId="0" applyNumberFormat="1" applyFont="1" applyFill="1" applyBorder="1" applyAlignment="1">
      <alignment horizontal="left"/>
    </xf>
    <xf numFmtId="0" fontId="81" fillId="30" borderId="12" xfId="0" applyNumberFormat="1" applyFont="1" applyFill="1" applyBorder="1" applyAlignment="1">
      <alignment horizontal="left"/>
    </xf>
    <xf numFmtId="0" fontId="81" fillId="30" borderId="33" xfId="0" applyNumberFormat="1" applyFont="1" applyFill="1" applyBorder="1" applyAlignment="1">
      <alignment horizontal="left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81" fillId="35" borderId="52" xfId="0" applyNumberFormat="1" applyFont="1" applyFill="1" applyBorder="1" applyAlignment="1">
      <alignment horizontal="center"/>
    </xf>
    <xf numFmtId="0" fontId="80" fillId="18" borderId="0" xfId="0" applyFont="1" applyFill="1" applyBorder="1" applyAlignment="1">
      <alignment horizontal="center" wrapText="1"/>
    </xf>
    <xf numFmtId="0" fontId="80" fillId="18" borderId="0" xfId="0" applyFont="1" applyFill="1" applyBorder="1" applyAlignment="1">
      <alignment wrapText="1"/>
    </xf>
    <xf numFmtId="0" fontId="46" fillId="14" borderId="12" xfId="0" applyFont="1" applyFill="1" applyBorder="1" applyAlignment="1" applyProtection="1">
      <alignment horizontal="center" vertical="center"/>
      <protection hidden="1"/>
    </xf>
    <xf numFmtId="0" fontId="46" fillId="41" borderId="12" xfId="0" applyFont="1" applyFill="1" applyBorder="1" applyAlignment="1" applyProtection="1">
      <alignment horizontal="center" vertical="center"/>
      <protection locked="0" hidden="1"/>
    </xf>
    <xf numFmtId="0" fontId="100" fillId="0" borderId="12" xfId="0" applyFont="1" applyBorder="1"/>
    <xf numFmtId="0" fontId="101" fillId="0" borderId="12" xfId="0" applyFont="1" applyFill="1" applyBorder="1"/>
    <xf numFmtId="1" fontId="81" fillId="14" borderId="0" xfId="0" applyNumberFormat="1" applyFont="1" applyFill="1" applyBorder="1" applyAlignment="1" applyProtection="1">
      <alignment horizontal="center" vertical="top"/>
      <protection locked="0"/>
    </xf>
    <xf numFmtId="0" fontId="38" fillId="14" borderId="0" xfId="0" applyFont="1" applyFill="1" applyBorder="1" applyAlignment="1"/>
    <xf numFmtId="0" fontId="38" fillId="14" borderId="0" xfId="0" applyFont="1" applyFill="1" applyBorder="1" applyAlignment="1">
      <alignment horizontal="left"/>
    </xf>
    <xf numFmtId="0" fontId="46" fillId="14" borderId="12" xfId="0" applyFont="1" applyFill="1" applyBorder="1" applyAlignment="1" applyProtection="1">
      <alignment horizontal="center" vertical="center"/>
      <protection locked="0" hidden="1"/>
    </xf>
    <xf numFmtId="0" fontId="78" fillId="14" borderId="0" xfId="0" applyFont="1" applyFill="1" applyBorder="1" applyAlignment="1" applyProtection="1">
      <alignment horizontal="center" vertical="top"/>
      <protection locked="0"/>
    </xf>
    <xf numFmtId="0" fontId="46" fillId="34" borderId="12" xfId="0" applyFont="1" applyFill="1" applyBorder="1" applyAlignment="1" applyProtection="1">
      <alignment horizontal="center" vertical="center"/>
      <protection locked="0" hidden="1"/>
    </xf>
    <xf numFmtId="0" fontId="81" fillId="14" borderId="0" xfId="0" applyNumberFormat="1" applyFont="1" applyFill="1" applyBorder="1" applyAlignment="1">
      <alignment horizontal="center"/>
    </xf>
    <xf numFmtId="0" fontId="82" fillId="14" borderId="0" xfId="0" applyNumberFormat="1" applyFont="1" applyFill="1" applyBorder="1" applyAlignment="1">
      <alignment horizontal="center"/>
    </xf>
    <xf numFmtId="0" fontId="78" fillId="14" borderId="0" xfId="0" applyFont="1" applyFill="1" applyBorder="1" applyAlignment="1" applyProtection="1">
      <protection locked="0"/>
    </xf>
    <xf numFmtId="0" fontId="46" fillId="14" borderId="12" xfId="0" applyFont="1" applyFill="1" applyBorder="1" applyAlignment="1" applyProtection="1">
      <alignment horizontal="left" vertical="center"/>
      <protection hidden="1"/>
    </xf>
    <xf numFmtId="0" fontId="46" fillId="34" borderId="12" xfId="0" applyFont="1" applyFill="1" applyBorder="1" applyAlignment="1" applyProtection="1">
      <alignment horizontal="left" vertical="center"/>
      <protection locked="0" hidden="1"/>
    </xf>
    <xf numFmtId="0" fontId="46" fillId="34" borderId="33" xfId="0" applyFont="1" applyFill="1" applyBorder="1" applyAlignment="1" applyProtection="1">
      <alignment horizontal="left" vertical="center"/>
      <protection locked="0" hidden="1"/>
    </xf>
    <xf numFmtId="0" fontId="81" fillId="14" borderId="12" xfId="0" applyNumberFormat="1" applyFont="1" applyFill="1" applyBorder="1" applyAlignment="1">
      <alignment horizontal="center"/>
    </xf>
    <xf numFmtId="0" fontId="78" fillId="0" borderId="12" xfId="0" applyFont="1" applyFill="1" applyBorder="1" applyAlignment="1" applyProtection="1">
      <alignment horizontal="left" vertical="center"/>
      <protection locked="0"/>
    </xf>
    <xf numFmtId="0" fontId="5" fillId="14" borderId="0" xfId="0" applyFont="1" applyFill="1" applyBorder="1" applyAlignment="1" applyProtection="1">
      <alignment horizontal="center" vertical="center"/>
      <protection locked="0"/>
    </xf>
    <xf numFmtId="0" fontId="46" fillId="14" borderId="12" xfId="0" applyFont="1" applyFill="1" applyBorder="1" applyAlignment="1" applyProtection="1">
      <alignment horizontal="left" vertical="center"/>
      <protection locked="0" hidden="1"/>
    </xf>
    <xf numFmtId="0" fontId="99" fillId="40" borderId="27" xfId="0" applyFont="1" applyFill="1" applyBorder="1" applyAlignment="1">
      <alignment horizontal="center" vertical="center" textRotation="90" wrapText="1"/>
    </xf>
    <xf numFmtId="0" fontId="82" fillId="14" borderId="0" xfId="0" applyFont="1" applyFill="1" applyBorder="1" applyAlignment="1" applyProtection="1">
      <alignment horizontal="center" vertical="center"/>
      <protection locked="0"/>
    </xf>
    <xf numFmtId="0" fontId="0" fillId="14" borderId="12" xfId="0" applyFill="1" applyBorder="1" applyAlignment="1"/>
    <xf numFmtId="0" fontId="82" fillId="14" borderId="0" xfId="0" applyFont="1" applyFill="1" applyBorder="1" applyAlignment="1" applyProtection="1">
      <alignment horizontal="center" vertical="top"/>
      <protection locked="0"/>
    </xf>
    <xf numFmtId="0" fontId="0" fillId="14" borderId="0" xfId="0" applyFill="1" applyBorder="1" applyAlignment="1"/>
    <xf numFmtId="0" fontId="46" fillId="41" borderId="12" xfId="0" applyFont="1" applyFill="1" applyBorder="1" applyAlignment="1" applyProtection="1">
      <alignment horizontal="center" vertical="center"/>
      <protection hidden="1"/>
    </xf>
    <xf numFmtId="0" fontId="46" fillId="41" borderId="12" xfId="0" applyFont="1" applyFill="1" applyBorder="1" applyAlignment="1" applyProtection="1">
      <alignment horizontal="left" vertical="center"/>
      <protection hidden="1"/>
    </xf>
    <xf numFmtId="0" fontId="46" fillId="41" borderId="12" xfId="0" applyFont="1" applyFill="1" applyBorder="1" applyAlignment="1" applyProtection="1">
      <alignment horizontal="left" vertical="center"/>
      <protection locked="0" hidden="1"/>
    </xf>
    <xf numFmtId="0" fontId="38" fillId="0" borderId="19" xfId="0" applyFont="1" applyFill="1" applyBorder="1" applyAlignment="1"/>
    <xf numFmtId="0" fontId="81" fillId="35" borderId="36" xfId="0" applyNumberFormat="1" applyFont="1" applyFill="1" applyBorder="1" applyAlignment="1">
      <alignment horizontal="center"/>
    </xf>
    <xf numFmtId="0" fontId="0" fillId="42" borderId="12" xfId="0" applyFill="1" applyBorder="1"/>
    <xf numFmtId="0" fontId="41" fillId="14" borderId="19" xfId="0" applyFont="1" applyFill="1" applyBorder="1" applyAlignment="1" applyProtection="1">
      <alignment horizontal="center" vertical="center"/>
      <protection locked="0" hidden="1"/>
    </xf>
    <xf numFmtId="0" fontId="0" fillId="0" borderId="0" xfId="0" applyFont="1" applyFill="1" applyBorder="1"/>
    <xf numFmtId="0" fontId="3" fillId="19" borderId="11" xfId="0" applyFont="1" applyFill="1" applyBorder="1" applyAlignment="1">
      <alignment horizontal="right"/>
    </xf>
    <xf numFmtId="0" fontId="68" fillId="6" borderId="12" xfId="0" applyFont="1" applyFill="1" applyBorder="1" applyAlignment="1" applyProtection="1">
      <alignment horizontal="left" vertical="center"/>
      <protection locked="0"/>
    </xf>
    <xf numFmtId="0" fontId="78" fillId="0" borderId="19" xfId="0" applyFont="1" applyFill="1" applyBorder="1" applyAlignment="1" applyProtection="1">
      <alignment horizontal="center" vertical="top"/>
      <protection locked="0"/>
    </xf>
    <xf numFmtId="0" fontId="46" fillId="0" borderId="19" xfId="0" applyFont="1" applyFill="1" applyBorder="1" applyAlignment="1" applyProtection="1">
      <alignment horizontal="center"/>
      <protection locked="0" hidden="1"/>
    </xf>
    <xf numFmtId="0" fontId="0" fillId="38" borderId="19" xfId="0" applyFill="1" applyBorder="1"/>
    <xf numFmtId="0" fontId="3" fillId="39" borderId="11" xfId="0" applyFont="1" applyFill="1" applyBorder="1"/>
    <xf numFmtId="1" fontId="78" fillId="30" borderId="13" xfId="0" applyNumberFormat="1" applyFont="1" applyFill="1" applyBorder="1" applyAlignment="1" applyProtection="1">
      <alignment horizontal="left"/>
      <protection locked="0"/>
    </xf>
    <xf numFmtId="0" fontId="80" fillId="18" borderId="0" xfId="0" applyFont="1" applyFill="1" applyBorder="1" applyAlignment="1">
      <alignment horizontal="center" wrapText="1"/>
    </xf>
    <xf numFmtId="44" fontId="42" fillId="0" borderId="0" xfId="2" applyFont="1"/>
    <xf numFmtId="0" fontId="46" fillId="14" borderId="19" xfId="0" applyFont="1" applyFill="1" applyBorder="1" applyAlignment="1" applyProtection="1">
      <alignment horizontal="center"/>
      <protection locked="0" hidden="1"/>
    </xf>
    <xf numFmtId="0" fontId="82" fillId="14" borderId="19" xfId="0" applyFont="1" applyFill="1" applyBorder="1" applyAlignment="1">
      <alignment horizontal="left"/>
    </xf>
    <xf numFmtId="0" fontId="3" fillId="14" borderId="18" xfId="0" applyFont="1" applyFill="1" applyBorder="1"/>
    <xf numFmtId="0" fontId="0" fillId="14" borderId="36" xfId="0" applyFill="1" applyBorder="1"/>
    <xf numFmtId="0" fontId="3" fillId="9" borderId="18" xfId="0" applyFont="1" applyFill="1" applyBorder="1"/>
    <xf numFmtId="0" fontId="5" fillId="19" borderId="12" xfId="0" applyFont="1" applyFill="1" applyBorder="1" applyAlignment="1" applyProtection="1">
      <alignment horizontal="center" vertical="top"/>
      <protection locked="0"/>
    </xf>
    <xf numFmtId="0" fontId="5" fillId="14" borderId="12" xfId="0" applyFont="1" applyFill="1" applyBorder="1" applyAlignment="1" applyProtection="1">
      <alignment horizontal="center" vertical="top"/>
      <protection locked="0"/>
    </xf>
    <xf numFmtId="0" fontId="38" fillId="9" borderId="12" xfId="0" applyFont="1" applyFill="1" applyBorder="1" applyAlignment="1">
      <alignment horizontal="center"/>
    </xf>
    <xf numFmtId="0" fontId="38" fillId="14" borderId="12" xfId="0" applyFont="1" applyFill="1" applyBorder="1" applyAlignment="1">
      <alignment horizontal="center"/>
    </xf>
    <xf numFmtId="0" fontId="4" fillId="19" borderId="12" xfId="0" applyFont="1" applyFill="1" applyBorder="1" applyAlignment="1" applyProtection="1">
      <alignment horizontal="center" vertical="top"/>
      <protection locked="0"/>
    </xf>
    <xf numFmtId="0" fontId="4" fillId="33" borderId="12" xfId="0" applyFont="1" applyFill="1" applyBorder="1" applyAlignment="1" applyProtection="1">
      <alignment horizontal="center" vertical="top"/>
      <protection locked="0"/>
    </xf>
    <xf numFmtId="0" fontId="4" fillId="14" borderId="12" xfId="0" applyFont="1" applyFill="1" applyBorder="1" applyAlignment="1" applyProtection="1">
      <alignment horizontal="center" vertical="top"/>
      <protection locked="0"/>
    </xf>
    <xf numFmtId="0" fontId="46" fillId="0" borderId="0" xfId="0" applyFont="1" applyFill="1" applyBorder="1" applyAlignment="1" applyProtection="1">
      <alignment horizontal="center" vertical="top"/>
      <protection locked="0"/>
    </xf>
    <xf numFmtId="0" fontId="3" fillId="0" borderId="0" xfId="0" applyFont="1" applyFill="1" applyAlignment="1">
      <alignment horizontal="center"/>
    </xf>
    <xf numFmtId="0" fontId="38" fillId="0" borderId="0" xfId="0" applyFont="1" applyFill="1" applyBorder="1" applyAlignment="1">
      <alignment horizontal="center"/>
    </xf>
    <xf numFmtId="0" fontId="81" fillId="30" borderId="12" xfId="0" applyNumberFormat="1" applyFont="1" applyFill="1" applyBorder="1" applyAlignment="1">
      <alignment horizontal="center"/>
    </xf>
    <xf numFmtId="0" fontId="38" fillId="19" borderId="12" xfId="0" applyFont="1" applyFill="1" applyBorder="1" applyAlignment="1">
      <alignment horizontal="center"/>
    </xf>
    <xf numFmtId="1" fontId="78" fillId="30" borderId="12" xfId="0" applyNumberFormat="1" applyFont="1" applyFill="1" applyBorder="1" applyAlignment="1" applyProtection="1">
      <alignment horizontal="center"/>
      <protection locked="0"/>
    </xf>
    <xf numFmtId="0" fontId="38" fillId="0" borderId="12" xfId="0" applyFont="1" applyFill="1" applyBorder="1" applyAlignment="1">
      <alignment horizontal="center"/>
    </xf>
    <xf numFmtId="0" fontId="38" fillId="9" borderId="12" xfId="0" applyFont="1" applyFill="1" applyBorder="1" applyAlignment="1">
      <alignment horizontal="center" vertical="center"/>
    </xf>
    <xf numFmtId="0" fontId="38" fillId="19" borderId="12" xfId="0" applyFont="1" applyFill="1" applyBorder="1" applyAlignment="1">
      <alignment horizontal="center" vertical="center"/>
    </xf>
    <xf numFmtId="0" fontId="82" fillId="28" borderId="19" xfId="0" applyFont="1" applyFill="1" applyBorder="1" applyAlignment="1" applyProtection="1">
      <alignment horizontal="center" vertical="center"/>
      <protection locked="0"/>
    </xf>
    <xf numFmtId="0" fontId="82" fillId="14" borderId="12" xfId="0" applyFont="1" applyFill="1" applyBorder="1" applyAlignment="1" applyProtection="1">
      <alignment horizontal="center"/>
      <protection locked="0"/>
    </xf>
    <xf numFmtId="0" fontId="5" fillId="9" borderId="19" xfId="0" applyFont="1" applyFill="1" applyBorder="1" applyAlignment="1" applyProtection="1">
      <alignment horizontal="center" vertical="center"/>
      <protection locked="0"/>
    </xf>
    <xf numFmtId="0" fontId="57" fillId="14" borderId="12" xfId="0" applyFont="1" applyFill="1" applyBorder="1" applyAlignment="1" applyProtection="1">
      <alignment horizontal="center" vertical="center"/>
      <protection locked="0"/>
    </xf>
    <xf numFmtId="0" fontId="57" fillId="9" borderId="12" xfId="0" applyFont="1" applyFill="1" applyBorder="1" applyAlignment="1" applyProtection="1">
      <alignment horizontal="center" vertical="center"/>
      <protection locked="0"/>
    </xf>
    <xf numFmtId="0" fontId="5" fillId="39" borderId="12" xfId="0" applyFont="1" applyFill="1" applyBorder="1" applyAlignment="1" applyProtection="1">
      <alignment horizontal="center" vertical="top"/>
      <protection locked="0"/>
    </xf>
    <xf numFmtId="0" fontId="82" fillId="9" borderId="12" xfId="0" applyFont="1" applyFill="1" applyBorder="1" applyAlignment="1" applyProtection="1">
      <alignment horizontal="center" vertical="top"/>
      <protection locked="0"/>
    </xf>
    <xf numFmtId="0" fontId="82" fillId="14" borderId="12" xfId="0" applyFont="1" applyFill="1" applyBorder="1" applyAlignment="1" applyProtection="1">
      <alignment horizontal="center" vertical="top"/>
      <protection locked="0"/>
    </xf>
    <xf numFmtId="0" fontId="82" fillId="34" borderId="12" xfId="0" applyFont="1" applyFill="1" applyBorder="1" applyAlignment="1" applyProtection="1">
      <alignment horizontal="center" vertical="center"/>
      <protection locked="0"/>
    </xf>
    <xf numFmtId="0" fontId="68" fillId="14" borderId="12" xfId="0" applyFont="1" applyFill="1" applyBorder="1" applyAlignment="1" applyProtection="1">
      <alignment horizontal="center" vertical="center"/>
      <protection locked="0"/>
    </xf>
    <xf numFmtId="0" fontId="82" fillId="31" borderId="12" xfId="0" applyFont="1" applyFill="1" applyBorder="1" applyAlignment="1" applyProtection="1">
      <alignment horizontal="center" vertical="center"/>
      <protection hidden="1"/>
    </xf>
    <xf numFmtId="0" fontId="82" fillId="28" borderId="12" xfId="0" applyFont="1" applyFill="1" applyBorder="1" applyAlignment="1" applyProtection="1">
      <alignment horizontal="center" vertical="center"/>
      <protection locked="0"/>
    </xf>
    <xf numFmtId="0" fontId="82" fillId="27" borderId="12" xfId="0" applyFont="1" applyFill="1" applyBorder="1" applyAlignment="1" applyProtection="1">
      <alignment horizontal="center" vertical="center"/>
      <protection locked="0"/>
    </xf>
    <xf numFmtId="0" fontId="68" fillId="6" borderId="12" xfId="0" applyFont="1" applyFill="1" applyBorder="1" applyAlignment="1" applyProtection="1">
      <alignment horizontal="center" vertical="center"/>
      <protection locked="0"/>
    </xf>
    <xf numFmtId="0" fontId="82" fillId="0" borderId="12" xfId="0" applyFont="1" applyFill="1" applyBorder="1" applyAlignment="1" applyProtection="1">
      <alignment horizontal="center" vertical="center"/>
      <protection locked="0"/>
    </xf>
    <xf numFmtId="1" fontId="78" fillId="30" borderId="12" xfId="0" applyNumberFormat="1" applyFont="1" applyFill="1" applyBorder="1" applyAlignment="1" applyProtection="1">
      <alignment horizontal="left"/>
      <protection locked="0"/>
    </xf>
    <xf numFmtId="0" fontId="5" fillId="39" borderId="19" xfId="0" applyFont="1" applyFill="1" applyBorder="1" applyAlignment="1" applyProtection="1">
      <alignment horizontal="center" vertical="top"/>
      <protection locked="0"/>
    </xf>
    <xf numFmtId="2" fontId="67" fillId="0" borderId="50" xfId="0" applyNumberFormat="1" applyFont="1" applyFill="1" applyBorder="1" applyAlignment="1">
      <alignment horizontal="center"/>
    </xf>
    <xf numFmtId="0" fontId="81" fillId="30" borderId="11" xfId="0" applyNumberFormat="1" applyFont="1" applyFill="1" applyBorder="1" applyAlignment="1">
      <alignment horizontal="left"/>
    </xf>
    <xf numFmtId="0" fontId="81" fillId="30" borderId="12" xfId="0" applyNumberFormat="1" applyFont="1" applyFill="1" applyBorder="1" applyAlignment="1">
      <alignment horizontal="left"/>
    </xf>
    <xf numFmtId="0" fontId="81" fillId="30" borderId="33" xfId="0" applyNumberFormat="1" applyFont="1" applyFill="1" applyBorder="1" applyAlignment="1">
      <alignment horizontal="left"/>
    </xf>
    <xf numFmtId="0" fontId="0" fillId="14" borderId="18" xfId="0" applyFont="1" applyFill="1" applyBorder="1"/>
    <xf numFmtId="0" fontId="81" fillId="35" borderId="19" xfId="0" applyNumberFormat="1" applyFont="1" applyFill="1" applyBorder="1" applyAlignment="1">
      <alignment horizontal="center" vertical="center"/>
    </xf>
    <xf numFmtId="0" fontId="38" fillId="14" borderId="19" xfId="0" applyFont="1" applyFill="1" applyBorder="1" applyAlignment="1">
      <alignment horizontal="left" vertical="center"/>
    </xf>
    <xf numFmtId="0" fontId="78" fillId="14" borderId="19" xfId="0" applyFont="1" applyFill="1" applyBorder="1" applyAlignment="1" applyProtection="1">
      <alignment horizontal="center" vertical="center"/>
      <protection locked="0"/>
    </xf>
    <xf numFmtId="0" fontId="41" fillId="14" borderId="19" xfId="0" applyFont="1" applyFill="1" applyBorder="1" applyAlignment="1" applyProtection="1">
      <alignment horizontal="center" vertical="center"/>
      <protection locked="0"/>
    </xf>
    <xf numFmtId="0" fontId="78" fillId="14" borderId="19" xfId="0" applyFont="1" applyFill="1" applyBorder="1" applyAlignment="1" applyProtection="1">
      <alignment horizontal="center"/>
      <protection locked="0"/>
    </xf>
    <xf numFmtId="0" fontId="4" fillId="14" borderId="19" xfId="0" applyFont="1" applyFill="1" applyBorder="1" applyAlignment="1" applyProtection="1">
      <alignment horizontal="center" vertical="top"/>
      <protection locked="0"/>
    </xf>
    <xf numFmtId="0" fontId="41" fillId="14" borderId="19" xfId="0" applyFont="1" applyFill="1" applyBorder="1" applyAlignment="1" applyProtection="1">
      <alignment horizontal="center"/>
      <protection locked="0"/>
    </xf>
    <xf numFmtId="0" fontId="0" fillId="0" borderId="0" xfId="0" applyFont="1" applyFill="1" applyBorder="1" applyAlignment="1">
      <alignment horizontal="center"/>
    </xf>
    <xf numFmtId="0" fontId="78" fillId="43" borderId="12" xfId="0" applyFont="1" applyFill="1" applyBorder="1" applyAlignment="1" applyProtection="1">
      <alignment horizontal="center" vertical="top"/>
      <protection locked="0"/>
    </xf>
    <xf numFmtId="0" fontId="78" fillId="14" borderId="40" xfId="0" applyFont="1" applyFill="1" applyBorder="1" applyAlignment="1" applyProtection="1">
      <alignment horizontal="center" vertical="center"/>
      <protection locked="0"/>
    </xf>
    <xf numFmtId="0" fontId="0" fillId="0" borderId="0" xfId="0" applyFont="1" applyFill="1" applyBorder="1" applyAlignment="1">
      <alignment horizontal="center"/>
    </xf>
    <xf numFmtId="0" fontId="81" fillId="30" borderId="11" xfId="0" applyNumberFormat="1" applyFont="1" applyFill="1" applyBorder="1" applyAlignment="1">
      <alignment horizontal="left"/>
    </xf>
    <xf numFmtId="0" fontId="81" fillId="30" borderId="12" xfId="0" applyNumberFormat="1" applyFont="1" applyFill="1" applyBorder="1" applyAlignment="1">
      <alignment horizontal="left"/>
    </xf>
    <xf numFmtId="0" fontId="81" fillId="30" borderId="33" xfId="0" applyNumberFormat="1" applyFont="1" applyFill="1" applyBorder="1" applyAlignment="1">
      <alignment horizontal="left"/>
    </xf>
    <xf numFmtId="0" fontId="41" fillId="6" borderId="12" xfId="0" applyFont="1" applyFill="1" applyBorder="1" applyAlignment="1" applyProtection="1">
      <alignment horizontal="center" vertical="top"/>
      <protection locked="0"/>
    </xf>
    <xf numFmtId="0" fontId="57" fillId="14" borderId="19" xfId="0" applyFont="1" applyFill="1" applyBorder="1" applyAlignment="1" applyProtection="1">
      <alignment horizontal="center" vertical="center"/>
      <protection locked="0"/>
    </xf>
    <xf numFmtId="0" fontId="41" fillId="6" borderId="12" xfId="0" applyFont="1" applyFill="1" applyBorder="1" applyAlignment="1" applyProtection="1">
      <alignment horizontal="center" vertical="center"/>
      <protection locked="0" hidden="1"/>
    </xf>
    <xf numFmtId="0" fontId="78" fillId="6" borderId="33" xfId="0" applyFont="1" applyFill="1" applyBorder="1" applyAlignment="1" applyProtection="1">
      <alignment horizontal="center" vertical="top"/>
      <protection locked="0"/>
    </xf>
    <xf numFmtId="0" fontId="3" fillId="6" borderId="11" xfId="0" applyFont="1" applyFill="1" applyBorder="1"/>
    <xf numFmtId="0" fontId="0" fillId="6" borderId="12" xfId="0" applyFill="1" applyBorder="1"/>
    <xf numFmtId="44" fontId="3" fillId="6" borderId="13" xfId="0" applyNumberFormat="1" applyFont="1" applyFill="1" applyBorder="1"/>
    <xf numFmtId="0" fontId="0" fillId="0" borderId="0" xfId="0" applyFont="1" applyFill="1" applyBorder="1"/>
    <xf numFmtId="22" fontId="0" fillId="0" borderId="0" xfId="0" applyNumberFormat="1"/>
    <xf numFmtId="0" fontId="78" fillId="19" borderId="12" xfId="0" applyFont="1" applyFill="1" applyBorder="1" applyAlignment="1" applyProtection="1">
      <alignment horizontal="center" vertical="top"/>
      <protection locked="0"/>
    </xf>
    <xf numFmtId="0" fontId="41" fillId="19" borderId="12" xfId="0" applyFont="1" applyFill="1" applyBorder="1" applyAlignment="1" applyProtection="1">
      <alignment horizontal="center" vertical="top"/>
      <protection locked="0"/>
    </xf>
    <xf numFmtId="0" fontId="38" fillId="14" borderId="12" xfId="0" applyFont="1" applyFill="1" applyBorder="1" applyAlignment="1">
      <alignment horizontal="center" vertical="center"/>
    </xf>
    <xf numFmtId="0" fontId="94" fillId="30" borderId="12" xfId="0" applyFont="1" applyFill="1" applyBorder="1" applyAlignment="1">
      <alignment horizontal="center" vertical="center" wrapText="1"/>
    </xf>
    <xf numFmtId="0" fontId="94" fillId="30" borderId="13" xfId="0" applyFont="1" applyFill="1" applyBorder="1" applyAlignment="1">
      <alignment horizontal="center" vertical="center" wrapText="1"/>
    </xf>
    <xf numFmtId="0" fontId="41" fillId="19" borderId="12" xfId="0" applyFont="1" applyFill="1" applyBorder="1" applyAlignment="1" applyProtection="1">
      <alignment horizontal="center" vertical="center"/>
      <protection locked="0" hidden="1"/>
    </xf>
    <xf numFmtId="0" fontId="82" fillId="14" borderId="19" xfId="0" applyFont="1" applyFill="1" applyBorder="1" applyAlignment="1" applyProtection="1">
      <alignment horizontal="center"/>
      <protection locked="0"/>
    </xf>
    <xf numFmtId="0" fontId="0" fillId="26" borderId="12" xfId="0" applyFill="1" applyBorder="1"/>
    <xf numFmtId="0" fontId="41" fillId="19" borderId="12" xfId="0" applyFont="1" applyFill="1" applyBorder="1" applyAlignment="1" applyProtection="1">
      <alignment horizontal="center"/>
      <protection locked="0"/>
    </xf>
    <xf numFmtId="0" fontId="46" fillId="19" borderId="12" xfId="0" applyFont="1" applyFill="1" applyBorder="1" applyAlignment="1" applyProtection="1">
      <alignment horizontal="center"/>
      <protection locked="0" hidden="1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46" fillId="6" borderId="12" xfId="0" applyFont="1" applyFill="1" applyBorder="1" applyAlignment="1" applyProtection="1">
      <alignment horizontal="center"/>
      <protection locked="0" hidden="1"/>
    </xf>
    <xf numFmtId="0" fontId="38" fillId="0" borderId="19" xfId="0" applyFont="1" applyFill="1" applyBorder="1" applyAlignment="1">
      <alignment horizontal="center"/>
    </xf>
    <xf numFmtId="0" fontId="41" fillId="14" borderId="19" xfId="0" applyFont="1" applyFill="1" applyBorder="1" applyAlignment="1" applyProtection="1">
      <alignment horizontal="center"/>
      <protection locked="0" hidden="1"/>
    </xf>
    <xf numFmtId="0" fontId="46" fillId="14" borderId="19" xfId="0" applyFont="1" applyFill="1" applyBorder="1" applyAlignment="1" applyProtection="1">
      <alignment horizontal="center" vertical="top"/>
      <protection locked="0"/>
    </xf>
    <xf numFmtId="0" fontId="95" fillId="14" borderId="18" xfId="0" applyNumberFormat="1" applyFont="1" applyFill="1" applyBorder="1"/>
    <xf numFmtId="0" fontId="42" fillId="38" borderId="19" xfId="0" applyFont="1" applyFill="1" applyBorder="1"/>
    <xf numFmtId="0" fontId="42" fillId="14" borderId="19" xfId="0" applyFont="1" applyFill="1" applyBorder="1"/>
    <xf numFmtId="0" fontId="78" fillId="34" borderId="12" xfId="0" applyFont="1" applyFill="1" applyBorder="1" applyAlignment="1" applyProtection="1">
      <alignment horizontal="center" vertical="top"/>
      <protection locked="0"/>
    </xf>
    <xf numFmtId="0" fontId="78" fillId="5" borderId="12" xfId="0" applyFont="1" applyFill="1" applyBorder="1" applyAlignment="1" applyProtection="1">
      <alignment horizontal="center" vertical="top"/>
      <protection locked="0"/>
    </xf>
    <xf numFmtId="0" fontId="5" fillId="9" borderId="33" xfId="0" applyFont="1" applyFill="1" applyBorder="1" applyAlignment="1" applyProtection="1">
      <alignment horizontal="center" vertical="center"/>
      <protection locked="0"/>
    </xf>
    <xf numFmtId="0" fontId="78" fillId="14" borderId="30" xfId="0" applyFont="1" applyFill="1" applyBorder="1" applyAlignment="1" applyProtection="1">
      <alignment horizontal="center" vertical="center"/>
      <protection locked="0"/>
    </xf>
    <xf numFmtId="0" fontId="41" fillId="14" borderId="30" xfId="0" applyFont="1" applyFill="1" applyBorder="1" applyAlignment="1" applyProtection="1">
      <alignment horizontal="center" vertical="center"/>
      <protection locked="0"/>
    </xf>
    <xf numFmtId="0" fontId="78" fillId="14" borderId="30" xfId="0" applyFont="1" applyFill="1" applyBorder="1" applyAlignment="1" applyProtection="1">
      <alignment horizontal="center"/>
      <protection locked="0"/>
    </xf>
    <xf numFmtId="0" fontId="41" fillId="14" borderId="30" xfId="0" applyFont="1" applyFill="1" applyBorder="1" applyAlignment="1" applyProtection="1">
      <alignment horizontal="center"/>
      <protection locked="0"/>
    </xf>
    <xf numFmtId="0" fontId="78" fillId="14" borderId="30" xfId="0" applyFont="1" applyFill="1" applyBorder="1" applyAlignment="1" applyProtection="1">
      <alignment horizontal="center" vertical="top"/>
      <protection locked="0"/>
    </xf>
    <xf numFmtId="0" fontId="41" fillId="14" borderId="30" xfId="0" applyFont="1" applyFill="1" applyBorder="1" applyAlignment="1" applyProtection="1">
      <alignment horizontal="center" vertical="top"/>
      <protection locked="0"/>
    </xf>
    <xf numFmtId="0" fontId="46" fillId="5" borderId="12" xfId="0" applyFont="1" applyFill="1" applyBorder="1" applyAlignment="1" applyProtection="1">
      <alignment horizontal="center"/>
      <protection locked="0" hidden="1"/>
    </xf>
    <xf numFmtId="0" fontId="81" fillId="35" borderId="0" xfId="0" applyNumberFormat="1" applyFont="1" applyFill="1" applyBorder="1" applyAlignment="1">
      <alignment horizontal="center"/>
    </xf>
    <xf numFmtId="0" fontId="38" fillId="0" borderId="0" xfId="0" applyFont="1" applyFill="1" applyBorder="1" applyAlignment="1">
      <alignment horizontal="left"/>
    </xf>
    <xf numFmtId="0" fontId="78" fillId="14" borderId="33" xfId="0" applyFont="1" applyFill="1" applyBorder="1" applyAlignment="1" applyProtection="1">
      <alignment horizontal="left" vertical="top"/>
      <protection locked="0"/>
    </xf>
    <xf numFmtId="0" fontId="46" fillId="14" borderId="33" xfId="0" applyFont="1" applyFill="1" applyBorder="1" applyAlignment="1" applyProtection="1">
      <alignment horizontal="center"/>
      <protection locked="0" hidden="1"/>
    </xf>
    <xf numFmtId="0" fontId="78" fillId="0" borderId="33" xfId="0" applyFont="1" applyFill="1" applyBorder="1" applyAlignment="1" applyProtection="1">
      <alignment horizontal="center" vertical="top"/>
      <protection locked="0"/>
    </xf>
    <xf numFmtId="19" fontId="103" fillId="0" borderId="0" xfId="0" applyNumberFormat="1" applyFont="1" applyFill="1" applyBorder="1"/>
    <xf numFmtId="0" fontId="103" fillId="0" borderId="0" xfId="0" applyFont="1" applyFill="1" applyBorder="1"/>
    <xf numFmtId="0" fontId="78" fillId="39" borderId="12" xfId="0" applyFont="1" applyFill="1" applyBorder="1" applyAlignment="1" applyProtection="1">
      <alignment horizontal="center" vertical="top"/>
      <protection locked="0"/>
    </xf>
    <xf numFmtId="0" fontId="41" fillId="39" borderId="12" xfId="0" applyFont="1" applyFill="1" applyBorder="1" applyAlignment="1" applyProtection="1">
      <alignment horizontal="center" vertical="top"/>
      <protection locked="0"/>
    </xf>
    <xf numFmtId="0" fontId="46" fillId="39" borderId="12" xfId="0" applyFont="1" applyFill="1" applyBorder="1" applyAlignment="1" applyProtection="1">
      <alignment horizontal="center"/>
      <protection locked="0" hidden="1"/>
    </xf>
    <xf numFmtId="0" fontId="41" fillId="39" borderId="12" xfId="0" applyFont="1" applyFill="1" applyBorder="1" applyAlignment="1" applyProtection="1">
      <alignment horizontal="center"/>
      <protection locked="0" hidden="1"/>
    </xf>
    <xf numFmtId="0" fontId="46" fillId="39" borderId="12" xfId="0" applyFont="1" applyFill="1" applyBorder="1" applyAlignment="1" applyProtection="1">
      <alignment horizontal="center" vertical="top"/>
      <protection locked="0"/>
    </xf>
    <xf numFmtId="0" fontId="0" fillId="0" borderId="0" xfId="0" applyFont="1" applyFill="1" applyBorder="1"/>
    <xf numFmtId="0" fontId="78" fillId="6" borderId="19" xfId="0" applyFont="1" applyFill="1" applyBorder="1" applyAlignment="1" applyProtection="1">
      <alignment horizontal="center" vertical="top"/>
      <protection locked="0"/>
    </xf>
    <xf numFmtId="0" fontId="41" fillId="6" borderId="19" xfId="0" applyFont="1" applyFill="1" applyBorder="1" applyAlignment="1" applyProtection="1">
      <alignment horizontal="center" vertical="top"/>
      <protection locked="0"/>
    </xf>
    <xf numFmtId="0" fontId="82" fillId="6" borderId="12" xfId="0" applyFont="1" applyFill="1" applyBorder="1" applyAlignment="1">
      <alignment horizontal="left"/>
    </xf>
    <xf numFmtId="0" fontId="82" fillId="6" borderId="12" xfId="0" applyFont="1" applyFill="1" applyBorder="1" applyAlignment="1" applyProtection="1">
      <alignment horizontal="center" vertical="center"/>
      <protection locked="0"/>
    </xf>
    <xf numFmtId="1" fontId="81" fillId="6" borderId="11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Font="1" applyFill="1" applyBorder="1"/>
    <xf numFmtId="0" fontId="41" fillId="5" borderId="12" xfId="0" applyFont="1" applyFill="1" applyBorder="1" applyAlignment="1" applyProtection="1">
      <alignment horizontal="center" vertical="top"/>
      <protection locked="0"/>
    </xf>
    <xf numFmtId="0" fontId="104" fillId="0" borderId="58" xfId="0" applyFont="1" applyFill="1" applyBorder="1"/>
    <xf numFmtId="0" fontId="104" fillId="0" borderId="59" xfId="0" applyFont="1" applyFill="1" applyBorder="1"/>
    <xf numFmtId="1" fontId="0" fillId="5" borderId="61" xfId="0" applyNumberFormat="1" applyFont="1" applyFill="1" applyBorder="1"/>
    <xf numFmtId="1" fontId="0" fillId="13" borderId="61" xfId="0" applyNumberFormat="1" applyFont="1" applyFill="1" applyBorder="1"/>
    <xf numFmtId="1" fontId="0" fillId="0" borderId="61" xfId="0" applyNumberFormat="1" applyFont="1" applyFill="1" applyBorder="1"/>
    <xf numFmtId="1" fontId="0" fillId="11" borderId="61" xfId="0" applyNumberFormat="1" applyFont="1" applyFill="1" applyBorder="1"/>
    <xf numFmtId="1" fontId="42" fillId="11" borderId="61" xfId="0" applyNumberFormat="1" applyFont="1" applyFill="1" applyBorder="1"/>
    <xf numFmtId="1" fontId="0" fillId="34" borderId="61" xfId="0" applyNumberFormat="1" applyFont="1" applyFill="1" applyBorder="1"/>
    <xf numFmtId="1" fontId="0" fillId="5" borderId="47" xfId="0" applyNumberFormat="1" applyFont="1" applyFill="1" applyBorder="1"/>
    <xf numFmtId="0" fontId="0" fillId="0" borderId="63" xfId="0" applyFont="1" applyFill="1" applyBorder="1"/>
    <xf numFmtId="0" fontId="106" fillId="0" borderId="61" xfId="0" applyFont="1" applyFill="1" applyBorder="1"/>
    <xf numFmtId="0" fontId="104" fillId="0" borderId="60" xfId="0" applyFont="1" applyFill="1" applyBorder="1"/>
    <xf numFmtId="0" fontId="0" fillId="0" borderId="61" xfId="0" applyFont="1" applyFill="1" applyBorder="1"/>
    <xf numFmtId="0" fontId="0" fillId="0" borderId="62" xfId="0" applyFont="1" applyFill="1" applyBorder="1"/>
    <xf numFmtId="19" fontId="0" fillId="0" borderId="61" xfId="0" applyNumberFormat="1" applyFont="1" applyFill="1" applyBorder="1"/>
    <xf numFmtId="19" fontId="0" fillId="0" borderId="62" xfId="0" applyNumberFormat="1" applyFont="1" applyFill="1" applyBorder="1"/>
    <xf numFmtId="19" fontId="103" fillId="0" borderId="61" xfId="0" applyNumberFormat="1" applyFont="1" applyFill="1" applyBorder="1"/>
    <xf numFmtId="19" fontId="103" fillId="0" borderId="62" xfId="0" applyNumberFormat="1" applyFont="1" applyFill="1" applyBorder="1"/>
    <xf numFmtId="0" fontId="0" fillId="0" borderId="47" xfId="0" applyFont="1" applyFill="1" applyBorder="1"/>
    <xf numFmtId="0" fontId="0" fillId="0" borderId="64" xfId="0" applyFont="1" applyFill="1" applyBorder="1"/>
    <xf numFmtId="0" fontId="105" fillId="0" borderId="59" xfId="0" applyFont="1" applyFill="1" applyBorder="1"/>
    <xf numFmtId="0" fontId="105" fillId="0" borderId="60" xfId="0" applyFont="1" applyFill="1" applyBorder="1"/>
    <xf numFmtId="0" fontId="105" fillId="0" borderId="58" xfId="0" applyFont="1" applyFill="1" applyBorder="1"/>
    <xf numFmtId="0" fontId="103" fillId="0" borderId="61" xfId="0" applyFont="1" applyFill="1" applyBorder="1"/>
    <xf numFmtId="0" fontId="103" fillId="0" borderId="62" xfId="0" applyFont="1" applyFill="1" applyBorder="1"/>
    <xf numFmtId="0" fontId="103" fillId="0" borderId="62" xfId="0" applyFont="1" applyFill="1" applyBorder="1" applyAlignment="1"/>
    <xf numFmtId="0" fontId="103" fillId="0" borderId="63" xfId="0" applyFont="1" applyFill="1" applyBorder="1"/>
    <xf numFmtId="0" fontId="103" fillId="0" borderId="64" xfId="0" applyFont="1" applyFill="1" applyBorder="1"/>
    <xf numFmtId="19" fontId="103" fillId="0" borderId="47" xfId="0" applyNumberFormat="1" applyFont="1" applyFill="1" applyBorder="1"/>
    <xf numFmtId="19" fontId="103" fillId="0" borderId="64" xfId="0" applyNumberFormat="1" applyFont="1" applyFill="1" applyBorder="1"/>
    <xf numFmtId="0" fontId="103" fillId="0" borderId="47" xfId="0" applyFont="1" applyFill="1" applyBorder="1"/>
    <xf numFmtId="0" fontId="46" fillId="43" borderId="12" xfId="0" applyFont="1" applyFill="1" applyBorder="1" applyAlignment="1" applyProtection="1">
      <alignment horizontal="center"/>
      <protection locked="0" hidden="1"/>
    </xf>
    <xf numFmtId="0" fontId="41" fillId="43" borderId="12" xfId="0" applyFont="1" applyFill="1" applyBorder="1" applyAlignment="1" applyProtection="1">
      <alignment horizontal="center" vertical="center"/>
      <protection locked="0" hidden="1"/>
    </xf>
    <xf numFmtId="0" fontId="78" fillId="19" borderId="12" xfId="0" applyFont="1" applyFill="1" applyBorder="1" applyAlignment="1" applyProtection="1">
      <alignment horizontal="center" vertical="center"/>
      <protection locked="0"/>
    </xf>
    <xf numFmtId="0" fontId="41" fillId="19" borderId="12" xfId="0" applyFont="1" applyFill="1" applyBorder="1" applyAlignment="1" applyProtection="1">
      <alignment horizontal="center" vertical="center"/>
      <protection locked="0"/>
    </xf>
    <xf numFmtId="0" fontId="78" fillId="19" borderId="12" xfId="0" applyFont="1" applyFill="1" applyBorder="1" applyAlignment="1" applyProtection="1">
      <alignment horizontal="center"/>
      <protection locked="0"/>
    </xf>
    <xf numFmtId="0" fontId="78" fillId="5" borderId="33" xfId="0" applyFont="1" applyFill="1" applyBorder="1" applyAlignment="1" applyProtection="1">
      <alignment horizontal="center" vertical="top"/>
      <protection locked="0"/>
    </xf>
    <xf numFmtId="0" fontId="46" fillId="44" borderId="12" xfId="0" applyFont="1" applyFill="1" applyBorder="1" applyAlignment="1" applyProtection="1">
      <alignment horizontal="left" vertical="center"/>
      <protection locked="0" hidden="1"/>
    </xf>
    <xf numFmtId="0" fontId="81" fillId="30" borderId="11" xfId="0" applyNumberFormat="1" applyFont="1" applyFill="1" applyBorder="1" applyAlignment="1">
      <alignment horizontal="left"/>
    </xf>
    <xf numFmtId="0" fontId="81" fillId="30" borderId="12" xfId="0" applyNumberFormat="1" applyFont="1" applyFill="1" applyBorder="1" applyAlignment="1">
      <alignment horizontal="left"/>
    </xf>
    <xf numFmtId="0" fontId="81" fillId="30" borderId="13" xfId="0" applyNumberFormat="1" applyFont="1" applyFill="1" applyBorder="1" applyAlignment="1">
      <alignment horizontal="left"/>
    </xf>
    <xf numFmtId="1" fontId="78" fillId="30" borderId="12" xfId="0" applyNumberFormat="1" applyFont="1" applyFill="1" applyBorder="1" applyAlignment="1" applyProtection="1">
      <alignment horizontal="left"/>
      <protection locked="0"/>
    </xf>
    <xf numFmtId="0" fontId="41" fillId="39" borderId="12" xfId="0" applyFont="1" applyFill="1" applyBorder="1" applyAlignment="1" applyProtection="1">
      <alignment horizontal="center" vertical="center"/>
      <protection locked="0" hidden="1"/>
    </xf>
    <xf numFmtId="0" fontId="42" fillId="0" borderId="0" xfId="0" applyFont="1" applyAlignment="1">
      <alignment horizontal="right"/>
    </xf>
    <xf numFmtId="0" fontId="42" fillId="0" borderId="0" xfId="0" applyFont="1" applyAlignment="1">
      <alignment wrapText="1"/>
    </xf>
    <xf numFmtId="0" fontId="38" fillId="9" borderId="19" xfId="0" applyFont="1" applyFill="1" applyBorder="1" applyAlignment="1">
      <alignment horizontal="center"/>
    </xf>
    <xf numFmtId="0" fontId="3" fillId="9" borderId="18" xfId="0" applyNumberFormat="1" applyFont="1" applyFill="1" applyBorder="1"/>
    <xf numFmtId="0" fontId="78" fillId="19" borderId="19" xfId="0" applyFont="1" applyFill="1" applyBorder="1" applyAlignment="1" applyProtection="1">
      <alignment horizontal="center" vertical="top"/>
      <protection locked="0"/>
    </xf>
    <xf numFmtId="0" fontId="41" fillId="19" borderId="19" xfId="0" applyFont="1" applyFill="1" applyBorder="1" applyAlignment="1" applyProtection="1">
      <alignment horizontal="center" vertical="center"/>
      <protection locked="0" hidden="1"/>
    </xf>
    <xf numFmtId="0" fontId="3" fillId="9" borderId="18" xfId="0" applyFont="1" applyFill="1" applyBorder="1" applyAlignment="1">
      <alignment horizontal="right"/>
    </xf>
    <xf numFmtId="0" fontId="46" fillId="14" borderId="20" xfId="0" applyFont="1" applyFill="1" applyBorder="1" applyAlignment="1" applyProtection="1">
      <alignment horizontal="center" vertical="top"/>
      <protection locked="0"/>
    </xf>
    <xf numFmtId="0" fontId="94" fillId="30" borderId="34" xfId="0" applyFont="1" applyFill="1" applyBorder="1" applyAlignment="1">
      <alignment horizontal="center" vertical="center" wrapText="1"/>
    </xf>
    <xf numFmtId="0" fontId="3" fillId="9" borderId="34" xfId="0" applyFont="1" applyFill="1" applyBorder="1" applyAlignment="1">
      <alignment horizontal="right"/>
    </xf>
    <xf numFmtId="0" fontId="3" fillId="14" borderId="34" xfId="0" applyFont="1" applyFill="1" applyBorder="1"/>
    <xf numFmtId="0" fontId="3" fillId="0" borderId="34" xfId="0" applyFont="1" applyBorder="1"/>
    <xf numFmtId="0" fontId="46" fillId="19" borderId="34" xfId="0" applyFont="1" applyFill="1" applyBorder="1" applyAlignment="1" applyProtection="1">
      <alignment horizontal="right" vertical="top"/>
      <protection locked="0"/>
    </xf>
    <xf numFmtId="0" fontId="3" fillId="9" borderId="34" xfId="0" applyFont="1" applyFill="1" applyBorder="1"/>
    <xf numFmtId="0" fontId="0" fillId="14" borderId="41" xfId="0" applyFill="1" applyBorder="1"/>
    <xf numFmtId="0" fontId="78" fillId="14" borderId="13" xfId="0" applyFont="1" applyFill="1" applyBorder="1" applyAlignment="1" applyProtection="1">
      <protection locked="0"/>
    </xf>
    <xf numFmtId="0" fontId="78" fillId="14" borderId="20" xfId="0" applyFont="1" applyFill="1" applyBorder="1" applyAlignment="1" applyProtection="1">
      <protection locked="0"/>
    </xf>
    <xf numFmtId="0" fontId="7" fillId="0" borderId="3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4" fillId="13" borderId="33" xfId="0" applyFont="1" applyFill="1" applyBorder="1" applyAlignment="1">
      <alignment horizontal="left"/>
    </xf>
    <xf numFmtId="0" fontId="4" fillId="13" borderId="34" xfId="0" applyFont="1" applyFill="1" applyBorder="1" applyAlignment="1">
      <alignment horizontal="left"/>
    </xf>
    <xf numFmtId="0" fontId="4" fillId="13" borderId="36" xfId="0" applyFont="1" applyFill="1" applyBorder="1" applyAlignment="1">
      <alignment horizontal="left"/>
    </xf>
    <xf numFmtId="0" fontId="4" fillId="13" borderId="37" xfId="0" applyFont="1" applyFill="1" applyBorder="1" applyAlignment="1">
      <alignment horizontal="left"/>
    </xf>
    <xf numFmtId="0" fontId="15" fillId="0" borderId="21" xfId="0" applyFont="1" applyFill="1" applyBorder="1" applyAlignment="1">
      <alignment horizontal="center"/>
    </xf>
    <xf numFmtId="0" fontId="15" fillId="0" borderId="22" xfId="0" applyFont="1" applyFill="1" applyBorder="1" applyAlignment="1">
      <alignment horizontal="center"/>
    </xf>
    <xf numFmtId="0" fontId="15" fillId="0" borderId="4" xfId="0" applyFont="1" applyFill="1" applyBorder="1" applyAlignment="1">
      <alignment horizontal="center"/>
    </xf>
    <xf numFmtId="0" fontId="15" fillId="0" borderId="5" xfId="0" applyFont="1" applyFill="1" applyBorder="1" applyAlignment="1">
      <alignment horizontal="center"/>
    </xf>
    <xf numFmtId="0" fontId="15" fillId="0" borderId="6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 wrapText="1" shrinkToFit="1"/>
    </xf>
    <xf numFmtId="0" fontId="7" fillId="5" borderId="5" xfId="0" applyFont="1" applyFill="1" applyBorder="1" applyAlignment="1">
      <alignment horizontal="center" vertical="center" wrapText="1" shrinkToFit="1"/>
    </xf>
    <xf numFmtId="0" fontId="7" fillId="5" borderId="31" xfId="0" applyFont="1" applyFill="1" applyBorder="1" applyAlignment="1">
      <alignment horizontal="center" vertical="center" wrapText="1" shrinkToFit="1"/>
    </xf>
    <xf numFmtId="0" fontId="4" fillId="0" borderId="14" xfId="0" applyFont="1" applyFill="1" applyBorder="1" applyAlignment="1">
      <alignment horizontal="left"/>
    </xf>
    <xf numFmtId="0" fontId="4" fillId="13" borderId="40" xfId="0" applyFont="1" applyFill="1" applyBorder="1" applyAlignment="1">
      <alignment horizontal="left"/>
    </xf>
    <xf numFmtId="0" fontId="4" fillId="13" borderId="41" xfId="0" applyFont="1" applyFill="1" applyBorder="1" applyAlignment="1">
      <alignment horizontal="left"/>
    </xf>
    <xf numFmtId="0" fontId="4" fillId="13" borderId="43" xfId="0" applyFont="1" applyFill="1" applyBorder="1" applyAlignment="1">
      <alignment horizontal="left"/>
    </xf>
    <xf numFmtId="0" fontId="4" fillId="13" borderId="44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left"/>
    </xf>
    <xf numFmtId="0" fontId="56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58" fillId="0" borderId="45" xfId="0" applyFont="1" applyFill="1" applyBorder="1" applyAlignment="1">
      <alignment horizontal="center" vertical="center" shrinkToFit="1"/>
    </xf>
    <xf numFmtId="0" fontId="58" fillId="0" borderId="31" xfId="0" applyFont="1" applyFill="1" applyBorder="1" applyAlignment="1">
      <alignment horizontal="center" vertical="center" shrinkToFit="1"/>
    </xf>
    <xf numFmtId="16" fontId="3" fillId="0" borderId="4" xfId="0" applyNumberFormat="1" applyFont="1" applyBorder="1" applyAlignment="1">
      <alignment horizontal="center"/>
    </xf>
    <xf numFmtId="16" fontId="3" fillId="0" borderId="5" xfId="0" applyNumberFormat="1" applyFont="1" applyBorder="1" applyAlignment="1">
      <alignment horizontal="center"/>
    </xf>
    <xf numFmtId="16" fontId="3" fillId="0" borderId="6" xfId="0" applyNumberFormat="1" applyFont="1" applyBorder="1" applyAlignment="1">
      <alignment horizontal="center"/>
    </xf>
    <xf numFmtId="168" fontId="60" fillId="0" borderId="33" xfId="0" applyNumberFormat="1" applyFont="1" applyFill="1" applyBorder="1" applyAlignment="1">
      <alignment horizontal="center" vertical="center" wrapText="1" shrinkToFit="1"/>
    </xf>
    <xf numFmtId="168" fontId="60" fillId="0" borderId="46" xfId="0" applyNumberFormat="1" applyFont="1" applyFill="1" applyBorder="1" applyAlignment="1">
      <alignment horizontal="center" vertical="center" wrapText="1" shrinkToFit="1"/>
    </xf>
    <xf numFmtId="16" fontId="0" fillId="13" borderId="33" xfId="0" applyNumberFormat="1" applyFill="1" applyBorder="1" applyAlignment="1">
      <alignment horizontal="left" vertical="top"/>
    </xf>
    <xf numFmtId="16" fontId="0" fillId="13" borderId="37" xfId="0" applyNumberFormat="1" applyFill="1" applyBorder="1" applyAlignment="1">
      <alignment horizontal="left" vertical="top"/>
    </xf>
    <xf numFmtId="16" fontId="0" fillId="13" borderId="34" xfId="0" applyNumberFormat="1" applyFill="1" applyBorder="1" applyAlignment="1">
      <alignment horizontal="left" vertical="top"/>
    </xf>
    <xf numFmtId="16" fontId="0" fillId="13" borderId="12" xfId="0" applyNumberFormat="1" applyFill="1" applyBorder="1" applyAlignment="1">
      <alignment horizontal="center" vertical="top"/>
    </xf>
    <xf numFmtId="168" fontId="60" fillId="0" borderId="40" xfId="0" applyNumberFormat="1" applyFont="1" applyFill="1" applyBorder="1" applyAlignment="1">
      <alignment horizontal="center" vertical="center" wrapText="1" shrinkToFit="1"/>
    </xf>
    <xf numFmtId="168" fontId="60" fillId="0" borderId="42" xfId="0" applyNumberFormat="1" applyFont="1" applyFill="1" applyBorder="1" applyAlignment="1">
      <alignment horizontal="center" vertical="center" wrapText="1" shrinkToFit="1"/>
    </xf>
    <xf numFmtId="0" fontId="0" fillId="13" borderId="40" xfId="0" applyFill="1" applyBorder="1" applyAlignment="1">
      <alignment horizontal="center"/>
    </xf>
    <xf numFmtId="0" fontId="0" fillId="13" borderId="44" xfId="0" applyFill="1" applyBorder="1" applyAlignment="1">
      <alignment horizontal="center"/>
    </xf>
    <xf numFmtId="0" fontId="0" fillId="13" borderId="41" xfId="0" applyFill="1" applyBorder="1" applyAlignment="1">
      <alignment horizontal="center"/>
    </xf>
    <xf numFmtId="168" fontId="60" fillId="0" borderId="47" xfId="0" applyNumberFormat="1" applyFont="1" applyFill="1" applyBorder="1" applyAlignment="1">
      <alignment horizontal="center" vertical="center" wrapText="1" shrinkToFit="1"/>
    </xf>
    <xf numFmtId="168" fontId="60" fillId="0" borderId="48" xfId="0" applyNumberFormat="1" applyFont="1" applyFill="1" applyBorder="1" applyAlignment="1">
      <alignment horizontal="center" vertical="center" wrapText="1" shrinkToFit="1"/>
    </xf>
    <xf numFmtId="16" fontId="3" fillId="0" borderId="36" xfId="0" applyNumberFormat="1" applyFont="1" applyBorder="1" applyAlignment="1">
      <alignment horizontal="center"/>
    </xf>
    <xf numFmtId="16" fontId="3" fillId="0" borderId="37" xfId="0" applyNumberFormat="1" applyFont="1" applyBorder="1" applyAlignment="1">
      <alignment horizontal="center"/>
    </xf>
    <xf numFmtId="16" fontId="3" fillId="0" borderId="46" xfId="0" applyNumberFormat="1" applyFont="1" applyBorder="1" applyAlignment="1">
      <alignment horizontal="center"/>
    </xf>
    <xf numFmtId="168" fontId="60" fillId="0" borderId="12" xfId="0" applyNumberFormat="1" applyFont="1" applyFill="1" applyBorder="1" applyAlignment="1">
      <alignment horizontal="center" vertical="center" wrapText="1" shrinkToFit="1"/>
    </xf>
    <xf numFmtId="168" fontId="60" fillId="0" borderId="13" xfId="0" applyNumberFormat="1" applyFont="1" applyFill="1" applyBorder="1" applyAlignment="1">
      <alignment horizontal="center" vertical="center" wrapText="1" shrinkToFit="1"/>
    </xf>
    <xf numFmtId="0" fontId="94" fillId="30" borderId="22" xfId="0" applyFont="1" applyFill="1" applyBorder="1" applyAlignment="1">
      <alignment horizontal="center" vertical="center" wrapText="1"/>
    </xf>
    <xf numFmtId="0" fontId="94" fillId="30" borderId="12" xfId="0" applyFont="1" applyFill="1" applyBorder="1" applyAlignment="1">
      <alignment horizontal="center" vertical="center" wrapText="1"/>
    </xf>
    <xf numFmtId="0" fontId="94" fillId="30" borderId="7" xfId="0" applyFont="1" applyFill="1" applyBorder="1" applyAlignment="1">
      <alignment horizontal="center" vertical="center" wrapText="1"/>
    </xf>
    <xf numFmtId="0" fontId="94" fillId="30" borderId="13" xfId="0" applyFont="1" applyFill="1" applyBorder="1" applyAlignment="1">
      <alignment horizontal="center" vertical="center" wrapText="1"/>
    </xf>
    <xf numFmtId="0" fontId="80" fillId="18" borderId="21" xfId="0" applyFont="1" applyFill="1" applyBorder="1" applyAlignment="1">
      <alignment horizontal="center" wrapText="1"/>
    </xf>
    <xf numFmtId="0" fontId="80" fillId="18" borderId="22" xfId="0" applyFont="1" applyFill="1" applyBorder="1" applyAlignment="1">
      <alignment horizontal="center" wrapText="1"/>
    </xf>
    <xf numFmtId="0" fontId="80" fillId="18" borderId="7" xfId="0" applyFont="1" applyFill="1" applyBorder="1" applyAlignment="1">
      <alignment horizontal="center" wrapText="1"/>
    </xf>
    <xf numFmtId="0" fontId="80" fillId="14" borderId="11" xfId="0" applyFont="1" applyFill="1" applyBorder="1" applyAlignment="1">
      <alignment horizontal="center"/>
    </xf>
    <xf numFmtId="0" fontId="80" fillId="14" borderId="12" xfId="0" applyFont="1" applyFill="1" applyBorder="1" applyAlignment="1">
      <alignment horizontal="center"/>
    </xf>
    <xf numFmtId="0" fontId="80" fillId="14" borderId="13" xfId="0" applyFont="1" applyFill="1" applyBorder="1" applyAlignment="1">
      <alignment horizontal="center"/>
    </xf>
    <xf numFmtId="1" fontId="78" fillId="11" borderId="11" xfId="0" applyNumberFormat="1" applyFont="1" applyFill="1" applyBorder="1" applyAlignment="1" applyProtection="1">
      <alignment horizontal="center"/>
      <protection locked="0"/>
    </xf>
    <xf numFmtId="1" fontId="78" fillId="11" borderId="12" xfId="0" applyNumberFormat="1" applyFont="1" applyFill="1" applyBorder="1" applyAlignment="1" applyProtection="1">
      <alignment horizontal="center"/>
      <protection locked="0"/>
    </xf>
    <xf numFmtId="1" fontId="78" fillId="11" borderId="13" xfId="0" applyNumberFormat="1" applyFont="1" applyFill="1" applyBorder="1" applyAlignment="1" applyProtection="1">
      <alignment horizontal="center"/>
      <protection locked="0"/>
    </xf>
    <xf numFmtId="0" fontId="81" fillId="30" borderId="11" xfId="0" applyNumberFormat="1" applyFont="1" applyFill="1" applyBorder="1" applyAlignment="1">
      <alignment horizontal="left"/>
    </xf>
    <xf numFmtId="0" fontId="81" fillId="30" borderId="12" xfId="0" applyNumberFormat="1" applyFont="1" applyFill="1" applyBorder="1" applyAlignment="1">
      <alignment horizontal="left"/>
    </xf>
    <xf numFmtId="0" fontId="81" fillId="30" borderId="13" xfId="0" applyNumberFormat="1" applyFont="1" applyFill="1" applyBorder="1" applyAlignment="1">
      <alignment horizontal="left"/>
    </xf>
    <xf numFmtId="0" fontId="94" fillId="30" borderId="21" xfId="0" applyFont="1" applyFill="1" applyBorder="1" applyAlignment="1">
      <alignment horizontal="center" vertical="center" wrapText="1"/>
    </xf>
    <xf numFmtId="0" fontId="94" fillId="30" borderId="11" xfId="0" applyFont="1" applyFill="1" applyBorder="1" applyAlignment="1">
      <alignment horizontal="center" vertical="center" wrapText="1"/>
    </xf>
    <xf numFmtId="0" fontId="80" fillId="18" borderId="11" xfId="0" applyFont="1" applyFill="1" applyBorder="1" applyAlignment="1">
      <alignment horizontal="center"/>
    </xf>
    <xf numFmtId="0" fontId="80" fillId="18" borderId="12" xfId="0" applyFont="1" applyFill="1" applyBorder="1" applyAlignment="1">
      <alignment horizontal="center"/>
    </xf>
    <xf numFmtId="0" fontId="80" fillId="18" borderId="13" xfId="0" applyFont="1" applyFill="1" applyBorder="1" applyAlignment="1">
      <alignment horizontal="center"/>
    </xf>
    <xf numFmtId="0" fontId="80" fillId="18" borderId="11" xfId="0" applyFont="1" applyFill="1" applyBorder="1" applyAlignment="1">
      <alignment horizontal="center" vertical="center" wrapText="1"/>
    </xf>
    <xf numFmtId="0" fontId="80" fillId="18" borderId="12" xfId="0" applyFont="1" applyFill="1" applyBorder="1" applyAlignment="1">
      <alignment horizontal="center" vertical="center" wrapText="1"/>
    </xf>
    <xf numFmtId="0" fontId="80" fillId="18" borderId="13" xfId="0" applyFont="1" applyFill="1" applyBorder="1" applyAlignment="1">
      <alignment horizontal="center" vertical="center" wrapText="1"/>
    </xf>
    <xf numFmtId="0" fontId="80" fillId="30" borderId="11" xfId="0" applyFont="1" applyFill="1" applyBorder="1" applyAlignment="1">
      <alignment horizontal="center"/>
    </xf>
    <xf numFmtId="0" fontId="80" fillId="30" borderId="12" xfId="0" applyFont="1" applyFill="1" applyBorder="1" applyAlignment="1">
      <alignment horizontal="center"/>
    </xf>
    <xf numFmtId="0" fontId="80" fillId="30" borderId="13" xfId="0" applyFont="1" applyFill="1" applyBorder="1" applyAlignment="1">
      <alignment horizontal="center"/>
    </xf>
    <xf numFmtId="0" fontId="81" fillId="11" borderId="11" xfId="0" applyNumberFormat="1" applyFont="1" applyFill="1" applyBorder="1" applyAlignment="1">
      <alignment horizontal="center"/>
    </xf>
    <xf numFmtId="0" fontId="81" fillId="11" borderId="12" xfId="0" applyNumberFormat="1" applyFont="1" applyFill="1" applyBorder="1" applyAlignment="1">
      <alignment horizontal="center"/>
    </xf>
    <xf numFmtId="0" fontId="81" fillId="11" borderId="13" xfId="0" applyNumberFormat="1" applyFont="1" applyFill="1" applyBorder="1" applyAlignment="1">
      <alignment horizontal="center"/>
    </xf>
    <xf numFmtId="0" fontId="94" fillId="30" borderId="6" xfId="0" applyFont="1" applyFill="1" applyBorder="1" applyAlignment="1">
      <alignment horizontal="center" vertical="center" wrapText="1"/>
    </xf>
    <xf numFmtId="0" fontId="94" fillId="30" borderId="34" xfId="0" applyFont="1" applyFill="1" applyBorder="1" applyAlignment="1">
      <alignment horizontal="center" vertical="center" wrapText="1"/>
    </xf>
    <xf numFmtId="0" fontId="88" fillId="0" borderId="49" xfId="0" applyFont="1" applyBorder="1" applyAlignment="1">
      <alignment horizontal="center"/>
    </xf>
    <xf numFmtId="0" fontId="88" fillId="0" borderId="50" xfId="0" applyFont="1" applyBorder="1" applyAlignment="1">
      <alignment horizontal="center"/>
    </xf>
    <xf numFmtId="0" fontId="88" fillId="0" borderId="51" xfId="0" applyFont="1" applyBorder="1" applyAlignment="1">
      <alignment horizontal="center"/>
    </xf>
    <xf numFmtId="0" fontId="80" fillId="11" borderId="11" xfId="0" applyFont="1" applyFill="1" applyBorder="1" applyAlignment="1">
      <alignment horizontal="center"/>
    </xf>
    <xf numFmtId="0" fontId="80" fillId="11" borderId="12" xfId="0" applyFont="1" applyFill="1" applyBorder="1" applyAlignment="1">
      <alignment horizontal="center"/>
    </xf>
    <xf numFmtId="0" fontId="80" fillId="11" borderId="33" xfId="0" applyFont="1" applyFill="1" applyBorder="1" applyAlignment="1">
      <alignment horizontal="center"/>
    </xf>
    <xf numFmtId="0" fontId="94" fillId="30" borderId="55" xfId="0" applyFont="1" applyFill="1" applyBorder="1" applyAlignment="1">
      <alignment horizontal="center" vertical="center" wrapText="1"/>
    </xf>
    <xf numFmtId="0" fontId="94" fillId="30" borderId="27" xfId="0" applyFont="1" applyFill="1" applyBorder="1" applyAlignment="1">
      <alignment horizontal="center" vertical="center" wrapText="1"/>
    </xf>
    <xf numFmtId="0" fontId="94" fillId="30" borderId="53" xfId="0" applyFont="1" applyFill="1" applyBorder="1" applyAlignment="1">
      <alignment horizontal="center" vertical="center" wrapText="1"/>
    </xf>
    <xf numFmtId="0" fontId="94" fillId="30" borderId="56" xfId="0" applyFont="1" applyFill="1" applyBorder="1" applyAlignment="1">
      <alignment horizontal="center" vertical="center" wrapText="1"/>
    </xf>
    <xf numFmtId="0" fontId="94" fillId="30" borderId="54" xfId="0" applyFont="1" applyFill="1" applyBorder="1" applyAlignment="1">
      <alignment horizontal="center" vertical="center" wrapText="1"/>
    </xf>
    <xf numFmtId="0" fontId="94" fillId="30" borderId="26" xfId="0" applyFont="1" applyFill="1" applyBorder="1" applyAlignment="1">
      <alignment horizontal="center" vertical="center" wrapText="1"/>
    </xf>
    <xf numFmtId="0" fontId="99" fillId="40" borderId="57" xfId="0" applyFont="1" applyFill="1" applyBorder="1" applyAlignment="1">
      <alignment horizontal="center" vertical="center" textRotation="90" wrapText="1"/>
    </xf>
    <xf numFmtId="0" fontId="99" fillId="40" borderId="29" xfId="0" applyFont="1" applyFill="1" applyBorder="1" applyAlignment="1">
      <alignment horizontal="center" vertical="center" textRotation="90" wrapText="1"/>
    </xf>
    <xf numFmtId="0" fontId="99" fillId="40" borderId="27" xfId="0" applyFont="1" applyFill="1" applyBorder="1" applyAlignment="1">
      <alignment horizontal="center" vertical="center" textRotation="90" wrapText="1"/>
    </xf>
    <xf numFmtId="1" fontId="78" fillId="30" borderId="12" xfId="0" applyNumberFormat="1" applyFont="1" applyFill="1" applyBorder="1" applyAlignment="1" applyProtection="1">
      <alignment horizontal="left"/>
      <protection locked="0"/>
    </xf>
    <xf numFmtId="0" fontId="80" fillId="18" borderId="0" xfId="0" applyFont="1" applyFill="1" applyBorder="1" applyAlignment="1">
      <alignment horizontal="center" wrapText="1"/>
    </xf>
    <xf numFmtId="0" fontId="80" fillId="11" borderId="0" xfId="0" applyFont="1" applyFill="1" applyBorder="1" applyAlignment="1">
      <alignment horizontal="center"/>
    </xf>
    <xf numFmtId="1" fontId="78" fillId="11" borderId="0" xfId="0" applyNumberFormat="1" applyFont="1" applyFill="1" applyBorder="1" applyAlignment="1" applyProtection="1">
      <alignment horizontal="center"/>
      <protection locked="0"/>
    </xf>
    <xf numFmtId="0" fontId="81" fillId="11" borderId="0" xfId="0" applyNumberFormat="1" applyFont="1" applyFill="1" applyBorder="1" applyAlignment="1">
      <alignment horizontal="center"/>
    </xf>
    <xf numFmtId="0" fontId="3" fillId="40" borderId="12" xfId="0" applyFont="1" applyFill="1" applyBorder="1" applyAlignment="1">
      <alignment horizontal="center"/>
    </xf>
    <xf numFmtId="0" fontId="80" fillId="30" borderId="0" xfId="0" applyFont="1" applyFill="1" applyBorder="1" applyAlignment="1">
      <alignment horizontal="center"/>
    </xf>
    <xf numFmtId="0" fontId="94" fillId="40" borderId="12" xfId="0" applyFont="1" applyFill="1" applyBorder="1" applyAlignment="1">
      <alignment horizontal="center"/>
    </xf>
    <xf numFmtId="0" fontId="81" fillId="30" borderId="33" xfId="0" applyNumberFormat="1" applyFont="1" applyFill="1" applyBorder="1" applyAlignment="1">
      <alignment horizontal="left"/>
    </xf>
    <xf numFmtId="0" fontId="80" fillId="18" borderId="0" xfId="0" applyFont="1" applyFill="1" applyBorder="1" applyAlignment="1">
      <alignment horizontal="center"/>
    </xf>
    <xf numFmtId="0" fontId="3" fillId="40" borderId="27" xfId="0" applyFont="1" applyFill="1" applyBorder="1" applyAlignment="1">
      <alignment horizontal="center"/>
    </xf>
    <xf numFmtId="0" fontId="81" fillId="30" borderId="0" xfId="0" applyNumberFormat="1" applyFont="1" applyFill="1" applyBorder="1" applyAlignment="1">
      <alignment horizontal="left"/>
    </xf>
    <xf numFmtId="0" fontId="99" fillId="40" borderId="12" xfId="0" applyFont="1" applyFill="1" applyBorder="1" applyAlignment="1">
      <alignment horizontal="center" vertical="center" textRotation="90" wrapText="1"/>
    </xf>
    <xf numFmtId="44" fontId="51" fillId="32" borderId="49" xfId="0" applyNumberFormat="1" applyFont="1" applyFill="1" applyBorder="1" applyAlignment="1">
      <alignment horizontal="center"/>
    </xf>
    <xf numFmtId="44" fontId="51" fillId="32" borderId="50" xfId="0" applyNumberFormat="1" applyFont="1" applyFill="1" applyBorder="1" applyAlignment="1">
      <alignment horizontal="center"/>
    </xf>
    <xf numFmtId="44" fontId="51" fillId="32" borderId="51" xfId="0" applyNumberFormat="1" applyFont="1" applyFill="1" applyBorder="1" applyAlignment="1">
      <alignment horizontal="center"/>
    </xf>
    <xf numFmtId="2" fontId="67" fillId="0" borderId="49" xfId="0" applyNumberFormat="1" applyFont="1" applyFill="1" applyBorder="1" applyAlignment="1">
      <alignment horizontal="center"/>
    </xf>
    <xf numFmtId="2" fontId="67" fillId="0" borderId="50" xfId="0" applyNumberFormat="1" applyFont="1" applyFill="1" applyBorder="1" applyAlignment="1">
      <alignment horizontal="center"/>
    </xf>
    <xf numFmtId="2" fontId="67" fillId="0" borderId="51" xfId="0" applyNumberFormat="1" applyFont="1" applyFill="1" applyBorder="1" applyAlignment="1">
      <alignment horizontal="center"/>
    </xf>
    <xf numFmtId="0" fontId="103" fillId="6" borderId="0" xfId="0" applyFont="1" applyFill="1" applyBorder="1" applyAlignment="1">
      <alignment horizontal="center"/>
    </xf>
    <xf numFmtId="0" fontId="103" fillId="6" borderId="62" xfId="0" applyFont="1" applyFill="1" applyBorder="1" applyAlignment="1">
      <alignment horizontal="center"/>
    </xf>
    <xf numFmtId="0" fontId="103" fillId="44" borderId="0" xfId="0" applyFont="1" applyFill="1" applyBorder="1" applyAlignment="1">
      <alignment horizontal="center"/>
    </xf>
    <xf numFmtId="0" fontId="103" fillId="44" borderId="62" xfId="0" applyFont="1" applyFill="1" applyBorder="1" applyAlignment="1">
      <alignment horizontal="center"/>
    </xf>
    <xf numFmtId="0" fontId="103" fillId="44" borderId="61" xfId="0" applyFont="1" applyFill="1" applyBorder="1" applyAlignment="1">
      <alignment horizontal="center"/>
    </xf>
    <xf numFmtId="0" fontId="103" fillId="6" borderId="61" xfId="0" applyFont="1" applyFill="1" applyBorder="1" applyAlignment="1">
      <alignment horizontal="center"/>
    </xf>
    <xf numFmtId="0" fontId="103" fillId="45" borderId="61" xfId="0" applyFont="1" applyFill="1" applyBorder="1" applyAlignment="1">
      <alignment horizontal="center"/>
    </xf>
    <xf numFmtId="0" fontId="103" fillId="45" borderId="62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103" fillId="5" borderId="0" xfId="0" applyFont="1" applyFill="1" applyBorder="1" applyAlignment="1">
      <alignment horizontal="center"/>
    </xf>
    <xf numFmtId="0" fontId="103" fillId="5" borderId="62" xfId="0" applyFont="1" applyFill="1" applyBorder="1" applyAlignment="1">
      <alignment horizontal="center"/>
    </xf>
    <xf numFmtId="0" fontId="103" fillId="5" borderId="61" xfId="0" applyFont="1" applyFill="1" applyBorder="1" applyAlignment="1">
      <alignment horizontal="center"/>
    </xf>
  </cellXfs>
  <cellStyles count="10">
    <cellStyle name="Millares" xfId="1" builtinId="3"/>
    <cellStyle name="Moneda" xfId="2" builtinId="4"/>
    <cellStyle name="Moneda 2" xfId="4"/>
    <cellStyle name="Moneda 4" xfId="6"/>
    <cellStyle name="Moneda 4 3" xfId="7"/>
    <cellStyle name="Normal" xfId="0" builtinId="0"/>
    <cellStyle name="Normal 2" xfId="5"/>
    <cellStyle name="Normal 3" xfId="3"/>
    <cellStyle name="Normal 4" xfId="8"/>
    <cellStyle name="Normal 5" xfId="9"/>
  </cellStyles>
  <dxfs count="42"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C9AE2"/>
      <color rgb="FFAEC88E"/>
      <color rgb="FFFF66CC"/>
      <color rgb="FFF4E6C4"/>
      <color rgb="FFF9DDA5"/>
      <color rgb="FFFCE4D6"/>
      <color rgb="FFFCE6C4"/>
      <color rgb="FFFFCC66"/>
      <color rgb="FFEDC497"/>
      <color rgb="FFFFDF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Violeta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F389"/>
  <sheetViews>
    <sheetView view="pageBreakPreview" topLeftCell="D1" zoomScaleNormal="100" zoomScaleSheetLayoutView="100" workbookViewId="0">
      <pane ySplit="1" topLeftCell="A2" activePane="bottomLeft" state="frozen"/>
      <selection pane="bottomLeft" activeCell="D33" sqref="D33"/>
    </sheetView>
  </sheetViews>
  <sheetFormatPr baseColWidth="10" defaultColWidth="11.44140625" defaultRowHeight="409.6" customHeight="1" x14ac:dyDescent="0.35"/>
  <cols>
    <col min="1" max="1" width="1.44140625" style="232" customWidth="1"/>
    <col min="2" max="2" width="8.88671875" customWidth="1"/>
    <col min="3" max="3" width="6.5546875" customWidth="1"/>
    <col min="4" max="4" width="41.109375" style="107" customWidth="1"/>
    <col min="5" max="5" width="6.88671875" style="220" customWidth="1"/>
    <col min="6" max="6" width="7.88671875" style="221" customWidth="1"/>
    <col min="7" max="7" width="7.88671875" customWidth="1"/>
    <col min="8" max="9" width="5.33203125" customWidth="1"/>
    <col min="10" max="10" width="3.109375" customWidth="1"/>
    <col min="11" max="11" width="5.44140625" customWidth="1"/>
    <col min="12" max="12" width="4.44140625" style="181" customWidth="1"/>
    <col min="13" max="13" width="5" style="181" customWidth="1"/>
    <col min="14" max="14" width="4.109375" style="181" customWidth="1"/>
    <col min="15" max="15" width="4.5546875" style="181" customWidth="1"/>
    <col min="16" max="16" width="3.5546875" customWidth="1"/>
    <col min="17" max="17" width="11.6640625" customWidth="1"/>
    <col min="18" max="18" width="16.5546875" style="182" customWidth="1"/>
    <col min="19" max="19" width="4.5546875" style="229" bestFit="1" customWidth="1"/>
    <col min="20" max="20" width="12.88671875" bestFit="1" customWidth="1"/>
    <col min="21" max="21" width="5.33203125" bestFit="1" customWidth="1"/>
    <col min="22" max="22" width="17.88671875" style="154" bestFit="1" customWidth="1"/>
    <col min="23" max="23" width="14.109375" bestFit="1" customWidth="1"/>
    <col min="24" max="24" width="9.88671875" bestFit="1" customWidth="1"/>
    <col min="25" max="25" width="9.6640625" bestFit="1" customWidth="1"/>
    <col min="26" max="26" width="12.6640625" bestFit="1" customWidth="1"/>
    <col min="27" max="27" width="9.33203125" bestFit="1" customWidth="1"/>
    <col min="28" max="28" width="14.109375" bestFit="1" customWidth="1"/>
    <col min="29" max="29" width="9.88671875" bestFit="1" customWidth="1"/>
    <col min="30" max="30" width="9.6640625" bestFit="1" customWidth="1"/>
    <col min="31" max="31" width="12.6640625" bestFit="1" customWidth="1"/>
    <col min="32" max="32" width="9.33203125" bestFit="1" customWidth="1"/>
    <col min="33" max="33" width="14.109375" bestFit="1" customWidth="1"/>
    <col min="34" max="34" width="9.88671875" bestFit="1" customWidth="1"/>
    <col min="35" max="35" width="9.6640625" bestFit="1" customWidth="1"/>
    <col min="36" max="36" width="12.6640625" bestFit="1" customWidth="1"/>
    <col min="37" max="37" width="9.33203125" bestFit="1" customWidth="1"/>
    <col min="38" max="38" width="14.109375" bestFit="1" customWidth="1"/>
    <col min="39" max="39" width="9.88671875" bestFit="1" customWidth="1"/>
    <col min="40" max="40" width="9.6640625" bestFit="1" customWidth="1"/>
    <col min="41" max="41" width="12.6640625" bestFit="1" customWidth="1"/>
    <col min="42" max="42" width="9.33203125" bestFit="1" customWidth="1"/>
    <col min="43" max="43" width="14.109375" bestFit="1" customWidth="1"/>
    <col min="44" max="44" width="9.88671875" bestFit="1" customWidth="1"/>
    <col min="45" max="45" width="9.6640625" bestFit="1" customWidth="1"/>
    <col min="46" max="46" width="12.6640625" bestFit="1" customWidth="1"/>
    <col min="47" max="47" width="9.33203125" bestFit="1" customWidth="1"/>
    <col min="48" max="48" width="14.109375" bestFit="1" customWidth="1"/>
    <col min="49" max="49" width="9.88671875" bestFit="1" customWidth="1"/>
    <col min="50" max="50" width="9.6640625" bestFit="1" customWidth="1"/>
    <col min="51" max="51" width="12.6640625" bestFit="1" customWidth="1"/>
    <col min="52" max="52" width="14.88671875" customWidth="1"/>
    <col min="53" max="53" width="13" bestFit="1" customWidth="1"/>
    <col min="54" max="54" width="5.6640625" style="15" hidden="1" customWidth="1"/>
    <col min="55" max="55" width="6.5546875" style="15" hidden="1" customWidth="1"/>
    <col min="56" max="56" width="4.44140625" style="15" hidden="1" customWidth="1"/>
    <col min="57" max="57" width="6.33203125" style="15" hidden="1" customWidth="1"/>
    <col min="58" max="58" width="1.6640625" style="15" hidden="1" customWidth="1"/>
    <col min="59" max="59" width="8.88671875" style="16" hidden="1" customWidth="1"/>
    <col min="60" max="60" width="5.33203125" style="17" customWidth="1"/>
    <col min="61" max="61" width="10.5546875" style="18" customWidth="1"/>
    <col min="62" max="62" width="10" style="18" customWidth="1"/>
    <col min="63" max="63" width="10.88671875" style="18" customWidth="1"/>
    <col min="64" max="64" width="10.44140625" style="18" customWidth="1"/>
    <col min="65" max="65" width="10" style="18" customWidth="1"/>
    <col min="66" max="66" width="11.44140625" style="18" customWidth="1"/>
    <col min="67" max="67" width="11.44140625" style="124" customWidth="1"/>
    <col min="68" max="68" width="11" style="129" customWidth="1"/>
    <col min="69" max="69" width="5.44140625" style="22" customWidth="1"/>
    <col min="70" max="71" width="7.109375" style="22" customWidth="1"/>
    <col min="72" max="72" width="11.44140625" style="22"/>
    <col min="73" max="73" width="7.109375" style="232" customWidth="1"/>
    <col min="74" max="16384" width="11.44140625" style="22"/>
  </cols>
  <sheetData>
    <row r="1" spans="1:214" ht="16.5" thickBot="1" x14ac:dyDescent="0.3">
      <c r="A1" s="1">
        <v>1</v>
      </c>
      <c r="B1" s="2"/>
      <c r="C1" s="3"/>
      <c r="D1" s="4"/>
      <c r="E1" s="5"/>
      <c r="F1" s="6"/>
      <c r="G1" s="341"/>
      <c r="H1" s="341"/>
      <c r="I1" s="341"/>
      <c r="J1" s="341"/>
      <c r="K1" s="341"/>
      <c r="L1" s="341"/>
      <c r="M1" s="7"/>
      <c r="N1" s="341"/>
      <c r="O1" s="341"/>
      <c r="P1" s="341"/>
      <c r="Q1" s="8"/>
      <c r="R1" s="9"/>
      <c r="S1" s="10"/>
      <c r="T1" s="11"/>
      <c r="U1" s="11"/>
      <c r="V1" s="12"/>
      <c r="W1" s="811"/>
      <c r="X1" s="811"/>
      <c r="Y1" s="811"/>
      <c r="Z1" s="812"/>
      <c r="AA1" s="811" t="s">
        <v>0</v>
      </c>
      <c r="AB1" s="811"/>
      <c r="AC1" s="811"/>
      <c r="AD1" s="811"/>
      <c r="AE1" s="812"/>
      <c r="AF1" s="810" t="s">
        <v>1</v>
      </c>
      <c r="AG1" s="811"/>
      <c r="AH1" s="811"/>
      <c r="AI1" s="811"/>
      <c r="AJ1" s="812"/>
      <c r="AK1" s="810" t="s">
        <v>2</v>
      </c>
      <c r="AL1" s="811"/>
      <c r="AM1" s="811"/>
      <c r="AN1" s="811"/>
      <c r="AO1" s="812"/>
      <c r="AP1" s="810" t="s">
        <v>3</v>
      </c>
      <c r="AQ1" s="811"/>
      <c r="AR1" s="811"/>
      <c r="AS1" s="811"/>
      <c r="AT1" s="812"/>
      <c r="AU1" s="810" t="s">
        <v>4</v>
      </c>
      <c r="AV1" s="811"/>
      <c r="AW1" s="811"/>
      <c r="AX1" s="811"/>
      <c r="AY1" s="812"/>
      <c r="AZ1" s="13"/>
      <c r="BA1" s="14"/>
      <c r="BO1" s="19"/>
      <c r="BP1" s="20"/>
      <c r="BQ1" s="21"/>
      <c r="BR1" s="9"/>
      <c r="BS1" s="9"/>
      <c r="BU1" s="1">
        <v>1</v>
      </c>
    </row>
    <row r="2" spans="1:214" ht="30.75" customHeight="1" thickBot="1" x14ac:dyDescent="0.35">
      <c r="A2" s="1">
        <v>2</v>
      </c>
      <c r="B2" s="817" t="s">
        <v>5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  <c r="O2" s="818"/>
      <c r="P2" s="818"/>
      <c r="Q2" s="818"/>
      <c r="R2" s="23"/>
      <c r="S2" s="10"/>
      <c r="T2" s="24" t="s">
        <v>6</v>
      </c>
      <c r="U2" s="24" t="s">
        <v>7</v>
      </c>
      <c r="V2" s="25" t="s">
        <v>158</v>
      </c>
      <c r="W2" s="26"/>
      <c r="X2" s="27">
        <v>7.18</v>
      </c>
      <c r="Y2" s="27">
        <v>7.18</v>
      </c>
      <c r="Z2" s="28"/>
      <c r="AA2" s="26"/>
      <c r="AB2" s="26"/>
      <c r="AC2" s="26"/>
      <c r="AD2" s="26"/>
      <c r="AE2" s="28"/>
      <c r="AF2" s="29"/>
      <c r="AG2" s="26"/>
      <c r="AH2" s="26"/>
      <c r="AI2" s="26"/>
      <c r="AJ2" s="28"/>
      <c r="AK2" s="29"/>
      <c r="AL2" s="26"/>
      <c r="AM2" s="26"/>
      <c r="AN2" s="26"/>
      <c r="AO2" s="28"/>
      <c r="AP2" s="29"/>
      <c r="AQ2" s="26"/>
      <c r="AR2" s="26"/>
      <c r="AS2" s="26"/>
      <c r="AT2" s="28"/>
      <c r="AU2" s="29"/>
      <c r="AV2" s="26"/>
      <c r="AW2" s="26"/>
      <c r="AX2" s="26"/>
      <c r="AY2" s="28"/>
      <c r="AZ2" s="13"/>
      <c r="BA2" s="30">
        <v>0</v>
      </c>
      <c r="BO2" s="31"/>
      <c r="BP2" s="32"/>
      <c r="BQ2" s="21"/>
      <c r="BR2" s="9"/>
      <c r="BS2" s="9"/>
      <c r="BU2" s="1">
        <v>2</v>
      </c>
    </row>
    <row r="3" spans="1:214" ht="15.75" x14ac:dyDescent="0.25">
      <c r="A3" s="1">
        <v>3</v>
      </c>
      <c r="B3" s="33"/>
      <c r="C3" s="34"/>
      <c r="D3" s="35"/>
      <c r="E3" s="36" t="s">
        <v>8</v>
      </c>
      <c r="F3" s="37"/>
      <c r="G3" s="36" t="s">
        <v>9</v>
      </c>
      <c r="H3" s="36"/>
      <c r="I3" s="36" t="s">
        <v>9</v>
      </c>
      <c r="J3" s="36"/>
      <c r="K3" s="36" t="s">
        <v>10</v>
      </c>
      <c r="L3" s="36"/>
      <c r="M3" s="36" t="s">
        <v>11</v>
      </c>
      <c r="N3" s="36"/>
      <c r="O3" s="36" t="s">
        <v>12</v>
      </c>
      <c r="P3" s="38"/>
      <c r="Q3" s="38"/>
      <c r="R3" s="39" t="s">
        <v>13</v>
      </c>
      <c r="S3" s="10"/>
      <c r="T3" s="11"/>
      <c r="U3" s="11"/>
      <c r="V3" s="40">
        <v>0</v>
      </c>
      <c r="W3" s="41" t="s">
        <v>14</v>
      </c>
      <c r="X3" s="42" t="s">
        <v>15</v>
      </c>
      <c r="Y3" s="42" t="s">
        <v>16</v>
      </c>
      <c r="Z3" s="43" t="s">
        <v>17</v>
      </c>
      <c r="AA3" s="41" t="s">
        <v>18</v>
      </c>
      <c r="AB3" s="41" t="s">
        <v>14</v>
      </c>
      <c r="AC3" s="42" t="s">
        <v>15</v>
      </c>
      <c r="AD3" s="42" t="s">
        <v>16</v>
      </c>
      <c r="AE3" s="43" t="s">
        <v>17</v>
      </c>
      <c r="AF3" s="41" t="s">
        <v>18</v>
      </c>
      <c r="AG3" s="41" t="s">
        <v>14</v>
      </c>
      <c r="AH3" s="42" t="s">
        <v>15</v>
      </c>
      <c r="AI3" s="42" t="s">
        <v>16</v>
      </c>
      <c r="AJ3" s="43" t="s">
        <v>17</v>
      </c>
      <c r="AK3" s="41" t="s">
        <v>18</v>
      </c>
      <c r="AL3" s="41" t="s">
        <v>14</v>
      </c>
      <c r="AM3" s="42" t="s">
        <v>15</v>
      </c>
      <c r="AN3" s="42" t="s">
        <v>16</v>
      </c>
      <c r="AO3" s="43" t="s">
        <v>17</v>
      </c>
      <c r="AP3" s="41" t="s">
        <v>18</v>
      </c>
      <c r="AQ3" s="41" t="s">
        <v>14</v>
      </c>
      <c r="AR3" s="42" t="s">
        <v>15</v>
      </c>
      <c r="AS3" s="42" t="s">
        <v>16</v>
      </c>
      <c r="AT3" s="42" t="s">
        <v>17</v>
      </c>
      <c r="AU3" s="42" t="s">
        <v>18</v>
      </c>
      <c r="AV3" s="42" t="s">
        <v>14</v>
      </c>
      <c r="AW3" s="42" t="s">
        <v>15</v>
      </c>
      <c r="AX3" s="42" t="s">
        <v>16</v>
      </c>
      <c r="AY3" s="43" t="s">
        <v>17</v>
      </c>
      <c r="AZ3" s="13"/>
      <c r="BA3" s="44"/>
      <c r="BB3" s="15" t="s">
        <v>19</v>
      </c>
      <c r="BC3" s="15" t="s">
        <v>20</v>
      </c>
      <c r="BD3" s="15" t="s">
        <v>8</v>
      </c>
      <c r="BE3" s="15" t="s">
        <v>21</v>
      </c>
      <c r="BI3" s="18" t="s">
        <v>18</v>
      </c>
      <c r="BJ3" s="18" t="s">
        <v>108</v>
      </c>
      <c r="BK3" s="18" t="s">
        <v>98</v>
      </c>
      <c r="BL3" s="337"/>
      <c r="BM3" s="45" t="s">
        <v>75</v>
      </c>
      <c r="BN3" s="45" t="s">
        <v>145</v>
      </c>
      <c r="BO3" s="46"/>
      <c r="BP3" s="47"/>
      <c r="BQ3" s="21">
        <v>3</v>
      </c>
      <c r="BR3" s="48">
        <f>0.167*4+4</f>
        <v>4.6680000000000001</v>
      </c>
      <c r="BS3" s="48"/>
      <c r="BU3" s="1">
        <v>3</v>
      </c>
    </row>
    <row r="4" spans="1:214" s="69" customFormat="1" ht="15.75" customHeight="1" thickBot="1" x14ac:dyDescent="0.3">
      <c r="A4" s="1"/>
      <c r="B4" s="374">
        <v>164</v>
      </c>
      <c r="C4" s="34">
        <f t="shared" ref="C4:C15" si="0">+C3+1</f>
        <v>1</v>
      </c>
      <c r="D4" s="375"/>
      <c r="E4" s="233">
        <v>1</v>
      </c>
      <c r="F4" s="233"/>
      <c r="G4" s="233">
        <v>1</v>
      </c>
      <c r="H4" s="233"/>
      <c r="I4" s="233">
        <v>1</v>
      </c>
      <c r="J4" s="233"/>
      <c r="K4" s="233">
        <v>1</v>
      </c>
      <c r="L4" s="233"/>
      <c r="M4" s="233">
        <v>1</v>
      </c>
      <c r="N4" s="233"/>
      <c r="O4" s="233">
        <v>1</v>
      </c>
      <c r="P4" s="258"/>
      <c r="Q4" s="49">
        <f>IF((E4+G4+I4+K4+M4+O4)=6,1,0)</f>
        <v>1</v>
      </c>
      <c r="R4" s="50">
        <f>IF(Q4=1,1550,850)</f>
        <v>1550</v>
      </c>
      <c r="S4" s="51">
        <f t="shared" ref="S4:S15" si="1">+BH4</f>
        <v>0</v>
      </c>
      <c r="T4" s="11">
        <f>+BA4</f>
        <v>929</v>
      </c>
      <c r="U4" s="52">
        <f t="shared" ref="U4:U15" si="2">+BP4</f>
        <v>0</v>
      </c>
      <c r="V4" s="52" t="str">
        <f t="shared" ref="V4:V15" si="3">+BG4</f>
        <v>BONO+ B ASIS</v>
      </c>
      <c r="W4" s="53">
        <f>(R4-86.16)/6*E4</f>
        <v>243.97333333333333</v>
      </c>
      <c r="X4" s="53">
        <f>$Y$2*E4*Q4</f>
        <v>7.18</v>
      </c>
      <c r="Y4" s="53">
        <f>$Y$2*E4*Q4</f>
        <v>7.18</v>
      </c>
      <c r="Z4" s="54">
        <f>Y4+X4+W4</f>
        <v>258.33333333333331</v>
      </c>
      <c r="AA4" s="55"/>
      <c r="AB4" s="53">
        <f>(R4-86.16)/6*G4</f>
        <v>243.97333333333333</v>
      </c>
      <c r="AC4" s="53">
        <f>$Y$2*G4*Q4</f>
        <v>7.18</v>
      </c>
      <c r="AD4" s="53">
        <f>$Y$2*G4*Q4</f>
        <v>7.18</v>
      </c>
      <c r="AE4" s="54">
        <f>AD4+AC4+AB4</f>
        <v>258.33333333333331</v>
      </c>
      <c r="AF4" s="56"/>
      <c r="AG4" s="53">
        <f>(R4-86.16)/6*I4</f>
        <v>243.97333333333333</v>
      </c>
      <c r="AH4" s="53">
        <f>$Y$2*I4*Q4</f>
        <v>7.18</v>
      </c>
      <c r="AI4" s="53">
        <f>$Y$2*I4*Q4</f>
        <v>7.18</v>
      </c>
      <c r="AJ4" s="54">
        <f>AI4+AH4+AG4</f>
        <v>258.33333333333331</v>
      </c>
      <c r="AK4" s="57"/>
      <c r="AL4" s="53">
        <f>(R4-86.16)/6*K4</f>
        <v>243.97333333333333</v>
      </c>
      <c r="AM4" s="53">
        <f>$Y$2*K4*Q4</f>
        <v>7.18</v>
      </c>
      <c r="AN4" s="53">
        <f>$Y$2*K4*Q4</f>
        <v>7.18</v>
      </c>
      <c r="AO4" s="54">
        <f>AN4+AM4+AL4</f>
        <v>258.33333333333331</v>
      </c>
      <c r="AP4" s="56"/>
      <c r="AQ4" s="53">
        <f>(R4-86.16)/6*M4</f>
        <v>243.97333333333333</v>
      </c>
      <c r="AR4" s="53">
        <f>$Y$2*M4*Q4</f>
        <v>7.18</v>
      </c>
      <c r="AS4" s="53">
        <f>$Y$2*M4*Q4</f>
        <v>7.18</v>
      </c>
      <c r="AT4" s="54">
        <f>AS4+AR4+AQ4</f>
        <v>258.33333333333331</v>
      </c>
      <c r="AU4" s="56"/>
      <c r="AV4" s="53">
        <f>(R4-86.16)/6*O4</f>
        <v>243.97333333333333</v>
      </c>
      <c r="AW4" s="53">
        <f>$Y$2*O4*Q4</f>
        <v>7.18</v>
      </c>
      <c r="AX4" s="53">
        <f t="shared" ref="AX4:AX9" si="4">$Y$2*O4*Q4</f>
        <v>7.18</v>
      </c>
      <c r="AY4" s="54">
        <f>AX4+AW4+AV4</f>
        <v>258.33333333333331</v>
      </c>
      <c r="AZ4" s="58">
        <f t="shared" ref="AZ4:AZ7" si="5">+AY4+AT4+AO4++AJ4+AE4+Z4</f>
        <v>1549.9999999999998</v>
      </c>
      <c r="BA4" s="59">
        <v>929</v>
      </c>
      <c r="BB4" s="60"/>
      <c r="BC4" s="60"/>
      <c r="BD4" s="60"/>
      <c r="BE4" s="60"/>
      <c r="BF4" s="60"/>
      <c r="BG4" s="61" t="s">
        <v>173</v>
      </c>
      <c r="BH4" s="62"/>
      <c r="BI4" s="63"/>
      <c r="BJ4" s="63"/>
      <c r="BK4" s="64"/>
      <c r="BL4" s="64"/>
      <c r="BM4" s="65"/>
      <c r="BN4" s="65"/>
      <c r="BO4" s="66"/>
      <c r="BP4" s="67"/>
      <c r="BQ4" s="21"/>
      <c r="BR4" s="48"/>
      <c r="BS4" s="48"/>
      <c r="BT4" s="68"/>
      <c r="BU4" s="1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</row>
    <row r="5" spans="1:214" s="69" customFormat="1" ht="15.75" customHeight="1" thickBot="1" x14ac:dyDescent="0.3">
      <c r="A5" s="1">
        <v>420</v>
      </c>
      <c r="B5" s="374">
        <v>2</v>
      </c>
      <c r="C5" s="34">
        <f t="shared" si="0"/>
        <v>2</v>
      </c>
      <c r="D5" s="375" t="s">
        <v>23</v>
      </c>
      <c r="E5" s="233">
        <v>1</v>
      </c>
      <c r="F5" s="233"/>
      <c r="G5" s="233">
        <v>1</v>
      </c>
      <c r="H5" s="233"/>
      <c r="I5" s="233">
        <v>1</v>
      </c>
      <c r="J5" s="233"/>
      <c r="K5" s="233">
        <v>1</v>
      </c>
      <c r="L5" s="233"/>
      <c r="M5" s="233">
        <v>1</v>
      </c>
      <c r="N5" s="233"/>
      <c r="O5" s="233">
        <v>1</v>
      </c>
      <c r="P5" s="258"/>
      <c r="Q5" s="49">
        <f t="shared" ref="Q5:Q15" si="6">IF((E5+G5+I5+K5+M5+O5)=6,1,0)</f>
        <v>1</v>
      </c>
      <c r="R5" s="50">
        <f>IF(Q5=1,1550,850)</f>
        <v>1550</v>
      </c>
      <c r="S5" s="51">
        <f t="shared" si="1"/>
        <v>0</v>
      </c>
      <c r="T5" s="11">
        <f t="shared" ref="T5:T15" si="7">+BA5</f>
        <v>2100</v>
      </c>
      <c r="U5" s="52">
        <f t="shared" si="2"/>
        <v>0</v>
      </c>
      <c r="V5" s="52" t="str">
        <f t="shared" si="3"/>
        <v>BONO+ B ASIS</v>
      </c>
      <c r="W5" s="53">
        <f t="shared" ref="W5:W15" si="8">(R5-86.16)/6*E5</f>
        <v>243.97333333333333</v>
      </c>
      <c r="X5" s="53">
        <f t="shared" ref="X5:X15" si="9">$Y$2*E5*Q5</f>
        <v>7.18</v>
      </c>
      <c r="Y5" s="53">
        <f t="shared" ref="Y5:Y15" si="10">$Y$2*E5*Q5</f>
        <v>7.18</v>
      </c>
      <c r="Z5" s="54">
        <f t="shared" ref="Z5:Z15" si="11">Y5+X5+W5</f>
        <v>258.33333333333331</v>
      </c>
      <c r="AA5" s="55"/>
      <c r="AB5" s="53">
        <f t="shared" ref="AB5:AB15" si="12">(R5-86.16)/6*G5</f>
        <v>243.97333333333333</v>
      </c>
      <c r="AC5" s="53">
        <f t="shared" ref="AC5:AC15" si="13">$Y$2*G5*Q5</f>
        <v>7.18</v>
      </c>
      <c r="AD5" s="53">
        <f t="shared" ref="AD5:AD15" si="14">$Y$2*G5*Q5</f>
        <v>7.18</v>
      </c>
      <c r="AE5" s="54">
        <f t="shared" ref="AE5:AE14" si="15">AD5+AC5+AB5</f>
        <v>258.33333333333331</v>
      </c>
      <c r="AF5" s="56"/>
      <c r="AG5" s="53">
        <f t="shared" ref="AG5:AG15" si="16">(R5-86.16)/6*I5</f>
        <v>243.97333333333333</v>
      </c>
      <c r="AH5" s="53">
        <f t="shared" ref="AH5:AH15" si="17">$Y$2*I5*Q5</f>
        <v>7.18</v>
      </c>
      <c r="AI5" s="53">
        <f t="shared" ref="AI5:AI15" si="18">$Y$2*I5*Q5</f>
        <v>7.18</v>
      </c>
      <c r="AJ5" s="54">
        <f t="shared" ref="AJ5:AJ15" si="19">AI5+AH5+AG5</f>
        <v>258.33333333333331</v>
      </c>
      <c r="AK5" s="57"/>
      <c r="AL5" s="53">
        <f t="shared" ref="AL5:AL15" si="20">(R5-86.16)/6*K5</f>
        <v>243.97333333333333</v>
      </c>
      <c r="AM5" s="53">
        <f t="shared" ref="AM5:AM15" si="21">$Y$2*K5*Q5</f>
        <v>7.18</v>
      </c>
      <c r="AN5" s="53">
        <f t="shared" ref="AN5:AN15" si="22">$Y$2*K5*Q5</f>
        <v>7.18</v>
      </c>
      <c r="AO5" s="54">
        <f t="shared" ref="AO5:AO15" si="23">AN5+AM5+AL5</f>
        <v>258.33333333333331</v>
      </c>
      <c r="AP5" s="56"/>
      <c r="AQ5" s="53">
        <f t="shared" ref="AQ5:AQ15" si="24">(R5-86.16)/6*M5</f>
        <v>243.97333333333333</v>
      </c>
      <c r="AR5" s="53">
        <f t="shared" ref="AR5:AR15" si="25">$Y$2*M5*Q5</f>
        <v>7.18</v>
      </c>
      <c r="AS5" s="53">
        <f t="shared" ref="AS5:AS15" si="26">$Y$2*M5*Q5</f>
        <v>7.18</v>
      </c>
      <c r="AT5" s="54">
        <f t="shared" ref="AT5:AT15" si="27">AS5+AR5+AQ5</f>
        <v>258.33333333333331</v>
      </c>
      <c r="AU5" s="56"/>
      <c r="AV5" s="53">
        <f t="shared" ref="AV5:AV15" si="28">(R5-86.16)/6*O5</f>
        <v>243.97333333333333</v>
      </c>
      <c r="AW5" s="53">
        <f>$Y$2*O5*Q5</f>
        <v>7.18</v>
      </c>
      <c r="AX5" s="53">
        <f t="shared" si="4"/>
        <v>7.18</v>
      </c>
      <c r="AY5" s="54">
        <f t="shared" ref="AY5:AY15" si="29">AX5+AW5+AV5</f>
        <v>258.33333333333331</v>
      </c>
      <c r="AZ5" s="58">
        <f t="shared" si="5"/>
        <v>1549.9999999999998</v>
      </c>
      <c r="BA5" s="59">
        <f t="shared" ref="BA5:BA15" si="30">((AZ5-BB5-BC5-BD5-BE5-BF5)+BI5+BJ5+BK5+BL5+BM5+BN5+BO5)</f>
        <v>2100</v>
      </c>
      <c r="BB5" s="60"/>
      <c r="BC5" s="60"/>
      <c r="BD5" s="60"/>
      <c r="BE5" s="60"/>
      <c r="BF5" s="60"/>
      <c r="BG5" s="61" t="s">
        <v>173</v>
      </c>
      <c r="BH5" s="62"/>
      <c r="BI5" s="63">
        <v>300</v>
      </c>
      <c r="BJ5" s="63">
        <v>250</v>
      </c>
      <c r="BK5" s="64"/>
      <c r="BL5" s="64"/>
      <c r="BM5" s="65"/>
      <c r="BN5" s="65"/>
      <c r="BO5" s="66"/>
      <c r="BP5" s="67"/>
      <c r="BQ5" s="21"/>
      <c r="BR5" s="48"/>
      <c r="BS5" s="48"/>
      <c r="BT5" s="68"/>
      <c r="BU5" s="1">
        <v>420</v>
      </c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</row>
    <row r="6" spans="1:214" s="69" customFormat="1" ht="15.75" customHeight="1" thickBot="1" x14ac:dyDescent="0.3">
      <c r="A6" s="1">
        <v>424</v>
      </c>
      <c r="B6" s="134">
        <v>6</v>
      </c>
      <c r="C6" s="34">
        <f t="shared" si="0"/>
        <v>3</v>
      </c>
      <c r="D6" s="130" t="s">
        <v>24</v>
      </c>
      <c r="E6" s="233">
        <v>1</v>
      </c>
      <c r="F6" s="233"/>
      <c r="G6" s="233">
        <v>1</v>
      </c>
      <c r="H6" s="233"/>
      <c r="I6" s="233">
        <v>1</v>
      </c>
      <c r="J6" s="233"/>
      <c r="K6" s="233">
        <v>1</v>
      </c>
      <c r="L6" s="233"/>
      <c r="M6" s="233">
        <v>1</v>
      </c>
      <c r="N6" s="233"/>
      <c r="O6" s="233">
        <v>1</v>
      </c>
      <c r="P6" s="258"/>
      <c r="Q6" s="49">
        <f t="shared" si="6"/>
        <v>1</v>
      </c>
      <c r="R6" s="50">
        <v>3000</v>
      </c>
      <c r="S6" s="51">
        <f t="shared" si="1"/>
        <v>0</v>
      </c>
      <c r="T6" s="11">
        <f t="shared" si="7"/>
        <v>3000.0000000000005</v>
      </c>
      <c r="U6" s="52">
        <f t="shared" si="2"/>
        <v>0</v>
      </c>
      <c r="V6" s="52">
        <f t="shared" si="3"/>
        <v>0</v>
      </c>
      <c r="W6" s="53">
        <f t="shared" si="8"/>
        <v>485.64000000000004</v>
      </c>
      <c r="X6" s="53">
        <f t="shared" si="9"/>
        <v>7.18</v>
      </c>
      <c r="Y6" s="53">
        <f t="shared" si="10"/>
        <v>7.18</v>
      </c>
      <c r="Z6" s="54">
        <f t="shared" si="11"/>
        <v>500.00000000000006</v>
      </c>
      <c r="AA6" s="55"/>
      <c r="AB6" s="53">
        <f t="shared" si="12"/>
        <v>485.64000000000004</v>
      </c>
      <c r="AC6" s="53">
        <f t="shared" si="13"/>
        <v>7.18</v>
      </c>
      <c r="AD6" s="53">
        <f t="shared" si="14"/>
        <v>7.18</v>
      </c>
      <c r="AE6" s="54">
        <f t="shared" si="15"/>
        <v>500.00000000000006</v>
      </c>
      <c r="AF6" s="56"/>
      <c r="AG6" s="53">
        <f t="shared" si="16"/>
        <v>485.64000000000004</v>
      </c>
      <c r="AH6" s="53">
        <f t="shared" si="17"/>
        <v>7.18</v>
      </c>
      <c r="AI6" s="53">
        <f t="shared" si="18"/>
        <v>7.18</v>
      </c>
      <c r="AJ6" s="54">
        <f t="shared" si="19"/>
        <v>500.00000000000006</v>
      </c>
      <c r="AK6" s="57"/>
      <c r="AL6" s="53">
        <f t="shared" si="20"/>
        <v>485.64000000000004</v>
      </c>
      <c r="AM6" s="53">
        <f t="shared" si="21"/>
        <v>7.18</v>
      </c>
      <c r="AN6" s="53">
        <f t="shared" si="22"/>
        <v>7.18</v>
      </c>
      <c r="AO6" s="54">
        <f t="shared" si="23"/>
        <v>500.00000000000006</v>
      </c>
      <c r="AP6" s="56"/>
      <c r="AQ6" s="53">
        <f t="shared" si="24"/>
        <v>485.64000000000004</v>
      </c>
      <c r="AR6" s="53">
        <f t="shared" si="25"/>
        <v>7.18</v>
      </c>
      <c r="AS6" s="53">
        <f t="shared" si="26"/>
        <v>7.18</v>
      </c>
      <c r="AT6" s="54">
        <f t="shared" si="27"/>
        <v>500.00000000000006</v>
      </c>
      <c r="AU6" s="56"/>
      <c r="AV6" s="53">
        <f t="shared" si="28"/>
        <v>485.64000000000004</v>
      </c>
      <c r="AW6" s="53">
        <f t="shared" ref="AW6:AW15" si="31">$Y$2*O6*Q6</f>
        <v>7.18</v>
      </c>
      <c r="AX6" s="53">
        <f t="shared" si="4"/>
        <v>7.18</v>
      </c>
      <c r="AY6" s="54">
        <f t="shared" si="29"/>
        <v>500.00000000000006</v>
      </c>
      <c r="AZ6" s="58">
        <f t="shared" si="5"/>
        <v>3000.0000000000005</v>
      </c>
      <c r="BA6" s="59">
        <f t="shared" si="30"/>
        <v>3000.0000000000005</v>
      </c>
      <c r="BB6" s="60"/>
      <c r="BC6" s="60"/>
      <c r="BD6" s="60"/>
      <c r="BE6" s="60"/>
      <c r="BF6" s="60"/>
      <c r="BG6" s="61"/>
      <c r="BH6" s="62"/>
      <c r="BI6" s="63"/>
      <c r="BJ6" s="63"/>
      <c r="BK6" s="64"/>
      <c r="BL6" s="64"/>
      <c r="BM6" s="65"/>
      <c r="BN6" s="65"/>
      <c r="BO6" s="66"/>
      <c r="BP6" s="67"/>
      <c r="BQ6" s="21"/>
      <c r="BR6" s="48"/>
      <c r="BS6" s="48"/>
      <c r="BT6" s="68"/>
      <c r="BU6" s="1">
        <v>424</v>
      </c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</row>
    <row r="7" spans="1:214" s="69" customFormat="1" ht="15.75" customHeight="1" thickBot="1" x14ac:dyDescent="0.3">
      <c r="A7" s="1"/>
      <c r="B7" s="374">
        <v>149</v>
      </c>
      <c r="C7" s="34">
        <f t="shared" si="0"/>
        <v>4</v>
      </c>
      <c r="D7" s="375" t="s">
        <v>127</v>
      </c>
      <c r="E7" s="233">
        <v>1</v>
      </c>
      <c r="F7" s="233"/>
      <c r="G7" s="233">
        <v>1</v>
      </c>
      <c r="H7" s="233"/>
      <c r="I7" s="233">
        <v>1</v>
      </c>
      <c r="J7" s="233"/>
      <c r="K7" s="233">
        <v>1</v>
      </c>
      <c r="L7" s="233"/>
      <c r="M7" s="233">
        <v>1</v>
      </c>
      <c r="N7" s="233"/>
      <c r="O7" s="233">
        <v>1</v>
      </c>
      <c r="P7" s="258"/>
      <c r="Q7" s="49">
        <f t="shared" si="6"/>
        <v>1</v>
      </c>
      <c r="R7" s="50">
        <f>IF(Q7=1,1550,850)</f>
        <v>1550</v>
      </c>
      <c r="S7" s="51">
        <f t="shared" si="1"/>
        <v>0</v>
      </c>
      <c r="T7" s="11">
        <f t="shared" si="7"/>
        <v>1799.9999999999998</v>
      </c>
      <c r="U7" s="52">
        <f t="shared" si="2"/>
        <v>0</v>
      </c>
      <c r="V7" s="52" t="str">
        <f t="shared" si="3"/>
        <v>BONO+ B ASIS</v>
      </c>
      <c r="W7" s="53">
        <f t="shared" si="8"/>
        <v>243.97333333333333</v>
      </c>
      <c r="X7" s="53">
        <f t="shared" si="9"/>
        <v>7.18</v>
      </c>
      <c r="Y7" s="53">
        <f t="shared" si="10"/>
        <v>7.18</v>
      </c>
      <c r="Z7" s="54">
        <f t="shared" si="11"/>
        <v>258.33333333333331</v>
      </c>
      <c r="AA7" s="55"/>
      <c r="AB7" s="53">
        <f t="shared" si="12"/>
        <v>243.97333333333333</v>
      </c>
      <c r="AC7" s="53">
        <f t="shared" si="13"/>
        <v>7.18</v>
      </c>
      <c r="AD7" s="53">
        <f t="shared" si="14"/>
        <v>7.18</v>
      </c>
      <c r="AE7" s="54">
        <f t="shared" si="15"/>
        <v>258.33333333333331</v>
      </c>
      <c r="AF7" s="56"/>
      <c r="AG7" s="53">
        <f t="shared" si="16"/>
        <v>243.97333333333333</v>
      </c>
      <c r="AH7" s="53">
        <f t="shared" si="17"/>
        <v>7.18</v>
      </c>
      <c r="AI7" s="53">
        <f t="shared" si="18"/>
        <v>7.18</v>
      </c>
      <c r="AJ7" s="54">
        <f t="shared" si="19"/>
        <v>258.33333333333331</v>
      </c>
      <c r="AK7" s="57"/>
      <c r="AL7" s="53">
        <f t="shared" si="20"/>
        <v>243.97333333333333</v>
      </c>
      <c r="AM7" s="53">
        <f t="shared" si="21"/>
        <v>7.18</v>
      </c>
      <c r="AN7" s="53">
        <f t="shared" si="22"/>
        <v>7.18</v>
      </c>
      <c r="AO7" s="54">
        <f t="shared" si="23"/>
        <v>258.33333333333331</v>
      </c>
      <c r="AP7" s="56"/>
      <c r="AQ7" s="53">
        <f t="shared" si="24"/>
        <v>243.97333333333333</v>
      </c>
      <c r="AR7" s="53">
        <f t="shared" si="25"/>
        <v>7.18</v>
      </c>
      <c r="AS7" s="53">
        <f t="shared" si="26"/>
        <v>7.18</v>
      </c>
      <c r="AT7" s="54">
        <f t="shared" si="27"/>
        <v>258.33333333333331</v>
      </c>
      <c r="AU7" s="56"/>
      <c r="AV7" s="53">
        <f t="shared" si="28"/>
        <v>243.97333333333333</v>
      </c>
      <c r="AW7" s="53">
        <f t="shared" si="31"/>
        <v>7.18</v>
      </c>
      <c r="AX7" s="53">
        <f t="shared" si="4"/>
        <v>7.18</v>
      </c>
      <c r="AY7" s="54">
        <f t="shared" si="29"/>
        <v>258.33333333333331</v>
      </c>
      <c r="AZ7" s="58">
        <f t="shared" si="5"/>
        <v>1549.9999999999998</v>
      </c>
      <c r="BA7" s="59">
        <f t="shared" si="30"/>
        <v>1799.9999999999998</v>
      </c>
      <c r="BB7" s="60"/>
      <c r="BC7" s="60"/>
      <c r="BD7" s="60"/>
      <c r="BE7" s="60"/>
      <c r="BF7" s="60"/>
      <c r="BG7" s="61" t="s">
        <v>173</v>
      </c>
      <c r="BH7" s="62"/>
      <c r="BI7" s="63">
        <v>100</v>
      </c>
      <c r="BJ7" s="63">
        <v>150</v>
      </c>
      <c r="BK7" s="64"/>
      <c r="BL7" s="64"/>
      <c r="BM7" s="65"/>
      <c r="BN7" s="65"/>
      <c r="BO7" s="66"/>
      <c r="BP7" s="67"/>
      <c r="BQ7" s="21"/>
      <c r="BR7" s="48"/>
      <c r="BS7" s="48"/>
      <c r="BT7" s="68"/>
      <c r="BU7" s="1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</row>
    <row r="8" spans="1:214" s="69" customFormat="1" ht="15.75" customHeight="1" thickBot="1" x14ac:dyDescent="0.3">
      <c r="A8" s="1"/>
      <c r="B8" s="374">
        <v>95</v>
      </c>
      <c r="C8" s="34">
        <f t="shared" si="0"/>
        <v>5</v>
      </c>
      <c r="D8" s="375" t="s">
        <v>95</v>
      </c>
      <c r="E8" s="233">
        <v>1</v>
      </c>
      <c r="F8" s="233"/>
      <c r="G8" s="233">
        <v>1</v>
      </c>
      <c r="H8" s="233"/>
      <c r="I8" s="233">
        <v>1</v>
      </c>
      <c r="J8" s="233"/>
      <c r="K8" s="233">
        <v>1</v>
      </c>
      <c r="L8" s="233"/>
      <c r="M8" s="233">
        <v>1</v>
      </c>
      <c r="N8" s="233"/>
      <c r="O8" s="233">
        <v>1</v>
      </c>
      <c r="P8" s="258"/>
      <c r="Q8" s="49">
        <f t="shared" si="6"/>
        <v>1</v>
      </c>
      <c r="R8" s="50">
        <f t="shared" ref="R8:R14" si="32">IF(Q8=1,1550,850)</f>
        <v>1550</v>
      </c>
      <c r="S8" s="51">
        <f t="shared" si="1"/>
        <v>0</v>
      </c>
      <c r="T8" s="11">
        <f t="shared" si="7"/>
        <v>1949.9999999999998</v>
      </c>
      <c r="U8" s="52">
        <f t="shared" si="2"/>
        <v>0</v>
      </c>
      <c r="V8" s="52" t="str">
        <f t="shared" si="3"/>
        <v>BONO+ B ASIS</v>
      </c>
      <c r="W8" s="53">
        <f t="shared" si="8"/>
        <v>243.97333333333333</v>
      </c>
      <c r="X8" s="53">
        <f t="shared" si="9"/>
        <v>7.18</v>
      </c>
      <c r="Y8" s="53">
        <f t="shared" si="10"/>
        <v>7.18</v>
      </c>
      <c r="Z8" s="54">
        <f t="shared" si="11"/>
        <v>258.33333333333331</v>
      </c>
      <c r="AA8" s="55"/>
      <c r="AB8" s="53">
        <f t="shared" si="12"/>
        <v>243.97333333333333</v>
      </c>
      <c r="AC8" s="53">
        <f t="shared" si="13"/>
        <v>7.18</v>
      </c>
      <c r="AD8" s="53">
        <f t="shared" si="14"/>
        <v>7.18</v>
      </c>
      <c r="AE8" s="54">
        <f t="shared" si="15"/>
        <v>258.33333333333331</v>
      </c>
      <c r="AF8" s="56"/>
      <c r="AG8" s="53">
        <f t="shared" si="16"/>
        <v>243.97333333333333</v>
      </c>
      <c r="AH8" s="53">
        <f t="shared" si="17"/>
        <v>7.18</v>
      </c>
      <c r="AI8" s="53">
        <f t="shared" si="18"/>
        <v>7.18</v>
      </c>
      <c r="AJ8" s="54">
        <f t="shared" si="19"/>
        <v>258.33333333333331</v>
      </c>
      <c r="AK8" s="57"/>
      <c r="AL8" s="53">
        <f t="shared" si="20"/>
        <v>243.97333333333333</v>
      </c>
      <c r="AM8" s="53">
        <f t="shared" si="21"/>
        <v>7.18</v>
      </c>
      <c r="AN8" s="53">
        <f t="shared" si="22"/>
        <v>7.18</v>
      </c>
      <c r="AO8" s="54">
        <f t="shared" si="23"/>
        <v>258.33333333333331</v>
      </c>
      <c r="AP8" s="56"/>
      <c r="AQ8" s="53">
        <f t="shared" si="24"/>
        <v>243.97333333333333</v>
      </c>
      <c r="AR8" s="53">
        <f t="shared" si="25"/>
        <v>7.18</v>
      </c>
      <c r="AS8" s="53">
        <f t="shared" si="26"/>
        <v>7.18</v>
      </c>
      <c r="AT8" s="54">
        <f t="shared" si="27"/>
        <v>258.33333333333331</v>
      </c>
      <c r="AU8" s="56"/>
      <c r="AV8" s="53">
        <f t="shared" si="28"/>
        <v>243.97333333333333</v>
      </c>
      <c r="AW8" s="53">
        <f t="shared" si="31"/>
        <v>7.18</v>
      </c>
      <c r="AX8" s="53">
        <f t="shared" si="4"/>
        <v>7.18</v>
      </c>
      <c r="AY8" s="54">
        <f t="shared" si="29"/>
        <v>258.33333333333331</v>
      </c>
      <c r="AZ8" s="58">
        <f>+AY8+AT8+AO8++AJ8+AE8+Z8</f>
        <v>1549.9999999999998</v>
      </c>
      <c r="BA8" s="59">
        <f t="shared" si="30"/>
        <v>1949.9999999999998</v>
      </c>
      <c r="BB8" s="60"/>
      <c r="BC8" s="60"/>
      <c r="BD8" s="60"/>
      <c r="BE8" s="60"/>
      <c r="BF8" s="60"/>
      <c r="BG8" s="61" t="s">
        <v>173</v>
      </c>
      <c r="BH8" s="62"/>
      <c r="BI8" s="63">
        <v>250</v>
      </c>
      <c r="BJ8" s="63">
        <v>150</v>
      </c>
      <c r="BK8" s="64"/>
      <c r="BL8" s="63"/>
      <c r="BM8" s="65"/>
      <c r="BN8" s="65"/>
      <c r="BO8" s="66"/>
      <c r="BP8" s="67"/>
      <c r="BQ8" s="21"/>
      <c r="BR8" s="48"/>
      <c r="BS8" s="48"/>
      <c r="BT8" s="68"/>
      <c r="BU8" s="1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</row>
    <row r="9" spans="1:214" s="69" customFormat="1" ht="15.75" customHeight="1" thickBot="1" x14ac:dyDescent="0.35">
      <c r="A9" s="1"/>
      <c r="B9" s="374">
        <v>59</v>
      </c>
      <c r="C9" s="34">
        <f t="shared" si="0"/>
        <v>6</v>
      </c>
      <c r="D9" s="375" t="s">
        <v>80</v>
      </c>
      <c r="E9" s="233">
        <v>1</v>
      </c>
      <c r="F9" s="233"/>
      <c r="G9" s="233">
        <v>1</v>
      </c>
      <c r="H9" s="233"/>
      <c r="I9" s="233">
        <v>1</v>
      </c>
      <c r="J9" s="233"/>
      <c r="K9" s="233">
        <v>1</v>
      </c>
      <c r="L9" s="233"/>
      <c r="M9" s="233">
        <v>1</v>
      </c>
      <c r="N9" s="233"/>
      <c r="O9" s="233">
        <v>1</v>
      </c>
      <c r="P9" s="258"/>
      <c r="Q9" s="49">
        <f t="shared" si="6"/>
        <v>1</v>
      </c>
      <c r="R9" s="50">
        <f t="shared" si="32"/>
        <v>1550</v>
      </c>
      <c r="S9" s="51">
        <f t="shared" si="1"/>
        <v>0</v>
      </c>
      <c r="T9" s="11">
        <f t="shared" si="7"/>
        <v>1949.9999999999998</v>
      </c>
      <c r="U9" s="52">
        <f t="shared" si="2"/>
        <v>0</v>
      </c>
      <c r="V9" s="52" t="str">
        <f t="shared" si="3"/>
        <v>BONO+ B ASIS</v>
      </c>
      <c r="W9" s="53">
        <f t="shared" si="8"/>
        <v>243.97333333333333</v>
      </c>
      <c r="X9" s="53">
        <f t="shared" si="9"/>
        <v>7.18</v>
      </c>
      <c r="Y9" s="53">
        <f t="shared" si="10"/>
        <v>7.18</v>
      </c>
      <c r="Z9" s="54">
        <f t="shared" si="11"/>
        <v>258.33333333333331</v>
      </c>
      <c r="AA9" s="55"/>
      <c r="AB9" s="53">
        <f t="shared" si="12"/>
        <v>243.97333333333333</v>
      </c>
      <c r="AC9" s="53">
        <f t="shared" si="13"/>
        <v>7.18</v>
      </c>
      <c r="AD9" s="53">
        <f t="shared" si="14"/>
        <v>7.18</v>
      </c>
      <c r="AE9" s="54">
        <f t="shared" si="15"/>
        <v>258.33333333333331</v>
      </c>
      <c r="AF9" s="56"/>
      <c r="AG9" s="53">
        <f t="shared" si="16"/>
        <v>243.97333333333333</v>
      </c>
      <c r="AH9" s="53">
        <f t="shared" si="17"/>
        <v>7.18</v>
      </c>
      <c r="AI9" s="53">
        <f t="shared" si="18"/>
        <v>7.18</v>
      </c>
      <c r="AJ9" s="54">
        <f t="shared" si="19"/>
        <v>258.33333333333331</v>
      </c>
      <c r="AK9" s="57"/>
      <c r="AL9" s="53">
        <f t="shared" si="20"/>
        <v>243.97333333333333</v>
      </c>
      <c r="AM9" s="53">
        <f t="shared" si="21"/>
        <v>7.18</v>
      </c>
      <c r="AN9" s="53">
        <f t="shared" si="22"/>
        <v>7.18</v>
      </c>
      <c r="AO9" s="54">
        <f t="shared" si="23"/>
        <v>258.33333333333331</v>
      </c>
      <c r="AP9" s="56"/>
      <c r="AQ9" s="53">
        <f t="shared" si="24"/>
        <v>243.97333333333333</v>
      </c>
      <c r="AR9" s="53">
        <f t="shared" si="25"/>
        <v>7.18</v>
      </c>
      <c r="AS9" s="53">
        <f t="shared" si="26"/>
        <v>7.18</v>
      </c>
      <c r="AT9" s="54">
        <f t="shared" si="27"/>
        <v>258.33333333333331</v>
      </c>
      <c r="AU9" s="56"/>
      <c r="AV9" s="53">
        <f t="shared" si="28"/>
        <v>243.97333333333333</v>
      </c>
      <c r="AW9" s="53">
        <f t="shared" si="31"/>
        <v>7.18</v>
      </c>
      <c r="AX9" s="53">
        <f t="shared" si="4"/>
        <v>7.18</v>
      </c>
      <c r="AY9" s="54">
        <f t="shared" si="29"/>
        <v>258.33333333333331</v>
      </c>
      <c r="AZ9" s="58">
        <f>+AY9+AT9+AO9++AJ9+AE9+Z9</f>
        <v>1549.9999999999998</v>
      </c>
      <c r="BA9" s="59">
        <f t="shared" si="30"/>
        <v>1949.9999999999998</v>
      </c>
      <c r="BB9" s="60"/>
      <c r="BC9" s="60"/>
      <c r="BD9" s="60"/>
      <c r="BE9" s="60"/>
      <c r="BF9" s="60"/>
      <c r="BG9" s="61" t="s">
        <v>173</v>
      </c>
      <c r="BH9" s="62"/>
      <c r="BI9" s="63">
        <v>250</v>
      </c>
      <c r="BJ9" s="63">
        <v>150</v>
      </c>
      <c r="BK9" s="64"/>
      <c r="BL9" s="64"/>
      <c r="BM9" s="65"/>
      <c r="BN9" s="65"/>
      <c r="BO9" s="66"/>
      <c r="BP9" s="67"/>
      <c r="BQ9" s="21"/>
      <c r="BR9" s="48"/>
      <c r="BS9" s="48"/>
      <c r="BT9" s="68"/>
      <c r="BU9" s="1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</row>
    <row r="10" spans="1:214" s="69" customFormat="1" ht="15.75" customHeight="1" thickBot="1" x14ac:dyDescent="0.3">
      <c r="A10" s="1"/>
      <c r="B10" s="374">
        <v>73</v>
      </c>
      <c r="C10" s="34">
        <f t="shared" si="0"/>
        <v>7</v>
      </c>
      <c r="D10" s="375" t="s">
        <v>102</v>
      </c>
      <c r="E10" s="233">
        <v>1</v>
      </c>
      <c r="F10" s="233"/>
      <c r="G10" s="233">
        <v>1</v>
      </c>
      <c r="H10" s="233"/>
      <c r="I10" s="233">
        <v>1</v>
      </c>
      <c r="J10" s="233"/>
      <c r="K10" s="233">
        <v>1</v>
      </c>
      <c r="L10" s="233"/>
      <c r="M10" s="233">
        <v>1</v>
      </c>
      <c r="N10" s="233"/>
      <c r="O10" s="233">
        <v>1</v>
      </c>
      <c r="P10" s="258"/>
      <c r="Q10" s="49">
        <f t="shared" si="6"/>
        <v>1</v>
      </c>
      <c r="R10" s="50">
        <f t="shared" si="32"/>
        <v>1550</v>
      </c>
      <c r="S10" s="51">
        <f t="shared" si="1"/>
        <v>0</v>
      </c>
      <c r="T10" s="11">
        <f t="shared" si="7"/>
        <v>1949.9999999999998</v>
      </c>
      <c r="U10" s="52">
        <f t="shared" si="2"/>
        <v>0</v>
      </c>
      <c r="V10" s="52" t="str">
        <f t="shared" si="3"/>
        <v>BONO+ B ASIS</v>
      </c>
      <c r="W10" s="53">
        <f t="shared" si="8"/>
        <v>243.97333333333333</v>
      </c>
      <c r="X10" s="53">
        <f t="shared" si="9"/>
        <v>7.18</v>
      </c>
      <c r="Y10" s="53">
        <f t="shared" si="10"/>
        <v>7.18</v>
      </c>
      <c r="Z10" s="54">
        <f t="shared" si="11"/>
        <v>258.33333333333331</v>
      </c>
      <c r="AA10" s="55"/>
      <c r="AB10" s="53">
        <f t="shared" si="12"/>
        <v>243.97333333333333</v>
      </c>
      <c r="AC10" s="53">
        <f t="shared" si="13"/>
        <v>7.18</v>
      </c>
      <c r="AD10" s="53">
        <f t="shared" si="14"/>
        <v>7.18</v>
      </c>
      <c r="AE10" s="54">
        <f t="shared" si="15"/>
        <v>258.33333333333331</v>
      </c>
      <c r="AF10" s="56"/>
      <c r="AG10" s="53">
        <f t="shared" si="16"/>
        <v>243.97333333333333</v>
      </c>
      <c r="AH10" s="53">
        <f t="shared" si="17"/>
        <v>7.18</v>
      </c>
      <c r="AI10" s="53">
        <f t="shared" si="18"/>
        <v>7.18</v>
      </c>
      <c r="AJ10" s="54">
        <f t="shared" si="19"/>
        <v>258.33333333333331</v>
      </c>
      <c r="AK10" s="57"/>
      <c r="AL10" s="53">
        <f t="shared" si="20"/>
        <v>243.97333333333333</v>
      </c>
      <c r="AM10" s="53">
        <f t="shared" si="21"/>
        <v>7.18</v>
      </c>
      <c r="AN10" s="53">
        <f t="shared" si="22"/>
        <v>7.18</v>
      </c>
      <c r="AO10" s="54">
        <f t="shared" si="23"/>
        <v>258.33333333333331</v>
      </c>
      <c r="AP10" s="56"/>
      <c r="AQ10" s="53">
        <f t="shared" si="24"/>
        <v>243.97333333333333</v>
      </c>
      <c r="AR10" s="53">
        <f t="shared" si="25"/>
        <v>7.18</v>
      </c>
      <c r="AS10" s="53">
        <f t="shared" si="26"/>
        <v>7.18</v>
      </c>
      <c r="AT10" s="54">
        <f t="shared" si="27"/>
        <v>258.33333333333331</v>
      </c>
      <c r="AU10" s="56"/>
      <c r="AV10" s="53">
        <f t="shared" si="28"/>
        <v>243.97333333333333</v>
      </c>
      <c r="AW10" s="53">
        <f t="shared" si="31"/>
        <v>7.18</v>
      </c>
      <c r="AX10" s="53">
        <f t="shared" ref="AX10:AX12" si="33">$Y$2*O10*Q10</f>
        <v>7.18</v>
      </c>
      <c r="AY10" s="54">
        <f t="shared" si="29"/>
        <v>258.33333333333331</v>
      </c>
      <c r="AZ10" s="58">
        <f t="shared" ref="AZ10:AZ15" si="34">+AY10+AT10+AO10++AJ10+AE10+Z10</f>
        <v>1549.9999999999998</v>
      </c>
      <c r="BA10" s="59">
        <f t="shared" si="30"/>
        <v>1949.9999999999998</v>
      </c>
      <c r="BB10" s="60"/>
      <c r="BC10" s="60"/>
      <c r="BD10" s="60"/>
      <c r="BE10" s="60"/>
      <c r="BF10" s="60"/>
      <c r="BG10" s="61" t="s">
        <v>173</v>
      </c>
      <c r="BH10" s="62"/>
      <c r="BI10" s="63">
        <v>250</v>
      </c>
      <c r="BJ10" s="63">
        <v>150</v>
      </c>
      <c r="BK10" s="64"/>
      <c r="BL10" s="64"/>
      <c r="BM10" s="65"/>
      <c r="BN10" s="65"/>
      <c r="BO10" s="66"/>
      <c r="BP10" s="67"/>
      <c r="BQ10" s="21"/>
      <c r="BR10" s="48"/>
      <c r="BS10" s="48"/>
      <c r="BT10" s="68"/>
      <c r="BU10" s="1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</row>
    <row r="11" spans="1:214" ht="15.75" customHeight="1" thickBot="1" x14ac:dyDescent="0.3">
      <c r="A11" s="1">
        <v>424</v>
      </c>
      <c r="B11" s="275">
        <v>26</v>
      </c>
      <c r="C11" s="34">
        <f t="shared" si="0"/>
        <v>8</v>
      </c>
      <c r="D11" s="274" t="s">
        <v>25</v>
      </c>
      <c r="E11" s="233">
        <v>1</v>
      </c>
      <c r="F11" s="233"/>
      <c r="G11" s="233">
        <v>1</v>
      </c>
      <c r="H11" s="233"/>
      <c r="I11" s="233">
        <v>1</v>
      </c>
      <c r="J11" s="233"/>
      <c r="K11" s="233">
        <v>1</v>
      </c>
      <c r="L11" s="233"/>
      <c r="M11" s="233">
        <v>1</v>
      </c>
      <c r="N11" s="233"/>
      <c r="O11" s="233">
        <v>1</v>
      </c>
      <c r="P11" s="258"/>
      <c r="Q11" s="49">
        <f t="shared" si="6"/>
        <v>1</v>
      </c>
      <c r="R11" s="260">
        <v>2500</v>
      </c>
      <c r="S11" s="51">
        <f t="shared" si="1"/>
        <v>0</v>
      </c>
      <c r="T11" s="11">
        <f t="shared" si="7"/>
        <v>2500</v>
      </c>
      <c r="U11" s="52">
        <f t="shared" si="2"/>
        <v>0</v>
      </c>
      <c r="V11" s="52">
        <f t="shared" si="3"/>
        <v>0</v>
      </c>
      <c r="W11" s="53">
        <f t="shared" si="8"/>
        <v>402.30666666666667</v>
      </c>
      <c r="X11" s="53">
        <f t="shared" si="9"/>
        <v>7.18</v>
      </c>
      <c r="Y11" s="53">
        <f t="shared" si="10"/>
        <v>7.18</v>
      </c>
      <c r="Z11" s="54">
        <f t="shared" si="11"/>
        <v>416.66666666666669</v>
      </c>
      <c r="AA11" s="55"/>
      <c r="AB11" s="53">
        <f t="shared" si="12"/>
        <v>402.30666666666667</v>
      </c>
      <c r="AC11" s="53">
        <f t="shared" si="13"/>
        <v>7.18</v>
      </c>
      <c r="AD11" s="53">
        <f t="shared" si="14"/>
        <v>7.18</v>
      </c>
      <c r="AE11" s="54">
        <f t="shared" si="15"/>
        <v>416.66666666666669</v>
      </c>
      <c r="AF11" s="56"/>
      <c r="AG11" s="53">
        <f t="shared" si="16"/>
        <v>402.30666666666667</v>
      </c>
      <c r="AH11" s="53">
        <f t="shared" si="17"/>
        <v>7.18</v>
      </c>
      <c r="AI11" s="53">
        <f t="shared" si="18"/>
        <v>7.18</v>
      </c>
      <c r="AJ11" s="54">
        <f t="shared" si="19"/>
        <v>416.66666666666669</v>
      </c>
      <c r="AK11" s="57"/>
      <c r="AL11" s="53">
        <f t="shared" si="20"/>
        <v>402.30666666666667</v>
      </c>
      <c r="AM11" s="53">
        <f t="shared" si="21"/>
        <v>7.18</v>
      </c>
      <c r="AN11" s="53">
        <f t="shared" si="22"/>
        <v>7.18</v>
      </c>
      <c r="AO11" s="54">
        <f t="shared" si="23"/>
        <v>416.66666666666669</v>
      </c>
      <c r="AP11" s="56"/>
      <c r="AQ11" s="53">
        <f t="shared" si="24"/>
        <v>402.30666666666667</v>
      </c>
      <c r="AR11" s="53">
        <f t="shared" si="25"/>
        <v>7.18</v>
      </c>
      <c r="AS11" s="53">
        <f t="shared" si="26"/>
        <v>7.18</v>
      </c>
      <c r="AT11" s="54">
        <f t="shared" si="27"/>
        <v>416.66666666666669</v>
      </c>
      <c r="AU11" s="56"/>
      <c r="AV11" s="53">
        <f t="shared" si="28"/>
        <v>402.30666666666667</v>
      </c>
      <c r="AW11" s="53">
        <f t="shared" si="31"/>
        <v>7.18</v>
      </c>
      <c r="AX11" s="53">
        <f t="shared" si="33"/>
        <v>7.18</v>
      </c>
      <c r="AY11" s="54">
        <f t="shared" si="29"/>
        <v>416.66666666666669</v>
      </c>
      <c r="AZ11" s="58">
        <f t="shared" si="34"/>
        <v>2500</v>
      </c>
      <c r="BA11" s="59">
        <f t="shared" si="30"/>
        <v>2500</v>
      </c>
      <c r="BB11" s="60"/>
      <c r="BC11" s="60"/>
      <c r="BD11" s="60"/>
      <c r="BE11" s="60"/>
      <c r="BF11" s="60"/>
      <c r="BG11" s="61"/>
      <c r="BH11" s="62"/>
      <c r="BI11" s="63"/>
      <c r="BJ11" s="63"/>
      <c r="BK11" s="64"/>
      <c r="BL11" s="64"/>
      <c r="BM11" s="65"/>
      <c r="BN11" s="65"/>
      <c r="BO11" s="66"/>
      <c r="BP11" s="67"/>
      <c r="BQ11" s="21"/>
      <c r="BR11" s="48"/>
      <c r="BS11" s="48"/>
      <c r="BT11" s="68"/>
      <c r="BU11" s="1">
        <v>424</v>
      </c>
      <c r="GG11" s="69"/>
      <c r="GH11" s="69"/>
      <c r="GI11" s="69"/>
      <c r="GJ11" s="69"/>
      <c r="GK11" s="69"/>
      <c r="GL11" s="69"/>
      <c r="GM11" s="69"/>
      <c r="GN11" s="69"/>
      <c r="GO11" s="69"/>
      <c r="GP11" s="69"/>
      <c r="GQ11" s="69"/>
      <c r="GR11" s="69"/>
      <c r="GS11" s="69"/>
      <c r="GT11" s="69"/>
      <c r="GU11" s="69"/>
      <c r="GV11" s="69"/>
      <c r="GW11" s="69"/>
      <c r="GX11" s="69"/>
      <c r="GY11" s="69"/>
      <c r="GZ11" s="69"/>
      <c r="HA11" s="69"/>
      <c r="HB11" s="69"/>
      <c r="HC11" s="69"/>
      <c r="HD11" s="69"/>
      <c r="HE11" s="69"/>
      <c r="HF11" s="69"/>
    </row>
    <row r="12" spans="1:214" ht="15.75" customHeight="1" thickBot="1" x14ac:dyDescent="0.3">
      <c r="A12" s="1"/>
      <c r="B12" s="374">
        <v>169</v>
      </c>
      <c r="C12" s="34">
        <f t="shared" si="0"/>
        <v>9</v>
      </c>
      <c r="D12" s="375" t="s">
        <v>147</v>
      </c>
      <c r="E12" s="233">
        <v>1</v>
      </c>
      <c r="F12" s="233"/>
      <c r="G12" s="233">
        <v>1</v>
      </c>
      <c r="H12" s="233"/>
      <c r="I12" s="233">
        <v>1</v>
      </c>
      <c r="J12" s="233"/>
      <c r="K12" s="233">
        <v>1</v>
      </c>
      <c r="L12" s="233"/>
      <c r="M12" s="233">
        <v>1</v>
      </c>
      <c r="N12" s="233"/>
      <c r="O12" s="233">
        <v>1</v>
      </c>
      <c r="P12" s="258"/>
      <c r="Q12" s="49">
        <f t="shared" si="6"/>
        <v>1</v>
      </c>
      <c r="R12" s="50">
        <f t="shared" si="32"/>
        <v>1550</v>
      </c>
      <c r="S12" s="51">
        <f t="shared" si="1"/>
        <v>0</v>
      </c>
      <c r="T12" s="11">
        <f t="shared" si="7"/>
        <v>1699.9999999999998</v>
      </c>
      <c r="U12" s="52">
        <f t="shared" si="2"/>
        <v>0</v>
      </c>
      <c r="V12" s="52" t="str">
        <f t="shared" si="3"/>
        <v>BONO</v>
      </c>
      <c r="W12" s="53">
        <f t="shared" si="8"/>
        <v>243.97333333333333</v>
      </c>
      <c r="X12" s="53">
        <f t="shared" si="9"/>
        <v>7.18</v>
      </c>
      <c r="Y12" s="53">
        <f t="shared" si="10"/>
        <v>7.18</v>
      </c>
      <c r="Z12" s="54">
        <f t="shared" si="11"/>
        <v>258.33333333333331</v>
      </c>
      <c r="AA12" s="55"/>
      <c r="AB12" s="53">
        <f t="shared" si="12"/>
        <v>243.97333333333333</v>
      </c>
      <c r="AC12" s="53">
        <f t="shared" si="13"/>
        <v>7.18</v>
      </c>
      <c r="AD12" s="53">
        <f t="shared" si="14"/>
        <v>7.18</v>
      </c>
      <c r="AE12" s="54">
        <f t="shared" si="15"/>
        <v>258.33333333333331</v>
      </c>
      <c r="AF12" s="56"/>
      <c r="AG12" s="53">
        <f t="shared" si="16"/>
        <v>243.97333333333333</v>
      </c>
      <c r="AH12" s="53">
        <f t="shared" si="17"/>
        <v>7.18</v>
      </c>
      <c r="AI12" s="53">
        <f t="shared" si="18"/>
        <v>7.18</v>
      </c>
      <c r="AJ12" s="54">
        <f t="shared" si="19"/>
        <v>258.33333333333331</v>
      </c>
      <c r="AK12" s="57"/>
      <c r="AL12" s="53">
        <f t="shared" si="20"/>
        <v>243.97333333333333</v>
      </c>
      <c r="AM12" s="53">
        <f t="shared" si="21"/>
        <v>7.18</v>
      </c>
      <c r="AN12" s="53">
        <f t="shared" si="22"/>
        <v>7.18</v>
      </c>
      <c r="AO12" s="54">
        <f t="shared" si="23"/>
        <v>258.33333333333331</v>
      </c>
      <c r="AP12" s="56"/>
      <c r="AQ12" s="53">
        <f t="shared" si="24"/>
        <v>243.97333333333333</v>
      </c>
      <c r="AR12" s="53">
        <f t="shared" si="25"/>
        <v>7.18</v>
      </c>
      <c r="AS12" s="53">
        <f t="shared" si="26"/>
        <v>7.18</v>
      </c>
      <c r="AT12" s="54">
        <f t="shared" si="27"/>
        <v>258.33333333333331</v>
      </c>
      <c r="AU12" s="56"/>
      <c r="AV12" s="53">
        <f t="shared" si="28"/>
        <v>243.97333333333333</v>
      </c>
      <c r="AW12" s="53">
        <f t="shared" si="31"/>
        <v>7.18</v>
      </c>
      <c r="AX12" s="53">
        <f t="shared" si="33"/>
        <v>7.18</v>
      </c>
      <c r="AY12" s="54">
        <f t="shared" si="29"/>
        <v>258.33333333333331</v>
      </c>
      <c r="AZ12" s="58">
        <f t="shared" si="34"/>
        <v>1549.9999999999998</v>
      </c>
      <c r="BA12" s="59">
        <f t="shared" si="30"/>
        <v>1699.9999999999998</v>
      </c>
      <c r="BB12" s="70"/>
      <c r="BC12" s="70"/>
      <c r="BD12" s="70"/>
      <c r="BE12" s="70"/>
      <c r="BF12" s="70"/>
      <c r="BG12" s="61" t="s">
        <v>7</v>
      </c>
      <c r="BH12" s="71"/>
      <c r="BI12" s="63"/>
      <c r="BJ12" s="63">
        <v>150</v>
      </c>
      <c r="BK12" s="63"/>
      <c r="BL12" s="64"/>
      <c r="BN12" s="64"/>
      <c r="BO12" s="66"/>
      <c r="BP12" s="72"/>
      <c r="BQ12" s="73"/>
      <c r="BR12" s="74"/>
      <c r="BS12" s="75"/>
      <c r="BT12" s="69"/>
      <c r="BU12" s="1"/>
    </row>
    <row r="13" spans="1:214" ht="15.75" customHeight="1" thickBot="1" x14ac:dyDescent="0.3">
      <c r="A13" s="1"/>
      <c r="B13" s="351">
        <v>152</v>
      </c>
      <c r="C13" s="34">
        <f t="shared" si="0"/>
        <v>10</v>
      </c>
      <c r="D13" s="352" t="s">
        <v>128</v>
      </c>
      <c r="E13" s="233">
        <v>1</v>
      </c>
      <c r="F13" s="233"/>
      <c r="G13" s="233">
        <v>1</v>
      </c>
      <c r="H13" s="233"/>
      <c r="I13" s="233">
        <v>1</v>
      </c>
      <c r="J13" s="233"/>
      <c r="K13" s="233">
        <v>1</v>
      </c>
      <c r="L13" s="233"/>
      <c r="M13" s="233">
        <v>1</v>
      </c>
      <c r="N13" s="233"/>
      <c r="O13" s="233">
        <v>1</v>
      </c>
      <c r="P13" s="258"/>
      <c r="Q13" s="49">
        <f t="shared" si="6"/>
        <v>1</v>
      </c>
      <c r="R13" s="50">
        <f t="shared" si="32"/>
        <v>1550</v>
      </c>
      <c r="S13" s="51">
        <f t="shared" si="1"/>
        <v>0</v>
      </c>
      <c r="T13" s="11">
        <f t="shared" si="7"/>
        <v>1999.9999999999998</v>
      </c>
      <c r="U13" s="52">
        <f t="shared" si="2"/>
        <v>0</v>
      </c>
      <c r="V13" s="52" t="str">
        <f t="shared" si="3"/>
        <v>BONO+B ASIS</v>
      </c>
      <c r="W13" s="53">
        <f t="shared" si="8"/>
        <v>243.97333333333333</v>
      </c>
      <c r="X13" s="53">
        <f t="shared" si="9"/>
        <v>7.18</v>
      </c>
      <c r="Y13" s="53">
        <f t="shared" si="10"/>
        <v>7.18</v>
      </c>
      <c r="Z13" s="54">
        <f t="shared" si="11"/>
        <v>258.33333333333331</v>
      </c>
      <c r="AA13" s="55"/>
      <c r="AB13" s="53">
        <f t="shared" si="12"/>
        <v>243.97333333333333</v>
      </c>
      <c r="AC13" s="53">
        <f t="shared" si="13"/>
        <v>7.18</v>
      </c>
      <c r="AD13" s="53">
        <f t="shared" si="14"/>
        <v>7.18</v>
      </c>
      <c r="AE13" s="54">
        <f t="shared" si="15"/>
        <v>258.33333333333331</v>
      </c>
      <c r="AF13" s="56"/>
      <c r="AG13" s="53">
        <f t="shared" si="16"/>
        <v>243.97333333333333</v>
      </c>
      <c r="AH13" s="53">
        <f t="shared" si="17"/>
        <v>7.18</v>
      </c>
      <c r="AI13" s="53">
        <f t="shared" si="18"/>
        <v>7.18</v>
      </c>
      <c r="AJ13" s="54">
        <f t="shared" si="19"/>
        <v>258.33333333333331</v>
      </c>
      <c r="AK13" s="57"/>
      <c r="AL13" s="53">
        <f t="shared" si="20"/>
        <v>243.97333333333333</v>
      </c>
      <c r="AM13" s="53">
        <f t="shared" si="21"/>
        <v>7.18</v>
      </c>
      <c r="AN13" s="53">
        <f t="shared" si="22"/>
        <v>7.18</v>
      </c>
      <c r="AO13" s="54">
        <f t="shared" si="23"/>
        <v>258.33333333333331</v>
      </c>
      <c r="AP13" s="56"/>
      <c r="AQ13" s="53">
        <f t="shared" si="24"/>
        <v>243.97333333333333</v>
      </c>
      <c r="AR13" s="53">
        <f t="shared" si="25"/>
        <v>7.18</v>
      </c>
      <c r="AS13" s="53">
        <f t="shared" si="26"/>
        <v>7.18</v>
      </c>
      <c r="AT13" s="54">
        <f t="shared" si="27"/>
        <v>258.33333333333331</v>
      </c>
      <c r="AU13" s="56"/>
      <c r="AV13" s="53">
        <f t="shared" si="28"/>
        <v>243.97333333333333</v>
      </c>
      <c r="AW13" s="53">
        <f t="shared" si="31"/>
        <v>7.18</v>
      </c>
      <c r="AX13" s="53">
        <f>$Y$2*O13*Q13</f>
        <v>7.18</v>
      </c>
      <c r="AY13" s="54">
        <f t="shared" si="29"/>
        <v>258.33333333333331</v>
      </c>
      <c r="AZ13" s="58">
        <f t="shared" si="34"/>
        <v>1549.9999999999998</v>
      </c>
      <c r="BA13" s="59">
        <f t="shared" si="30"/>
        <v>1999.9999999999998</v>
      </c>
      <c r="BB13" s="60"/>
      <c r="BC13" s="60"/>
      <c r="BD13" s="60"/>
      <c r="BE13" s="60"/>
      <c r="BF13" s="60"/>
      <c r="BG13" s="61" t="s">
        <v>133</v>
      </c>
      <c r="BH13" s="62"/>
      <c r="BI13" s="63">
        <v>300</v>
      </c>
      <c r="BJ13" s="63">
        <v>150</v>
      </c>
      <c r="BK13" s="64"/>
      <c r="BL13" s="63"/>
      <c r="BM13" s="65"/>
      <c r="BN13" s="65"/>
      <c r="BO13" s="66"/>
      <c r="BP13" s="67"/>
      <c r="BQ13" s="21"/>
      <c r="BR13" s="48"/>
      <c r="BS13" s="48"/>
      <c r="BT13" s="68"/>
      <c r="BU13" s="1"/>
      <c r="GG13" s="69"/>
      <c r="GH13" s="69"/>
      <c r="GI13" s="69"/>
      <c r="GJ13" s="69"/>
      <c r="GK13" s="69"/>
      <c r="GL13" s="69"/>
      <c r="GM13" s="69"/>
      <c r="GN13" s="69"/>
      <c r="GO13" s="69"/>
      <c r="GP13" s="69"/>
      <c r="GQ13" s="69"/>
      <c r="GR13" s="69"/>
      <c r="GS13" s="69"/>
      <c r="GT13" s="69"/>
      <c r="GU13" s="69"/>
      <c r="GV13" s="69"/>
      <c r="GW13" s="69"/>
      <c r="GX13" s="69"/>
      <c r="GY13" s="69"/>
      <c r="GZ13" s="69"/>
      <c r="HA13" s="69"/>
      <c r="HB13" s="69"/>
      <c r="HC13" s="69"/>
      <c r="HD13" s="69"/>
      <c r="HE13" s="69"/>
      <c r="HF13" s="69"/>
    </row>
    <row r="14" spans="1:214" s="287" customFormat="1" ht="15.75" customHeight="1" thickBot="1" x14ac:dyDescent="0.3">
      <c r="A14" s="1"/>
      <c r="B14" s="374">
        <v>146</v>
      </c>
      <c r="C14" s="34">
        <f t="shared" si="0"/>
        <v>11</v>
      </c>
      <c r="D14" s="375" t="s">
        <v>124</v>
      </c>
      <c r="E14" s="233">
        <v>1</v>
      </c>
      <c r="F14" s="233"/>
      <c r="G14" s="233">
        <v>1</v>
      </c>
      <c r="H14" s="233"/>
      <c r="I14" s="233">
        <v>1</v>
      </c>
      <c r="J14" s="233"/>
      <c r="K14" s="233">
        <v>1</v>
      </c>
      <c r="L14" s="233"/>
      <c r="M14" s="233">
        <v>1</v>
      </c>
      <c r="N14" s="233"/>
      <c r="O14" s="233">
        <v>1</v>
      </c>
      <c r="P14" s="258"/>
      <c r="Q14" s="49">
        <f t="shared" si="6"/>
        <v>1</v>
      </c>
      <c r="R14" s="50">
        <f t="shared" si="32"/>
        <v>1550</v>
      </c>
      <c r="S14" s="51">
        <f t="shared" si="1"/>
        <v>0</v>
      </c>
      <c r="T14" s="11">
        <f t="shared" si="7"/>
        <v>1949.9999999999998</v>
      </c>
      <c r="U14" s="52">
        <f t="shared" si="2"/>
        <v>0</v>
      </c>
      <c r="V14" s="52" t="str">
        <f t="shared" si="3"/>
        <v>BONO+B ASIS</v>
      </c>
      <c r="W14" s="53">
        <f t="shared" si="8"/>
        <v>243.97333333333333</v>
      </c>
      <c r="X14" s="53">
        <f t="shared" si="9"/>
        <v>7.18</v>
      </c>
      <c r="Y14" s="53">
        <f t="shared" si="10"/>
        <v>7.18</v>
      </c>
      <c r="Z14" s="54">
        <f t="shared" si="11"/>
        <v>258.33333333333331</v>
      </c>
      <c r="AA14" s="55"/>
      <c r="AB14" s="53">
        <f t="shared" si="12"/>
        <v>243.97333333333333</v>
      </c>
      <c r="AC14" s="53">
        <f t="shared" si="13"/>
        <v>7.18</v>
      </c>
      <c r="AD14" s="53">
        <f t="shared" si="14"/>
        <v>7.18</v>
      </c>
      <c r="AE14" s="54">
        <f t="shared" si="15"/>
        <v>258.33333333333331</v>
      </c>
      <c r="AF14" s="56"/>
      <c r="AG14" s="53">
        <f t="shared" si="16"/>
        <v>243.97333333333333</v>
      </c>
      <c r="AH14" s="53">
        <f t="shared" si="17"/>
        <v>7.18</v>
      </c>
      <c r="AI14" s="53">
        <f t="shared" si="18"/>
        <v>7.18</v>
      </c>
      <c r="AJ14" s="54">
        <f t="shared" si="19"/>
        <v>258.33333333333331</v>
      </c>
      <c r="AK14" s="57"/>
      <c r="AL14" s="53">
        <f t="shared" si="20"/>
        <v>243.97333333333333</v>
      </c>
      <c r="AM14" s="53">
        <f t="shared" si="21"/>
        <v>7.18</v>
      </c>
      <c r="AN14" s="53">
        <f t="shared" si="22"/>
        <v>7.18</v>
      </c>
      <c r="AO14" s="54">
        <f t="shared" si="23"/>
        <v>258.33333333333331</v>
      </c>
      <c r="AP14" s="56"/>
      <c r="AQ14" s="53">
        <f t="shared" si="24"/>
        <v>243.97333333333333</v>
      </c>
      <c r="AR14" s="53">
        <f t="shared" si="25"/>
        <v>7.18</v>
      </c>
      <c r="AS14" s="53">
        <f t="shared" si="26"/>
        <v>7.18</v>
      </c>
      <c r="AT14" s="54">
        <f t="shared" si="27"/>
        <v>258.33333333333331</v>
      </c>
      <c r="AU14" s="56"/>
      <c r="AV14" s="53">
        <f t="shared" si="28"/>
        <v>243.97333333333333</v>
      </c>
      <c r="AW14" s="53">
        <f t="shared" si="31"/>
        <v>7.18</v>
      </c>
      <c r="AX14" s="53">
        <f>$Y$2*O14*Q14</f>
        <v>7.18</v>
      </c>
      <c r="AY14" s="54">
        <f t="shared" si="29"/>
        <v>258.33333333333331</v>
      </c>
      <c r="AZ14" s="58">
        <f t="shared" si="34"/>
        <v>1549.9999999999998</v>
      </c>
      <c r="BA14" s="59">
        <f t="shared" si="30"/>
        <v>1949.9999999999998</v>
      </c>
      <c r="BB14" s="60"/>
      <c r="BC14" s="60"/>
      <c r="BD14" s="60"/>
      <c r="BE14" s="60"/>
      <c r="BF14" s="60"/>
      <c r="BG14" s="61" t="s">
        <v>133</v>
      </c>
      <c r="BH14" s="62"/>
      <c r="BI14" s="63">
        <v>250</v>
      </c>
      <c r="BJ14" s="63">
        <v>150</v>
      </c>
      <c r="BK14" s="64"/>
      <c r="BL14" s="63"/>
      <c r="BM14" s="65"/>
      <c r="BN14" s="65"/>
      <c r="BO14" s="66"/>
      <c r="BP14" s="67"/>
      <c r="BQ14" s="21"/>
      <c r="BR14" s="48"/>
      <c r="BS14" s="48"/>
      <c r="BT14" s="68"/>
      <c r="BU14" s="1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69"/>
      <c r="GH14" s="69"/>
      <c r="GI14" s="69"/>
      <c r="GJ14" s="69"/>
      <c r="GK14" s="69"/>
      <c r="GL14" s="69"/>
      <c r="GM14" s="69"/>
      <c r="GN14" s="69"/>
      <c r="GO14" s="69"/>
      <c r="GP14" s="69"/>
      <c r="GQ14" s="69"/>
      <c r="GR14" s="69"/>
      <c r="GS14" s="69"/>
      <c r="GT14" s="69"/>
      <c r="GU14" s="69"/>
      <c r="GV14" s="69"/>
      <c r="GW14" s="69"/>
      <c r="GX14" s="69"/>
      <c r="GY14" s="69"/>
      <c r="GZ14" s="69"/>
      <c r="HA14" s="69"/>
      <c r="HB14" s="69"/>
      <c r="HC14" s="69"/>
      <c r="HD14" s="69"/>
      <c r="HE14" s="69"/>
      <c r="HF14" s="69"/>
    </row>
    <row r="15" spans="1:214" s="287" customFormat="1" ht="15.75" customHeight="1" thickBot="1" x14ac:dyDescent="0.3">
      <c r="A15" s="1">
        <v>470</v>
      </c>
      <c r="B15" s="275">
        <v>51</v>
      </c>
      <c r="C15" s="34">
        <f t="shared" si="0"/>
        <v>12</v>
      </c>
      <c r="D15" s="274" t="s">
        <v>115</v>
      </c>
      <c r="E15" s="233">
        <v>1</v>
      </c>
      <c r="F15" s="233"/>
      <c r="G15" s="233">
        <v>1</v>
      </c>
      <c r="H15" s="233"/>
      <c r="I15" s="233">
        <v>1</v>
      </c>
      <c r="J15" s="233"/>
      <c r="K15" s="233">
        <v>1</v>
      </c>
      <c r="L15" s="233"/>
      <c r="M15" s="233">
        <v>1</v>
      </c>
      <c r="N15" s="233"/>
      <c r="O15" s="233">
        <v>1</v>
      </c>
      <c r="P15" s="258"/>
      <c r="Q15" s="49">
        <f t="shared" si="6"/>
        <v>1</v>
      </c>
      <c r="R15" s="260">
        <v>3000</v>
      </c>
      <c r="S15" s="51">
        <f t="shared" si="1"/>
        <v>0</v>
      </c>
      <c r="T15" s="11">
        <f t="shared" si="7"/>
        <v>5585.7100000000009</v>
      </c>
      <c r="U15" s="52">
        <f t="shared" si="2"/>
        <v>0</v>
      </c>
      <c r="V15" s="52" t="str">
        <f t="shared" si="3"/>
        <v>BONO+FINIQUITO</v>
      </c>
      <c r="W15" s="53">
        <f t="shared" si="8"/>
        <v>485.64000000000004</v>
      </c>
      <c r="X15" s="53">
        <f t="shared" si="9"/>
        <v>7.18</v>
      </c>
      <c r="Y15" s="53">
        <f t="shared" si="10"/>
        <v>7.18</v>
      </c>
      <c r="Z15" s="54">
        <f t="shared" si="11"/>
        <v>500.00000000000006</v>
      </c>
      <c r="AA15" s="55"/>
      <c r="AB15" s="53">
        <f t="shared" si="12"/>
        <v>485.64000000000004</v>
      </c>
      <c r="AC15" s="53">
        <f t="shared" si="13"/>
        <v>7.18</v>
      </c>
      <c r="AD15" s="53">
        <f t="shared" si="14"/>
        <v>7.18</v>
      </c>
      <c r="AE15" s="54">
        <f>AD15+AC15+AB15</f>
        <v>500.00000000000006</v>
      </c>
      <c r="AF15" s="56"/>
      <c r="AG15" s="53">
        <f t="shared" si="16"/>
        <v>485.64000000000004</v>
      </c>
      <c r="AH15" s="53">
        <f t="shared" si="17"/>
        <v>7.18</v>
      </c>
      <c r="AI15" s="53">
        <f t="shared" si="18"/>
        <v>7.18</v>
      </c>
      <c r="AJ15" s="54">
        <f t="shared" si="19"/>
        <v>500.00000000000006</v>
      </c>
      <c r="AK15" s="57"/>
      <c r="AL15" s="53">
        <f t="shared" si="20"/>
        <v>485.64000000000004</v>
      </c>
      <c r="AM15" s="53">
        <f t="shared" si="21"/>
        <v>7.18</v>
      </c>
      <c r="AN15" s="53">
        <f t="shared" si="22"/>
        <v>7.18</v>
      </c>
      <c r="AO15" s="54">
        <f t="shared" si="23"/>
        <v>500.00000000000006</v>
      </c>
      <c r="AP15" s="56"/>
      <c r="AQ15" s="53">
        <f t="shared" si="24"/>
        <v>485.64000000000004</v>
      </c>
      <c r="AR15" s="53">
        <f t="shared" si="25"/>
        <v>7.18</v>
      </c>
      <c r="AS15" s="53">
        <f t="shared" si="26"/>
        <v>7.18</v>
      </c>
      <c r="AT15" s="54">
        <f t="shared" si="27"/>
        <v>500.00000000000006</v>
      </c>
      <c r="AU15" s="56"/>
      <c r="AV15" s="53">
        <f t="shared" si="28"/>
        <v>485.64000000000004</v>
      </c>
      <c r="AW15" s="53">
        <f t="shared" si="31"/>
        <v>7.18</v>
      </c>
      <c r="AX15" s="53">
        <f>$Y$2*O15*Q15</f>
        <v>7.18</v>
      </c>
      <c r="AY15" s="54">
        <f t="shared" si="29"/>
        <v>500.00000000000006</v>
      </c>
      <c r="AZ15" s="58">
        <f t="shared" si="34"/>
        <v>3000.0000000000005</v>
      </c>
      <c r="BA15" s="59">
        <f t="shared" si="30"/>
        <v>5585.7100000000009</v>
      </c>
      <c r="BB15" s="60"/>
      <c r="BC15" s="60"/>
      <c r="BD15" s="60"/>
      <c r="BE15" s="60"/>
      <c r="BF15" s="60"/>
      <c r="BG15" s="61" t="s">
        <v>170</v>
      </c>
      <c r="BH15" s="62"/>
      <c r="BI15" s="63">
        <v>1000</v>
      </c>
      <c r="BJ15" s="63"/>
      <c r="BK15" s="64"/>
      <c r="BL15" s="63">
        <v>1585.71</v>
      </c>
      <c r="BM15" s="65"/>
      <c r="BN15" s="65"/>
      <c r="BO15" s="66"/>
      <c r="BP15" s="67"/>
      <c r="BQ15" s="21"/>
      <c r="BR15" s="48"/>
      <c r="BS15" s="48"/>
      <c r="BT15" s="68"/>
      <c r="BU15" s="1">
        <v>470</v>
      </c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69"/>
      <c r="GH15" s="69"/>
      <c r="GI15" s="69"/>
      <c r="GJ15" s="69"/>
      <c r="GK15" s="69"/>
      <c r="GL15" s="69"/>
      <c r="GM15" s="69"/>
      <c r="GN15" s="69"/>
      <c r="GO15" s="69"/>
      <c r="GP15" s="69"/>
      <c r="GQ15" s="69"/>
      <c r="GR15" s="69"/>
      <c r="GS15" s="69"/>
      <c r="GT15" s="69"/>
      <c r="GU15" s="69"/>
      <c r="GV15" s="69"/>
      <c r="GW15" s="69"/>
      <c r="GX15" s="69"/>
      <c r="GY15" s="69"/>
      <c r="GZ15" s="69"/>
      <c r="HA15" s="69"/>
      <c r="HB15" s="69"/>
      <c r="HC15" s="69"/>
      <c r="HD15" s="69"/>
      <c r="HE15" s="69"/>
      <c r="HF15" s="69"/>
    </row>
    <row r="16" spans="1:214" ht="15.75" customHeight="1" thickBot="1" x14ac:dyDescent="0.3">
      <c r="A16" s="1">
        <v>429</v>
      </c>
      <c r="B16" s="78"/>
      <c r="C16" s="79"/>
      <c r="D16" s="21"/>
      <c r="E16" s="80">
        <f>SUM(E4:E15)</f>
        <v>12</v>
      </c>
      <c r="F16" s="80"/>
      <c r="G16" s="80">
        <f>SUM(G4:G15)</f>
        <v>12</v>
      </c>
      <c r="H16" s="80"/>
      <c r="I16" s="80">
        <f>SUM(I4:I15)</f>
        <v>12</v>
      </c>
      <c r="J16" s="81"/>
      <c r="K16" s="80">
        <f>SUM(K4:K15)</f>
        <v>12</v>
      </c>
      <c r="L16" s="81"/>
      <c r="M16" s="80">
        <f>SUM(M4:M15)</f>
        <v>12</v>
      </c>
      <c r="N16" s="80"/>
      <c r="O16" s="80">
        <f>SUM(O4:O15)</f>
        <v>12</v>
      </c>
      <c r="P16" s="80"/>
      <c r="Q16" s="80"/>
      <c r="R16" s="82"/>
      <c r="S16" s="51"/>
      <c r="T16" s="11"/>
      <c r="U16" s="52"/>
      <c r="V16" s="52"/>
      <c r="W16" s="53"/>
      <c r="X16" s="53"/>
      <c r="Y16" s="53"/>
      <c r="Z16" s="54"/>
      <c r="AA16" s="55"/>
      <c r="AB16" s="53"/>
      <c r="AC16" s="53"/>
      <c r="AD16" s="53"/>
      <c r="AE16" s="54"/>
      <c r="AF16" s="56"/>
      <c r="AG16" s="53"/>
      <c r="AH16" s="53"/>
      <c r="AI16" s="53"/>
      <c r="AJ16" s="54"/>
      <c r="AK16" s="57"/>
      <c r="AL16" s="53"/>
      <c r="AM16" s="53"/>
      <c r="AN16" s="53"/>
      <c r="AO16" s="54"/>
      <c r="AP16" s="56"/>
      <c r="AQ16" s="53"/>
      <c r="AR16" s="53"/>
      <c r="AS16" s="53"/>
      <c r="AT16" s="54"/>
      <c r="AU16" s="56"/>
      <c r="AV16" s="53"/>
      <c r="AW16" s="53"/>
      <c r="AX16" s="53"/>
      <c r="AY16" s="54"/>
      <c r="AZ16" s="58"/>
      <c r="BA16" s="59"/>
      <c r="BG16" s="83"/>
      <c r="BO16" s="67"/>
      <c r="BP16" s="67"/>
      <c r="BQ16" s="21"/>
      <c r="BR16" s="84"/>
      <c r="BS16" s="84"/>
      <c r="BU16" s="1">
        <v>429</v>
      </c>
    </row>
    <row r="17" spans="1:214" ht="15.75" customHeight="1" thickBot="1" x14ac:dyDescent="0.35">
      <c r="A17" s="1">
        <v>430</v>
      </c>
      <c r="C17" s="79"/>
      <c r="D17" s="21"/>
      <c r="E17" s="8"/>
      <c r="F17" s="85"/>
      <c r="G17" s="8"/>
      <c r="H17" s="22"/>
      <c r="I17" s="8"/>
      <c r="J17" s="22"/>
      <c r="K17" s="8"/>
      <c r="L17" s="22"/>
      <c r="M17" s="8"/>
      <c r="N17" s="22"/>
      <c r="O17" s="8"/>
      <c r="P17" s="22"/>
      <c r="Q17" s="8"/>
      <c r="R17" s="82"/>
      <c r="S17" s="51"/>
      <c r="T17" s="11"/>
      <c r="U17" s="52"/>
      <c r="V17" s="52"/>
      <c r="W17" s="53"/>
      <c r="X17" s="53"/>
      <c r="Y17" s="53"/>
      <c r="Z17" s="54"/>
      <c r="AA17" s="55"/>
      <c r="AB17" s="53"/>
      <c r="AC17" s="53"/>
      <c r="AD17" s="53"/>
      <c r="AE17" s="54"/>
      <c r="AF17" s="56"/>
      <c r="AG17" s="53"/>
      <c r="AH17" s="53"/>
      <c r="AI17" s="53"/>
      <c r="AJ17" s="54"/>
      <c r="AK17" s="57"/>
      <c r="AL17" s="53"/>
      <c r="AM17" s="53"/>
      <c r="AN17" s="53"/>
      <c r="AO17" s="54"/>
      <c r="AP17" s="56"/>
      <c r="AQ17" s="53"/>
      <c r="AR17" s="53"/>
      <c r="AS17" s="53"/>
      <c r="AT17" s="54"/>
      <c r="AU17" s="56"/>
      <c r="AV17" s="53"/>
      <c r="AW17" s="53"/>
      <c r="AX17" s="53"/>
      <c r="AY17" s="54"/>
      <c r="AZ17" s="58"/>
      <c r="BA17" s="59"/>
      <c r="BG17" s="83"/>
      <c r="BO17" s="86"/>
      <c r="BP17" s="87"/>
      <c r="BQ17" s="21"/>
      <c r="BT17" s="68"/>
      <c r="BU17" s="1">
        <v>430</v>
      </c>
    </row>
    <row r="18" spans="1:214" ht="15.75" customHeight="1" thickBot="1" x14ac:dyDescent="0.3">
      <c r="A18" s="1">
        <v>431</v>
      </c>
      <c r="B18" s="88" t="s">
        <v>26</v>
      </c>
      <c r="C18" s="89" t="s">
        <v>27</v>
      </c>
      <c r="D18" s="90"/>
      <c r="E18" s="8"/>
      <c r="F18" s="91"/>
      <c r="G18" s="42" t="s">
        <v>8</v>
      </c>
      <c r="H18" s="42"/>
      <c r="I18" s="42" t="s">
        <v>9</v>
      </c>
      <c r="J18" s="42"/>
      <c r="K18" s="42" t="s">
        <v>9</v>
      </c>
      <c r="L18" s="42"/>
      <c r="M18" s="42" t="s">
        <v>10</v>
      </c>
      <c r="N18" s="42"/>
      <c r="O18" s="42" t="s">
        <v>11</v>
      </c>
      <c r="P18" s="42"/>
      <c r="Q18" s="42" t="s">
        <v>12</v>
      </c>
      <c r="R18" s="42"/>
      <c r="S18" s="9"/>
      <c r="T18" s="11"/>
      <c r="U18" s="11"/>
      <c r="V18" s="11"/>
      <c r="W18" s="12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59"/>
      <c r="BO18" s="92"/>
      <c r="BP18" s="92"/>
      <c r="BQ18" s="21"/>
      <c r="BR18" s="21"/>
      <c r="BS18" s="21"/>
      <c r="BT18" s="68"/>
      <c r="BU18" s="1">
        <v>431</v>
      </c>
    </row>
    <row r="19" spans="1:214" ht="20.25" customHeight="1" thickBot="1" x14ac:dyDescent="0.3">
      <c r="A19" s="1">
        <v>432</v>
      </c>
      <c r="B19" s="21">
        <f>E16</f>
        <v>12</v>
      </c>
      <c r="C19" s="93">
        <f>G25</f>
        <v>12</v>
      </c>
      <c r="D19" s="94">
        <f t="shared" ref="D19:D22" si="35">+B19-C19</f>
        <v>0</v>
      </c>
      <c r="E19" s="95"/>
      <c r="F19" s="96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8" t="s">
        <v>28</v>
      </c>
      <c r="S19" s="10"/>
      <c r="T19" s="10" t="s">
        <v>31</v>
      </c>
      <c r="U19" s="94"/>
      <c r="V19" s="40"/>
      <c r="W19" s="42"/>
      <c r="X19" s="9"/>
      <c r="Y19" s="9"/>
      <c r="Z19" s="9"/>
      <c r="AA19" s="9"/>
      <c r="AB19" s="42"/>
      <c r="AC19" s="9"/>
      <c r="AD19" s="9"/>
      <c r="AE19" s="9"/>
      <c r="AF19" s="9"/>
      <c r="AG19" s="42"/>
      <c r="AH19" s="9"/>
      <c r="AI19" s="9"/>
      <c r="AJ19" s="9"/>
      <c r="AK19" s="9"/>
      <c r="AL19" s="9"/>
      <c r="AM19" s="9"/>
      <c r="AN19" s="9"/>
      <c r="AO19" s="9"/>
      <c r="AP19" s="9"/>
      <c r="AQ19" s="42"/>
      <c r="AR19" s="9"/>
      <c r="AS19" s="9"/>
      <c r="AT19" s="9"/>
      <c r="AU19" s="9"/>
      <c r="AV19" s="42"/>
      <c r="AW19" s="9"/>
      <c r="AX19" s="9"/>
      <c r="AY19" s="9"/>
      <c r="AZ19" s="99"/>
      <c r="BA19" s="59"/>
      <c r="BE19" s="100"/>
      <c r="BO19" s="101"/>
      <c r="BP19" s="92"/>
      <c r="BQ19" s="21"/>
      <c r="BR19" s="21"/>
      <c r="BS19" s="21"/>
      <c r="BT19" s="68"/>
      <c r="BU19" s="1">
        <v>432</v>
      </c>
    </row>
    <row r="20" spans="1:214" ht="20.25" customHeight="1" thickBot="1" x14ac:dyDescent="0.3">
      <c r="A20" s="1">
        <v>433</v>
      </c>
      <c r="B20" s="21">
        <f>G16</f>
        <v>12</v>
      </c>
      <c r="C20" s="93">
        <f>I25</f>
        <v>12</v>
      </c>
      <c r="D20" s="94">
        <f>+B20-C20</f>
        <v>0</v>
      </c>
      <c r="E20" s="102" t="s">
        <v>29</v>
      </c>
      <c r="F20" s="103"/>
      <c r="G20" s="104">
        <v>1</v>
      </c>
      <c r="H20" s="105"/>
      <c r="I20" s="104">
        <v>1</v>
      </c>
      <c r="J20" s="105"/>
      <c r="K20" s="104">
        <v>1</v>
      </c>
      <c r="L20" s="105"/>
      <c r="M20" s="104">
        <v>1</v>
      </c>
      <c r="N20" s="105"/>
      <c r="O20" s="104">
        <v>1</v>
      </c>
      <c r="P20" s="105"/>
      <c r="Q20" s="104">
        <v>1</v>
      </c>
      <c r="R20" s="111">
        <f t="shared" ref="R20:R24" si="36">AVERAGE(G20,I20,K20,M20,O20,Q20)</f>
        <v>1</v>
      </c>
      <c r="S20" s="10"/>
      <c r="T20" s="11" t="s">
        <v>31</v>
      </c>
      <c r="U20" s="94"/>
      <c r="V20" s="40"/>
      <c r="W20" s="42"/>
      <c r="X20" s="9"/>
      <c r="Y20" s="9"/>
      <c r="Z20" s="9"/>
      <c r="AA20" s="9"/>
      <c r="AB20" s="42"/>
      <c r="AC20" s="9"/>
      <c r="AD20" s="9"/>
      <c r="AE20" s="9"/>
      <c r="AF20" s="9"/>
      <c r="AG20" s="42"/>
      <c r="AH20" s="9"/>
      <c r="AI20" s="9"/>
      <c r="AJ20" s="9"/>
      <c r="AK20" s="9"/>
      <c r="AL20" s="9"/>
      <c r="AM20" s="9"/>
      <c r="AN20" s="9"/>
      <c r="AO20" s="9"/>
      <c r="AP20" s="9"/>
      <c r="AQ20" s="42"/>
      <c r="AR20" s="9"/>
      <c r="AS20" s="9"/>
      <c r="AT20" s="9"/>
      <c r="AU20" s="9"/>
      <c r="AV20" s="42"/>
      <c r="AW20" s="9"/>
      <c r="AX20" s="9"/>
      <c r="AY20" s="9"/>
      <c r="AZ20" s="99"/>
      <c r="BA20" s="59"/>
      <c r="BE20" s="100"/>
      <c r="BO20" s="101"/>
      <c r="BP20" s="92"/>
      <c r="BQ20" s="21"/>
      <c r="BR20" s="21"/>
      <c r="BS20" s="21"/>
      <c r="BT20" s="68"/>
      <c r="BU20" s="1">
        <v>433</v>
      </c>
    </row>
    <row r="21" spans="1:214" ht="20.25" customHeight="1" thickBot="1" x14ac:dyDescent="0.3">
      <c r="A21" s="1">
        <v>434</v>
      </c>
      <c r="B21" s="21">
        <f>I16</f>
        <v>12</v>
      </c>
      <c r="C21" s="93">
        <f>K25</f>
        <v>12</v>
      </c>
      <c r="D21" s="94">
        <f t="shared" si="35"/>
        <v>0</v>
      </c>
      <c r="E21" s="102" t="s">
        <v>22</v>
      </c>
      <c r="F21" s="103"/>
      <c r="G21" s="104">
        <v>1</v>
      </c>
      <c r="H21" s="105"/>
      <c r="I21" s="104">
        <v>1</v>
      </c>
      <c r="J21" s="105"/>
      <c r="K21" s="104">
        <v>1</v>
      </c>
      <c r="L21" s="105"/>
      <c r="M21" s="104">
        <v>1</v>
      </c>
      <c r="N21" s="105"/>
      <c r="O21" s="104">
        <v>1</v>
      </c>
      <c r="P21" s="105"/>
      <c r="Q21" s="104">
        <v>1</v>
      </c>
      <c r="R21" s="111">
        <f t="shared" si="36"/>
        <v>1</v>
      </c>
      <c r="S21" s="10"/>
      <c r="T21" s="11"/>
      <c r="U21" s="94"/>
      <c r="V21" s="40"/>
      <c r="W21" s="42"/>
      <c r="X21" s="9"/>
      <c r="Y21" s="9"/>
      <c r="Z21" s="9"/>
      <c r="AA21" s="9"/>
      <c r="AB21" s="42"/>
      <c r="AC21" s="9"/>
      <c r="AD21" s="9"/>
      <c r="AE21" s="9"/>
      <c r="AF21" s="9"/>
      <c r="AG21" s="42"/>
      <c r="AH21" s="9"/>
      <c r="AI21" s="9"/>
      <c r="AJ21" s="9"/>
      <c r="AK21" s="9"/>
      <c r="AL21" s="9"/>
      <c r="AM21" s="9"/>
      <c r="AN21" s="9"/>
      <c r="AO21" s="9"/>
      <c r="AP21" s="9"/>
      <c r="AQ21" s="42"/>
      <c r="AR21" s="9"/>
      <c r="AS21" s="9"/>
      <c r="AT21" s="9"/>
      <c r="AU21" s="9"/>
      <c r="AV21" s="42"/>
      <c r="AW21" s="9"/>
      <c r="AX21" s="9"/>
      <c r="AY21" s="9"/>
      <c r="AZ21" s="99"/>
      <c r="BA21" s="59"/>
      <c r="BE21" s="100"/>
      <c r="BO21" s="101"/>
      <c r="BP21" s="92"/>
      <c r="BQ21" s="21"/>
      <c r="BR21" s="21"/>
      <c r="BS21" s="21"/>
      <c r="BT21" s="68"/>
      <c r="BU21" s="1">
        <v>434</v>
      </c>
    </row>
    <row r="22" spans="1:214" ht="20.25" customHeight="1" thickBot="1" x14ac:dyDescent="0.3">
      <c r="A22" s="1">
        <v>435</v>
      </c>
      <c r="B22" s="21">
        <f>K16</f>
        <v>12</v>
      </c>
      <c r="C22" s="93">
        <f>M25</f>
        <v>12</v>
      </c>
      <c r="D22" s="94">
        <f t="shared" si="35"/>
        <v>0</v>
      </c>
      <c r="E22" s="102" t="s">
        <v>30</v>
      </c>
      <c r="F22" s="103"/>
      <c r="G22" s="104">
        <v>2</v>
      </c>
      <c r="H22" s="105"/>
      <c r="I22" s="104">
        <v>2</v>
      </c>
      <c r="J22" s="105"/>
      <c r="K22" s="104">
        <v>2</v>
      </c>
      <c r="L22" s="105"/>
      <c r="M22" s="104">
        <v>2</v>
      </c>
      <c r="N22" s="105"/>
      <c r="O22" s="104">
        <v>2</v>
      </c>
      <c r="P22" s="105"/>
      <c r="Q22" s="104">
        <v>2</v>
      </c>
      <c r="R22" s="111">
        <f t="shared" si="36"/>
        <v>2</v>
      </c>
      <c r="S22" s="10"/>
      <c r="T22" s="11"/>
      <c r="U22" s="94" t="s">
        <v>31</v>
      </c>
      <c r="V22" s="40"/>
      <c r="W22" s="42"/>
      <c r="X22" s="9"/>
      <c r="Y22" s="9"/>
      <c r="Z22" s="9"/>
      <c r="AA22" s="9"/>
      <c r="AB22" s="42"/>
      <c r="AC22" s="9"/>
      <c r="AD22" s="9"/>
      <c r="AE22" s="9"/>
      <c r="AF22" s="9"/>
      <c r="AG22" s="42"/>
      <c r="AH22" s="9"/>
      <c r="AI22" s="9"/>
      <c r="AJ22" s="9"/>
      <c r="AK22" s="9"/>
      <c r="AL22" s="9"/>
      <c r="AM22" s="9"/>
      <c r="AN22" s="9"/>
      <c r="AO22" s="9"/>
      <c r="AP22" s="9"/>
      <c r="AQ22" s="42"/>
      <c r="AR22" s="9"/>
      <c r="AS22" s="9"/>
      <c r="AT22" s="9"/>
      <c r="AU22" s="9"/>
      <c r="AV22" s="42"/>
      <c r="AW22" s="9"/>
      <c r="AX22" s="9"/>
      <c r="AY22" s="9"/>
      <c r="AZ22" s="99"/>
      <c r="BA22" s="59"/>
      <c r="BE22" s="100"/>
      <c r="BO22" s="101"/>
      <c r="BP22" s="92"/>
      <c r="BQ22" s="21"/>
      <c r="BR22" s="21"/>
      <c r="BS22" s="21"/>
      <c r="BT22" s="68"/>
      <c r="BU22" s="1">
        <v>435</v>
      </c>
    </row>
    <row r="23" spans="1:214" ht="20.25" customHeight="1" thickBot="1" x14ac:dyDescent="0.3">
      <c r="A23" s="1">
        <v>436</v>
      </c>
      <c r="B23" s="21">
        <f>M16</f>
        <v>12</v>
      </c>
      <c r="C23" s="93">
        <f>O25</f>
        <v>12</v>
      </c>
      <c r="D23" s="94">
        <f>+B23-C23</f>
        <v>0</v>
      </c>
      <c r="E23" s="102" t="s">
        <v>32</v>
      </c>
      <c r="F23" s="103"/>
      <c r="G23" s="104">
        <v>8</v>
      </c>
      <c r="H23" s="105"/>
      <c r="I23" s="104">
        <v>8</v>
      </c>
      <c r="J23" s="105"/>
      <c r="K23" s="104">
        <v>8</v>
      </c>
      <c r="L23" s="105"/>
      <c r="M23" s="104">
        <v>8</v>
      </c>
      <c r="N23" s="105"/>
      <c r="O23" s="104">
        <v>8</v>
      </c>
      <c r="P23" s="105"/>
      <c r="Q23" s="104">
        <v>8</v>
      </c>
      <c r="R23" s="111">
        <f t="shared" si="36"/>
        <v>8</v>
      </c>
      <c r="S23" s="10"/>
      <c r="T23" s="11"/>
      <c r="U23" s="94"/>
      <c r="V23" s="40"/>
      <c r="W23" s="42"/>
      <c r="X23" s="9"/>
      <c r="Y23" s="9"/>
      <c r="Z23" s="9"/>
      <c r="AA23" s="9"/>
      <c r="AB23" s="42"/>
      <c r="AC23" s="9"/>
      <c r="AD23" s="9"/>
      <c r="AE23" s="9"/>
      <c r="AF23" s="9"/>
      <c r="AG23" s="42"/>
      <c r="AH23" s="9"/>
      <c r="AI23" s="9"/>
      <c r="AJ23" s="9"/>
      <c r="AK23" s="9"/>
      <c r="AL23" s="9"/>
      <c r="AM23" s="9"/>
      <c r="AN23" s="9"/>
      <c r="AO23" s="9"/>
      <c r="AP23" s="9"/>
      <c r="AQ23" s="42"/>
      <c r="AR23" s="9"/>
      <c r="AS23" s="9"/>
      <c r="AT23" s="9"/>
      <c r="AU23" s="9"/>
      <c r="AV23" s="42"/>
      <c r="AW23" s="9"/>
      <c r="AX23" s="9"/>
      <c r="AY23" s="9"/>
      <c r="AZ23" s="99"/>
      <c r="BA23" s="59"/>
      <c r="BE23" s="100"/>
      <c r="BO23" s="101"/>
      <c r="BP23" s="92"/>
      <c r="BQ23" s="21"/>
      <c r="BR23" s="21"/>
      <c r="BS23" s="21"/>
      <c r="BT23" s="68"/>
      <c r="BU23" s="1">
        <v>436</v>
      </c>
    </row>
    <row r="24" spans="1:214" ht="20.25" customHeight="1" thickBot="1" x14ac:dyDescent="0.3">
      <c r="A24" s="1">
        <v>437</v>
      </c>
      <c r="B24" s="21">
        <f>O16</f>
        <v>12</v>
      </c>
      <c r="C24" s="93">
        <f>Q25</f>
        <v>12</v>
      </c>
      <c r="D24" s="94">
        <f>+B24-C24</f>
        <v>0</v>
      </c>
      <c r="E24" s="102" t="s">
        <v>33</v>
      </c>
      <c r="F24" s="103"/>
      <c r="G24" s="104">
        <v>0</v>
      </c>
      <c r="H24" s="105"/>
      <c r="I24" s="104">
        <v>0</v>
      </c>
      <c r="J24" s="105"/>
      <c r="K24" s="104">
        <v>0</v>
      </c>
      <c r="L24" s="105"/>
      <c r="M24" s="104">
        <v>0</v>
      </c>
      <c r="N24" s="105"/>
      <c r="O24" s="104">
        <v>0</v>
      </c>
      <c r="P24" s="105"/>
      <c r="Q24" s="104">
        <v>0</v>
      </c>
      <c r="R24" s="111">
        <f t="shared" si="36"/>
        <v>0</v>
      </c>
      <c r="S24" s="10"/>
      <c r="T24" s="11"/>
      <c r="U24" s="94"/>
      <c r="V24" s="40"/>
      <c r="W24" s="42"/>
      <c r="X24" s="9"/>
      <c r="Y24" s="9"/>
      <c r="Z24" s="9"/>
      <c r="AA24" s="9"/>
      <c r="AB24" s="42"/>
      <c r="AC24" s="9"/>
      <c r="AD24" s="9"/>
      <c r="AE24" s="9"/>
      <c r="AF24" s="9"/>
      <c r="AG24" s="42"/>
      <c r="AH24" s="9"/>
      <c r="AI24" s="9"/>
      <c r="AJ24" s="9"/>
      <c r="AK24" s="9"/>
      <c r="AL24" s="9"/>
      <c r="AM24" s="9"/>
      <c r="AN24" s="9"/>
      <c r="AO24" s="9"/>
      <c r="AP24" s="9"/>
      <c r="AQ24" s="42"/>
      <c r="AR24" s="9"/>
      <c r="AS24" s="9"/>
      <c r="AT24" s="9"/>
      <c r="AU24" s="9"/>
      <c r="AV24" s="42"/>
      <c r="AW24" s="9"/>
      <c r="AX24" s="9"/>
      <c r="AY24" s="9"/>
      <c r="AZ24" s="99"/>
      <c r="BA24" s="59"/>
      <c r="BE24" s="100"/>
      <c r="BO24" s="101"/>
      <c r="BP24" s="92"/>
      <c r="BQ24" s="21"/>
      <c r="BR24" s="21"/>
      <c r="BS24" s="21"/>
      <c r="BT24" s="68"/>
      <c r="BU24" s="1">
        <v>437</v>
      </c>
    </row>
    <row r="25" spans="1:214" ht="20.25" customHeight="1" thickBot="1" x14ac:dyDescent="0.3">
      <c r="A25" s="1">
        <v>438</v>
      </c>
      <c r="E25" s="108"/>
      <c r="F25" s="109"/>
      <c r="G25" s="110">
        <f>SUM(G20:G24)</f>
        <v>12</v>
      </c>
      <c r="H25" s="110"/>
      <c r="I25" s="110">
        <f>SUM(I20:I24)</f>
        <v>12</v>
      </c>
      <c r="J25" s="110"/>
      <c r="K25" s="110">
        <f>SUM(K20:K24)</f>
        <v>12</v>
      </c>
      <c r="L25" s="110"/>
      <c r="M25" s="110">
        <f>SUM(M20:M24)</f>
        <v>12</v>
      </c>
      <c r="N25" s="110"/>
      <c r="O25" s="110">
        <f>SUM(O20:O24)</f>
        <v>12</v>
      </c>
      <c r="P25" s="110"/>
      <c r="Q25" s="110">
        <f>SUM(Q20:Q24)</f>
        <v>12</v>
      </c>
      <c r="R25" s="111">
        <f>AVERAGE(G25,I25,K25,M25,O25,Q25)</f>
        <v>12</v>
      </c>
      <c r="S25" s="10"/>
      <c r="T25" s="11"/>
      <c r="U25" s="94" t="s">
        <v>31</v>
      </c>
      <c r="V25" s="40"/>
      <c r="W25" s="42"/>
      <c r="X25" s="9"/>
      <c r="Y25" s="9"/>
      <c r="Z25" s="9"/>
      <c r="AA25" s="9"/>
      <c r="AB25" s="42"/>
      <c r="AC25" s="9"/>
      <c r="AD25" s="9"/>
      <c r="AE25" s="9"/>
      <c r="AF25" s="9"/>
      <c r="AG25" s="42"/>
      <c r="AH25" s="9"/>
      <c r="AI25" s="9"/>
      <c r="AJ25" s="9"/>
      <c r="AK25" s="9"/>
      <c r="AL25" s="9"/>
      <c r="AM25" s="9"/>
      <c r="AN25" s="9"/>
      <c r="AO25" s="9"/>
      <c r="AP25" s="9"/>
      <c r="AQ25" s="42"/>
      <c r="AR25" s="9"/>
      <c r="AS25" s="9"/>
      <c r="AT25" s="9"/>
      <c r="AU25" s="9"/>
      <c r="AV25" s="42"/>
      <c r="AW25" s="9"/>
      <c r="AX25" s="9"/>
      <c r="AY25" s="9"/>
      <c r="AZ25" s="99"/>
      <c r="BA25" s="59"/>
      <c r="BE25" s="100"/>
      <c r="BO25" s="101"/>
      <c r="BP25" s="92"/>
      <c r="BQ25" s="21"/>
      <c r="BR25" s="21"/>
      <c r="BS25" s="21"/>
      <c r="BT25" s="68"/>
      <c r="BU25" s="1">
        <v>438</v>
      </c>
    </row>
    <row r="26" spans="1:214" ht="20.25" customHeight="1" x14ac:dyDescent="0.25">
      <c r="A26" s="1">
        <v>439</v>
      </c>
      <c r="B26" s="22"/>
      <c r="C26" s="22"/>
      <c r="D26" s="22"/>
      <c r="E26" s="112"/>
      <c r="F26" s="113"/>
      <c r="G26" s="112"/>
      <c r="H26" s="114"/>
      <c r="I26" s="112"/>
      <c r="J26" s="114"/>
      <c r="K26" s="112"/>
      <c r="L26" s="114"/>
      <c r="M26" s="112"/>
      <c r="N26" s="114"/>
      <c r="O26" s="112"/>
      <c r="P26" s="114"/>
      <c r="Q26" s="112"/>
      <c r="R26" s="115"/>
      <c r="S26" s="10"/>
      <c r="T26" s="11"/>
      <c r="U26" s="94"/>
      <c r="V26" s="40"/>
      <c r="W26" s="42"/>
      <c r="X26" s="9"/>
      <c r="Y26" s="9"/>
      <c r="Z26" s="9"/>
      <c r="AA26" s="9"/>
      <c r="AB26" s="42"/>
      <c r="AC26" s="9"/>
      <c r="AD26" s="9"/>
      <c r="AE26" s="9"/>
      <c r="AF26" s="9"/>
      <c r="AG26" s="42"/>
      <c r="AH26" s="9"/>
      <c r="AI26" s="9"/>
      <c r="AJ26" s="9"/>
      <c r="AK26" s="9"/>
      <c r="AL26" s="9"/>
      <c r="AM26" s="9"/>
      <c r="AN26" s="9"/>
      <c r="AO26" s="9"/>
      <c r="AP26" s="9"/>
      <c r="AQ26" s="42"/>
      <c r="AR26" s="9"/>
      <c r="AS26" s="9"/>
      <c r="AT26" s="9"/>
      <c r="AU26" s="9"/>
      <c r="AV26" s="42"/>
      <c r="AW26" s="9"/>
      <c r="AX26" s="9"/>
      <c r="AY26" s="9"/>
      <c r="AZ26" s="99"/>
      <c r="BA26" s="59"/>
      <c r="BE26" s="100"/>
      <c r="BO26" s="101"/>
      <c r="BP26" s="92"/>
      <c r="BQ26" s="21"/>
      <c r="BR26" s="21"/>
      <c r="BS26" s="21"/>
      <c r="BT26" s="68"/>
      <c r="BU26" s="1">
        <v>439</v>
      </c>
    </row>
    <row r="27" spans="1:214" ht="20.25" customHeight="1" x14ac:dyDescent="0.3">
      <c r="A27" s="1">
        <v>440</v>
      </c>
      <c r="B27" s="22"/>
      <c r="C27" s="22"/>
      <c r="D27" s="22"/>
      <c r="E27" s="112"/>
      <c r="F27" s="113"/>
      <c r="G27" s="112"/>
      <c r="H27" s="114"/>
      <c r="I27" s="112"/>
      <c r="J27" s="114"/>
      <c r="K27" s="112"/>
      <c r="L27" s="114"/>
      <c r="M27" s="112"/>
      <c r="N27" s="114"/>
      <c r="O27" s="112"/>
      <c r="P27" s="114"/>
      <c r="Q27" s="112"/>
      <c r="R27" s="115"/>
      <c r="S27" s="10"/>
      <c r="T27" s="11"/>
      <c r="U27" s="94"/>
      <c r="V27" s="40"/>
      <c r="W27" s="42"/>
      <c r="X27" s="9"/>
      <c r="Y27" s="9"/>
      <c r="Z27" s="9"/>
      <c r="AA27" s="9"/>
      <c r="AB27" s="42"/>
      <c r="AC27" s="9"/>
      <c r="AD27" s="9"/>
      <c r="AE27" s="9"/>
      <c r="AF27" s="9"/>
      <c r="AG27" s="42"/>
      <c r="AH27" s="9"/>
      <c r="AI27" s="9"/>
      <c r="AJ27" s="9"/>
      <c r="AK27" s="9"/>
      <c r="AL27" s="9"/>
      <c r="AM27" s="9"/>
      <c r="AN27" s="9"/>
      <c r="AO27" s="9"/>
      <c r="AP27" s="9"/>
      <c r="AQ27" s="42"/>
      <c r="AR27" s="9"/>
      <c r="AS27" s="9"/>
      <c r="AT27" s="9"/>
      <c r="AU27" s="9"/>
      <c r="AV27" s="42"/>
      <c r="AW27" s="9"/>
      <c r="AX27" s="9"/>
      <c r="AY27" s="9"/>
      <c r="AZ27" s="99"/>
      <c r="BA27" s="59"/>
      <c r="BE27" s="100"/>
      <c r="BO27" s="101"/>
      <c r="BP27" s="92"/>
      <c r="BQ27" s="21"/>
      <c r="BR27" s="21"/>
      <c r="BS27" s="21"/>
      <c r="BT27" s="68"/>
      <c r="BU27" s="1">
        <v>440</v>
      </c>
    </row>
    <row r="28" spans="1:214" ht="20.25" customHeight="1" thickBot="1" x14ac:dyDescent="0.35">
      <c r="A28" s="1">
        <v>441</v>
      </c>
      <c r="B28" s="22"/>
      <c r="C28" s="22"/>
      <c r="D28" s="22"/>
      <c r="E28" s="112"/>
      <c r="F28" s="113"/>
      <c r="G28" s="112"/>
      <c r="H28" s="114"/>
      <c r="I28" s="112"/>
      <c r="J28" s="114"/>
      <c r="K28" s="112"/>
      <c r="L28" s="114"/>
      <c r="M28" s="112"/>
      <c r="N28" s="114"/>
      <c r="O28" s="112"/>
      <c r="P28" s="114"/>
      <c r="Q28" s="112"/>
      <c r="R28" s="115"/>
      <c r="S28" s="10"/>
      <c r="T28" s="11"/>
      <c r="U28" s="94"/>
      <c r="V28" s="40"/>
      <c r="W28" s="42"/>
      <c r="X28" s="9"/>
      <c r="Y28" s="9"/>
      <c r="Z28" s="9"/>
      <c r="AA28" s="9"/>
      <c r="AB28" s="42"/>
      <c r="AC28" s="9"/>
      <c r="AD28" s="9"/>
      <c r="AE28" s="9"/>
      <c r="AF28" s="9"/>
      <c r="AG28" s="42"/>
      <c r="AH28" s="9"/>
      <c r="AI28" s="9"/>
      <c r="AJ28" s="9"/>
      <c r="AK28" s="9"/>
      <c r="AL28" s="9"/>
      <c r="AM28" s="9"/>
      <c r="AN28" s="9"/>
      <c r="AO28" s="9"/>
      <c r="AP28" s="9"/>
      <c r="AQ28" s="42"/>
      <c r="AR28" s="9"/>
      <c r="AS28" s="9"/>
      <c r="AT28" s="9"/>
      <c r="AU28" s="9"/>
      <c r="AV28" s="42"/>
      <c r="AW28" s="9"/>
      <c r="AX28" s="9"/>
      <c r="AY28" s="9"/>
      <c r="AZ28" s="99"/>
      <c r="BA28" s="59"/>
      <c r="BE28" s="100"/>
      <c r="BO28" s="101"/>
      <c r="BP28" s="92"/>
      <c r="BQ28" s="21"/>
      <c r="BR28" s="21"/>
      <c r="BS28" s="21"/>
      <c r="BT28" s="68"/>
      <c r="BU28" s="1">
        <v>441</v>
      </c>
    </row>
    <row r="29" spans="1:214" ht="28.5" customHeight="1" thickBot="1" x14ac:dyDescent="0.45">
      <c r="A29" s="1">
        <v>442</v>
      </c>
      <c r="B29" s="817" t="s">
        <v>34</v>
      </c>
      <c r="C29" s="818"/>
      <c r="D29" s="818" t="s">
        <v>35</v>
      </c>
      <c r="E29" s="818"/>
      <c r="F29" s="818"/>
      <c r="G29" s="818"/>
      <c r="H29" s="818"/>
      <c r="I29" s="818"/>
      <c r="J29" s="818"/>
      <c r="K29" s="818"/>
      <c r="L29" s="818"/>
      <c r="M29" s="818"/>
      <c r="N29" s="818"/>
      <c r="O29" s="818"/>
      <c r="P29" s="818"/>
      <c r="Q29" s="818"/>
      <c r="R29" s="23" t="str">
        <f>$V2</f>
        <v>DEL 08 AL 14 ENERO 24</v>
      </c>
      <c r="S29" s="51"/>
      <c r="T29" s="11"/>
      <c r="U29" s="11"/>
      <c r="V29" s="52"/>
      <c r="W29" s="53"/>
      <c r="X29" s="53"/>
      <c r="Y29" s="53"/>
      <c r="Z29" s="54"/>
      <c r="AA29" s="55"/>
      <c r="AB29" s="53"/>
      <c r="AC29" s="53"/>
      <c r="AD29" s="53"/>
      <c r="AE29" s="54"/>
      <c r="AF29" s="56"/>
      <c r="AG29" s="53"/>
      <c r="AH29" s="53"/>
      <c r="AI29" s="53"/>
      <c r="AJ29" s="54"/>
      <c r="AK29" s="57"/>
      <c r="AL29" s="53"/>
      <c r="AM29" s="53"/>
      <c r="AN29" s="53"/>
      <c r="AO29" s="54"/>
      <c r="AP29" s="56"/>
      <c r="AQ29" s="53"/>
      <c r="AR29" s="53"/>
      <c r="AS29" s="53"/>
      <c r="AT29" s="54"/>
      <c r="AU29" s="56"/>
      <c r="AV29" s="53"/>
      <c r="AW29" s="53"/>
      <c r="AX29" s="53"/>
      <c r="AY29" s="54"/>
      <c r="AZ29" s="58"/>
      <c r="BA29" s="59"/>
      <c r="BG29" s="83"/>
      <c r="BO29" s="116"/>
      <c r="BP29" s="67"/>
      <c r="BQ29" s="21"/>
      <c r="BR29" s="74"/>
      <c r="BS29" s="74"/>
      <c r="BT29" s="68"/>
      <c r="BU29" s="1">
        <v>442</v>
      </c>
    </row>
    <row r="30" spans="1:214" ht="14.25" customHeight="1" thickBot="1" x14ac:dyDescent="0.35">
      <c r="A30" s="1">
        <v>443</v>
      </c>
      <c r="B30" s="117"/>
      <c r="C30" s="118"/>
      <c r="D30" s="119"/>
      <c r="E30" s="120" t="s">
        <v>8</v>
      </c>
      <c r="F30" s="121"/>
      <c r="G30" s="120" t="s">
        <v>9</v>
      </c>
      <c r="H30" s="122"/>
      <c r="I30" s="120" t="s">
        <v>9</v>
      </c>
      <c r="J30" s="122"/>
      <c r="K30" s="120" t="s">
        <v>10</v>
      </c>
      <c r="L30" s="122"/>
      <c r="M30" s="120" t="s">
        <v>11</v>
      </c>
      <c r="N30" s="122"/>
      <c r="O30" s="120" t="s">
        <v>12</v>
      </c>
      <c r="P30" s="120"/>
      <c r="Q30" s="122"/>
      <c r="R30" s="123"/>
      <c r="S30" s="51"/>
      <c r="T30" s="11"/>
      <c r="U30" s="11"/>
      <c r="V30" s="52">
        <v>3</v>
      </c>
      <c r="W30" s="53"/>
      <c r="X30" s="53"/>
      <c r="Y30" s="53"/>
      <c r="Z30" s="54"/>
      <c r="AA30" s="55"/>
      <c r="AB30" s="53"/>
      <c r="AC30" s="53"/>
      <c r="AD30" s="53"/>
      <c r="AE30" s="54"/>
      <c r="AF30" s="56"/>
      <c r="AG30" s="53"/>
      <c r="AH30" s="53"/>
      <c r="AI30" s="53"/>
      <c r="AJ30" s="54"/>
      <c r="AK30" s="57"/>
      <c r="AL30" s="53"/>
      <c r="AM30" s="53"/>
      <c r="AN30" s="53"/>
      <c r="AO30" s="54"/>
      <c r="AP30" s="56"/>
      <c r="AQ30" s="53"/>
      <c r="AR30" s="53"/>
      <c r="AS30" s="53"/>
      <c r="AT30" s="54"/>
      <c r="AU30" s="56"/>
      <c r="AV30" s="53"/>
      <c r="AW30" s="53"/>
      <c r="AX30" s="53"/>
      <c r="AY30" s="54"/>
      <c r="AZ30" s="58"/>
      <c r="BA30" s="59"/>
      <c r="BB30" s="124"/>
      <c r="BC30" s="124"/>
      <c r="BD30" s="124"/>
      <c r="BE30" s="124"/>
      <c r="BF30" s="124"/>
      <c r="BG30" s="124"/>
      <c r="BH30" s="124"/>
      <c r="BJ30" s="19"/>
      <c r="BK30" s="19"/>
      <c r="BL30" s="19"/>
      <c r="BM30" s="19"/>
      <c r="BN30" s="124"/>
      <c r="BO30" s="125"/>
      <c r="BP30" s="126"/>
      <c r="BQ30" s="21"/>
      <c r="BR30" s="68"/>
      <c r="BS30" s="68"/>
      <c r="BT30" s="68"/>
      <c r="BU30" s="1">
        <v>443</v>
      </c>
    </row>
    <row r="31" spans="1:214" ht="15.75" customHeight="1" thickBot="1" x14ac:dyDescent="0.35">
      <c r="A31" s="1">
        <v>444</v>
      </c>
      <c r="B31" s="275">
        <v>9</v>
      </c>
      <c r="C31" s="34">
        <f t="shared" ref="C31:C40" si="37">+C30+1</f>
        <v>1</v>
      </c>
      <c r="D31" s="274" t="s">
        <v>36</v>
      </c>
      <c r="E31" s="233">
        <v>1</v>
      </c>
      <c r="F31" s="233"/>
      <c r="G31" s="233">
        <v>1</v>
      </c>
      <c r="H31" s="233"/>
      <c r="I31" s="233">
        <v>1</v>
      </c>
      <c r="J31" s="233"/>
      <c r="K31" s="233">
        <v>1</v>
      </c>
      <c r="L31" s="233"/>
      <c r="M31" s="233">
        <v>1</v>
      </c>
      <c r="N31" s="233"/>
      <c r="O31" s="233">
        <v>1</v>
      </c>
      <c r="P31" s="233"/>
      <c r="Q31" s="49">
        <f>IF((E31+G31+I31+K31+M31+O31)=6,1,0)</f>
        <v>1</v>
      </c>
      <c r="R31" s="339">
        <v>3000</v>
      </c>
      <c r="S31" s="51">
        <f t="shared" ref="S31:S43" si="38">+BH31</f>
        <v>0</v>
      </c>
      <c r="T31" s="11">
        <f t="shared" ref="T31:T43" si="39">+BA31</f>
        <v>3000.0000000000005</v>
      </c>
      <c r="U31" s="52">
        <f t="shared" ref="U31:U43" si="40">+BP31</f>
        <v>0</v>
      </c>
      <c r="V31" s="52">
        <f t="shared" ref="V31:V43" si="41">+BG31</f>
        <v>0</v>
      </c>
      <c r="W31" s="53">
        <f t="shared" ref="W31:W43" si="42">(R31-86.16)/6*E31</f>
        <v>485.64000000000004</v>
      </c>
      <c r="X31" s="53">
        <f t="shared" ref="X31:X43" si="43">$Y$2*E31*Q31</f>
        <v>7.18</v>
      </c>
      <c r="Y31" s="53">
        <f t="shared" ref="Y31:Y43" si="44">$Y$2*E31*Q31</f>
        <v>7.18</v>
      </c>
      <c r="Z31" s="54">
        <f t="shared" ref="Z31:Z43" si="45">Y31+X31+W31</f>
        <v>500.00000000000006</v>
      </c>
      <c r="AA31" s="55"/>
      <c r="AB31" s="53">
        <f t="shared" ref="AB31:AB43" si="46">(R31-86.16)/6*G31</f>
        <v>485.64000000000004</v>
      </c>
      <c r="AC31" s="53">
        <f t="shared" ref="AC31:AC43" si="47">$Y$2*G31*Q31</f>
        <v>7.18</v>
      </c>
      <c r="AD31" s="53">
        <f t="shared" ref="AD31:AD43" si="48">$Y$2*G31*Q31</f>
        <v>7.18</v>
      </c>
      <c r="AE31" s="54">
        <f t="shared" ref="AE31:AE43" si="49">AD31+AC31+AB31</f>
        <v>500.00000000000006</v>
      </c>
      <c r="AF31" s="56"/>
      <c r="AG31" s="53">
        <f t="shared" ref="AG31:AG43" si="50">(R31-86.16)/6*I31</f>
        <v>485.64000000000004</v>
      </c>
      <c r="AH31" s="53">
        <f t="shared" ref="AH31:AH43" si="51">$Y$2*I31*Q31</f>
        <v>7.18</v>
      </c>
      <c r="AI31" s="53">
        <f t="shared" ref="AI31:AI43" si="52">$Y$2*I31*Q31</f>
        <v>7.18</v>
      </c>
      <c r="AJ31" s="54">
        <f t="shared" ref="AJ31:AJ43" si="53">AI31+AH31+AG31</f>
        <v>500.00000000000006</v>
      </c>
      <c r="AK31" s="57"/>
      <c r="AL31" s="53">
        <f t="shared" ref="AL31:AL43" si="54">(R31-86.16)/6*K31</f>
        <v>485.64000000000004</v>
      </c>
      <c r="AM31" s="53">
        <f t="shared" ref="AM31:AM43" si="55">$Y$2*K31*Q31</f>
        <v>7.18</v>
      </c>
      <c r="AN31" s="53">
        <f t="shared" ref="AN31:AN43" si="56">$Y$2*K31*Q31</f>
        <v>7.18</v>
      </c>
      <c r="AO31" s="54">
        <f t="shared" ref="AO31:AO43" si="57">AN31+AM31+AL31</f>
        <v>500.00000000000006</v>
      </c>
      <c r="AP31" s="56"/>
      <c r="AQ31" s="53">
        <f t="shared" ref="AQ31:AQ43" si="58">(R31-86.16)/6*M31</f>
        <v>485.64000000000004</v>
      </c>
      <c r="AR31" s="53">
        <f t="shared" ref="AR31:AR43" si="59">$Y$2*M31*Q31</f>
        <v>7.18</v>
      </c>
      <c r="AS31" s="53">
        <f t="shared" ref="AS31:AS43" si="60">$Y$2*M31*Q31</f>
        <v>7.18</v>
      </c>
      <c r="AT31" s="54">
        <f t="shared" ref="AT31:AT43" si="61">AS31+AR31+AQ31</f>
        <v>500.00000000000006</v>
      </c>
      <c r="AU31" s="56"/>
      <c r="AV31" s="53">
        <f t="shared" ref="AV31:AV35" si="62">(R31-86.16)/6*O31</f>
        <v>485.64000000000004</v>
      </c>
      <c r="AW31" s="53">
        <f t="shared" ref="AW31:AW43" si="63">$Y$2*O31*Q31</f>
        <v>7.18</v>
      </c>
      <c r="AX31" s="53">
        <f t="shared" ref="AX31:AX43" si="64">$Y$2*O31*Q31</f>
        <v>7.18</v>
      </c>
      <c r="AY31" s="54">
        <f t="shared" ref="AY31:AY43" si="65">AX31+AW31+AV31</f>
        <v>500.00000000000006</v>
      </c>
      <c r="AZ31" s="58">
        <f t="shared" ref="AZ31:AZ43" si="66">+AY31+AT31+AO31++AJ31+AE31+Z31</f>
        <v>3000.0000000000005</v>
      </c>
      <c r="BA31" s="59">
        <f>((AZ31-BB31-BC31-BD31-BE31-BF31)+BI31+BJ31+BK31+BL31+BM31+BN31+BO31)</f>
        <v>3000.0000000000005</v>
      </c>
      <c r="BB31" s="60"/>
      <c r="BC31" s="60"/>
      <c r="BD31" s="60"/>
      <c r="BE31" s="60"/>
      <c r="BF31" s="60"/>
      <c r="BG31" s="61"/>
      <c r="BH31" s="62"/>
      <c r="BI31" s="63"/>
      <c r="BJ31" s="63"/>
      <c r="BK31" s="63"/>
      <c r="BL31" s="63"/>
      <c r="BM31" s="65"/>
      <c r="BN31" s="65"/>
      <c r="BO31" s="66"/>
      <c r="BP31" s="67"/>
      <c r="BQ31" s="21"/>
      <c r="BR31" s="48"/>
      <c r="BS31" s="48"/>
      <c r="BT31" s="68"/>
      <c r="BU31" s="1">
        <v>444</v>
      </c>
      <c r="GG31" s="69"/>
      <c r="GH31" s="69"/>
      <c r="GI31" s="69"/>
      <c r="GJ31" s="69"/>
      <c r="GK31" s="69"/>
      <c r="GL31" s="69"/>
      <c r="GM31" s="69"/>
      <c r="GN31" s="69"/>
      <c r="GO31" s="69"/>
      <c r="GP31" s="69"/>
      <c r="GQ31" s="69"/>
      <c r="GR31" s="69"/>
      <c r="GS31" s="69"/>
      <c r="GT31" s="69"/>
      <c r="GU31" s="69"/>
      <c r="GV31" s="69"/>
      <c r="GW31" s="69"/>
      <c r="GX31" s="69"/>
      <c r="GY31" s="69"/>
      <c r="GZ31" s="69"/>
      <c r="HA31" s="69"/>
      <c r="HB31" s="69"/>
      <c r="HC31" s="69"/>
      <c r="HD31" s="69"/>
      <c r="HE31" s="69"/>
      <c r="HF31" s="69"/>
    </row>
    <row r="32" spans="1:214" s="69" customFormat="1" ht="15.75" customHeight="1" thickBot="1" x14ac:dyDescent="0.35">
      <c r="A32" s="1">
        <v>445</v>
      </c>
      <c r="B32" s="374">
        <v>12</v>
      </c>
      <c r="C32" s="34">
        <f t="shared" si="37"/>
        <v>2</v>
      </c>
      <c r="D32" s="376" t="s">
        <v>37</v>
      </c>
      <c r="E32" s="233">
        <v>1</v>
      </c>
      <c r="F32" s="233"/>
      <c r="G32" s="233">
        <v>1</v>
      </c>
      <c r="H32" s="233"/>
      <c r="I32" s="233">
        <v>1</v>
      </c>
      <c r="J32" s="233"/>
      <c r="K32" s="233">
        <v>1</v>
      </c>
      <c r="L32" s="233"/>
      <c r="M32" s="233">
        <v>1</v>
      </c>
      <c r="N32" s="233"/>
      <c r="O32" s="233">
        <v>1</v>
      </c>
      <c r="P32" s="233"/>
      <c r="Q32" s="49">
        <f t="shared" ref="Q32:Q42" si="67">IF((E32+G32+I32+K32+M32+O32)=6,1,0)</f>
        <v>1</v>
      </c>
      <c r="R32" s="50">
        <f t="shared" ref="R32:R42" si="68">IF(Q32=1,1550,850)</f>
        <v>1550</v>
      </c>
      <c r="S32" s="51">
        <f t="shared" si="38"/>
        <v>0</v>
      </c>
      <c r="T32" s="11">
        <f t="shared" si="39"/>
        <v>2100</v>
      </c>
      <c r="U32" s="52">
        <f t="shared" si="40"/>
        <v>0</v>
      </c>
      <c r="V32" s="52" t="str">
        <f t="shared" si="41"/>
        <v>BONO+B ASIS</v>
      </c>
      <c r="W32" s="53">
        <f t="shared" si="42"/>
        <v>243.97333333333333</v>
      </c>
      <c r="X32" s="53">
        <f t="shared" si="43"/>
        <v>7.18</v>
      </c>
      <c r="Y32" s="53">
        <f t="shared" si="44"/>
        <v>7.18</v>
      </c>
      <c r="Z32" s="54">
        <f t="shared" si="45"/>
        <v>258.33333333333331</v>
      </c>
      <c r="AA32" s="55"/>
      <c r="AB32" s="53">
        <f t="shared" si="46"/>
        <v>243.97333333333333</v>
      </c>
      <c r="AC32" s="53">
        <f t="shared" si="47"/>
        <v>7.18</v>
      </c>
      <c r="AD32" s="53">
        <f t="shared" si="48"/>
        <v>7.18</v>
      </c>
      <c r="AE32" s="54">
        <f t="shared" si="49"/>
        <v>258.33333333333331</v>
      </c>
      <c r="AF32" s="56"/>
      <c r="AG32" s="53">
        <f t="shared" si="50"/>
        <v>243.97333333333333</v>
      </c>
      <c r="AH32" s="53">
        <f t="shared" si="51"/>
        <v>7.18</v>
      </c>
      <c r="AI32" s="53">
        <f t="shared" si="52"/>
        <v>7.18</v>
      </c>
      <c r="AJ32" s="54">
        <f t="shared" si="53"/>
        <v>258.33333333333331</v>
      </c>
      <c r="AK32" s="57"/>
      <c r="AL32" s="53">
        <f t="shared" si="54"/>
        <v>243.97333333333333</v>
      </c>
      <c r="AM32" s="53">
        <f t="shared" si="55"/>
        <v>7.18</v>
      </c>
      <c r="AN32" s="53">
        <f t="shared" si="56"/>
        <v>7.18</v>
      </c>
      <c r="AO32" s="54">
        <f t="shared" si="57"/>
        <v>258.33333333333331</v>
      </c>
      <c r="AP32" s="56"/>
      <c r="AQ32" s="53">
        <f t="shared" si="58"/>
        <v>243.97333333333333</v>
      </c>
      <c r="AR32" s="53">
        <f t="shared" si="59"/>
        <v>7.18</v>
      </c>
      <c r="AS32" s="53">
        <f t="shared" si="60"/>
        <v>7.18</v>
      </c>
      <c r="AT32" s="54">
        <f t="shared" si="61"/>
        <v>258.33333333333331</v>
      </c>
      <c r="AU32" s="56"/>
      <c r="AV32" s="53">
        <f t="shared" si="62"/>
        <v>243.97333333333333</v>
      </c>
      <c r="AW32" s="53">
        <f t="shared" si="63"/>
        <v>7.18</v>
      </c>
      <c r="AX32" s="53">
        <f t="shared" si="64"/>
        <v>7.18</v>
      </c>
      <c r="AY32" s="54">
        <f t="shared" si="65"/>
        <v>258.33333333333331</v>
      </c>
      <c r="AZ32" s="58">
        <f t="shared" si="66"/>
        <v>1549.9999999999998</v>
      </c>
      <c r="BA32" s="59">
        <f t="shared" ref="BA32:BA42" si="69">((AZ32-BB32-BC32-BD32-BE32-BF32)+BI32+BJ32+BK32+BL32+BM32+BN32+BO32)</f>
        <v>2100</v>
      </c>
      <c r="BB32" s="60"/>
      <c r="BC32" s="60"/>
      <c r="BD32" s="60"/>
      <c r="BE32" s="60"/>
      <c r="BF32" s="60"/>
      <c r="BG32" s="61" t="s">
        <v>133</v>
      </c>
      <c r="BH32" s="62"/>
      <c r="BI32" s="63">
        <v>300</v>
      </c>
      <c r="BJ32" s="63">
        <v>250</v>
      </c>
      <c r="BK32" s="64"/>
      <c r="BL32" s="63"/>
      <c r="BM32" s="65"/>
      <c r="BN32" s="65"/>
      <c r="BO32" s="66"/>
      <c r="BP32" s="67"/>
      <c r="BQ32" s="21"/>
      <c r="BR32" s="48"/>
      <c r="BS32" s="48"/>
      <c r="BT32" s="68"/>
      <c r="BU32" s="1">
        <v>445</v>
      </c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</row>
    <row r="33" spans="1:214" s="69" customFormat="1" ht="15.75" customHeight="1" thickBot="1" x14ac:dyDescent="0.35">
      <c r="A33" s="1"/>
      <c r="B33" s="374">
        <v>168</v>
      </c>
      <c r="C33" s="34">
        <f t="shared" si="37"/>
        <v>3</v>
      </c>
      <c r="D33" s="376" t="s">
        <v>156</v>
      </c>
      <c r="E33" s="233">
        <v>1</v>
      </c>
      <c r="F33" s="233"/>
      <c r="G33" s="233">
        <v>1</v>
      </c>
      <c r="H33" s="233"/>
      <c r="I33" s="233">
        <v>1</v>
      </c>
      <c r="J33" s="233"/>
      <c r="K33" s="233">
        <v>1</v>
      </c>
      <c r="L33" s="233"/>
      <c r="M33" s="233">
        <v>1</v>
      </c>
      <c r="N33" s="233"/>
      <c r="O33" s="233">
        <v>1</v>
      </c>
      <c r="P33" s="233"/>
      <c r="Q33" s="49">
        <f t="shared" si="67"/>
        <v>1</v>
      </c>
      <c r="R33" s="50">
        <f t="shared" si="68"/>
        <v>1550</v>
      </c>
      <c r="S33" s="51">
        <f t="shared" si="38"/>
        <v>0</v>
      </c>
      <c r="T33" s="11">
        <f t="shared" si="39"/>
        <v>1799.9999999999998</v>
      </c>
      <c r="U33" s="52">
        <f t="shared" si="40"/>
        <v>0</v>
      </c>
      <c r="V33" s="52" t="str">
        <f t="shared" si="41"/>
        <v>B ASIS</v>
      </c>
      <c r="W33" s="53">
        <f t="shared" si="42"/>
        <v>243.97333333333333</v>
      </c>
      <c r="X33" s="53">
        <f t="shared" si="43"/>
        <v>7.18</v>
      </c>
      <c r="Y33" s="53">
        <f t="shared" si="44"/>
        <v>7.18</v>
      </c>
      <c r="Z33" s="54">
        <f t="shared" si="45"/>
        <v>258.33333333333331</v>
      </c>
      <c r="AA33" s="55"/>
      <c r="AB33" s="53">
        <f t="shared" si="46"/>
        <v>243.97333333333333</v>
      </c>
      <c r="AC33" s="53">
        <f t="shared" si="47"/>
        <v>7.18</v>
      </c>
      <c r="AD33" s="53">
        <f t="shared" si="48"/>
        <v>7.18</v>
      </c>
      <c r="AE33" s="54">
        <f t="shared" si="49"/>
        <v>258.33333333333331</v>
      </c>
      <c r="AF33" s="56"/>
      <c r="AG33" s="53">
        <f t="shared" si="50"/>
        <v>243.97333333333333</v>
      </c>
      <c r="AH33" s="53">
        <f t="shared" si="51"/>
        <v>7.18</v>
      </c>
      <c r="AI33" s="53">
        <f t="shared" si="52"/>
        <v>7.18</v>
      </c>
      <c r="AJ33" s="54">
        <f t="shared" si="53"/>
        <v>258.33333333333331</v>
      </c>
      <c r="AK33" s="57"/>
      <c r="AL33" s="53">
        <f t="shared" si="54"/>
        <v>243.97333333333333</v>
      </c>
      <c r="AM33" s="53">
        <f t="shared" si="55"/>
        <v>7.18</v>
      </c>
      <c r="AN33" s="53">
        <f t="shared" si="56"/>
        <v>7.18</v>
      </c>
      <c r="AO33" s="54">
        <f t="shared" si="57"/>
        <v>258.33333333333331</v>
      </c>
      <c r="AP33" s="56"/>
      <c r="AQ33" s="53">
        <f t="shared" si="58"/>
        <v>243.97333333333333</v>
      </c>
      <c r="AR33" s="53">
        <f t="shared" si="59"/>
        <v>7.18</v>
      </c>
      <c r="AS33" s="53">
        <f t="shared" si="60"/>
        <v>7.18</v>
      </c>
      <c r="AT33" s="54">
        <f t="shared" si="61"/>
        <v>258.33333333333331</v>
      </c>
      <c r="AU33" s="56"/>
      <c r="AV33" s="53">
        <f t="shared" si="62"/>
        <v>243.97333333333333</v>
      </c>
      <c r="AW33" s="53">
        <f t="shared" si="63"/>
        <v>7.18</v>
      </c>
      <c r="AX33" s="53">
        <f t="shared" si="64"/>
        <v>7.18</v>
      </c>
      <c r="AY33" s="54">
        <f t="shared" si="65"/>
        <v>258.33333333333331</v>
      </c>
      <c r="AZ33" s="58">
        <f t="shared" si="66"/>
        <v>1549.9999999999998</v>
      </c>
      <c r="BA33" s="59">
        <f t="shared" si="69"/>
        <v>1799.9999999999998</v>
      </c>
      <c r="BB33" s="60"/>
      <c r="BC33" s="60"/>
      <c r="BD33" s="60"/>
      <c r="BE33" s="60"/>
      <c r="BF33" s="60"/>
      <c r="BG33" s="61" t="s">
        <v>174</v>
      </c>
      <c r="BH33" s="62"/>
      <c r="BI33" s="63">
        <v>100</v>
      </c>
      <c r="BJ33" s="63">
        <v>150</v>
      </c>
      <c r="BK33" s="64"/>
      <c r="BL33" s="63"/>
      <c r="BM33" s="65"/>
      <c r="BN33" s="65"/>
      <c r="BO33" s="66"/>
      <c r="BP33" s="67"/>
      <c r="BQ33" s="21"/>
      <c r="BR33" s="48"/>
      <c r="BS33" s="48"/>
      <c r="BT33" s="68"/>
      <c r="BU33" s="1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</row>
    <row r="34" spans="1:214" ht="15.75" customHeight="1" thickBot="1" x14ac:dyDescent="0.35">
      <c r="A34" s="1">
        <v>445</v>
      </c>
      <c r="B34" s="374">
        <v>16</v>
      </c>
      <c r="C34" s="34">
        <f t="shared" si="37"/>
        <v>4</v>
      </c>
      <c r="D34" s="376" t="s">
        <v>38</v>
      </c>
      <c r="E34" s="347">
        <v>0</v>
      </c>
      <c r="F34" s="347" t="s">
        <v>18</v>
      </c>
      <c r="G34" s="347">
        <v>0</v>
      </c>
      <c r="H34" s="347" t="s">
        <v>18</v>
      </c>
      <c r="I34" s="347">
        <v>0</v>
      </c>
      <c r="J34" s="347" t="s">
        <v>18</v>
      </c>
      <c r="K34" s="347">
        <v>0</v>
      </c>
      <c r="L34" s="347" t="s">
        <v>18</v>
      </c>
      <c r="M34" s="347">
        <v>0</v>
      </c>
      <c r="N34" s="347" t="s">
        <v>18</v>
      </c>
      <c r="O34" s="347">
        <v>0</v>
      </c>
      <c r="P34" s="347" t="s">
        <v>18</v>
      </c>
      <c r="Q34" s="49">
        <f t="shared" si="67"/>
        <v>0</v>
      </c>
      <c r="R34" s="50">
        <f t="shared" si="68"/>
        <v>850</v>
      </c>
      <c r="S34" s="51">
        <f t="shared" si="38"/>
        <v>0</v>
      </c>
      <c r="T34" s="11">
        <f t="shared" si="39"/>
        <v>0</v>
      </c>
      <c r="U34" s="52">
        <f t="shared" si="40"/>
        <v>0</v>
      </c>
      <c r="V34" s="52">
        <f t="shared" si="41"/>
        <v>0</v>
      </c>
      <c r="W34" s="53">
        <f t="shared" si="42"/>
        <v>0</v>
      </c>
      <c r="X34" s="53">
        <f>$Y$2*E34*Q34</f>
        <v>0</v>
      </c>
      <c r="Y34" s="53">
        <f t="shared" si="44"/>
        <v>0</v>
      </c>
      <c r="Z34" s="54">
        <f t="shared" si="45"/>
        <v>0</v>
      </c>
      <c r="AA34" s="55"/>
      <c r="AB34" s="53">
        <f t="shared" si="46"/>
        <v>0</v>
      </c>
      <c r="AC34" s="53">
        <f t="shared" si="47"/>
        <v>0</v>
      </c>
      <c r="AD34" s="53">
        <f t="shared" si="48"/>
        <v>0</v>
      </c>
      <c r="AE34" s="54">
        <f t="shared" si="49"/>
        <v>0</v>
      </c>
      <c r="AF34" s="56"/>
      <c r="AG34" s="53">
        <f t="shared" si="50"/>
        <v>0</v>
      </c>
      <c r="AH34" s="53">
        <f t="shared" si="51"/>
        <v>0</v>
      </c>
      <c r="AI34" s="53">
        <f t="shared" si="52"/>
        <v>0</v>
      </c>
      <c r="AJ34" s="54">
        <f t="shared" si="53"/>
        <v>0</v>
      </c>
      <c r="AK34" s="57"/>
      <c r="AL34" s="53">
        <f t="shared" si="54"/>
        <v>0</v>
      </c>
      <c r="AM34" s="53">
        <f t="shared" si="55"/>
        <v>0</v>
      </c>
      <c r="AN34" s="53">
        <f t="shared" si="56"/>
        <v>0</v>
      </c>
      <c r="AO34" s="54">
        <f t="shared" si="57"/>
        <v>0</v>
      </c>
      <c r="AP34" s="56"/>
      <c r="AQ34" s="53">
        <f t="shared" si="58"/>
        <v>0</v>
      </c>
      <c r="AR34" s="53">
        <f t="shared" si="59"/>
        <v>0</v>
      </c>
      <c r="AS34" s="53">
        <f t="shared" si="60"/>
        <v>0</v>
      </c>
      <c r="AT34" s="54">
        <f t="shared" si="61"/>
        <v>0</v>
      </c>
      <c r="AU34" s="56"/>
      <c r="AV34" s="53">
        <f t="shared" si="62"/>
        <v>0</v>
      </c>
      <c r="AW34" s="53">
        <f t="shared" si="63"/>
        <v>0</v>
      </c>
      <c r="AX34" s="53">
        <f t="shared" si="64"/>
        <v>0</v>
      </c>
      <c r="AY34" s="54">
        <f t="shared" si="65"/>
        <v>0</v>
      </c>
      <c r="AZ34" s="58">
        <f t="shared" si="66"/>
        <v>0</v>
      </c>
      <c r="BA34" s="59">
        <f t="shared" si="69"/>
        <v>0</v>
      </c>
      <c r="BB34" s="60"/>
      <c r="BC34" s="60"/>
      <c r="BD34" s="60"/>
      <c r="BE34" s="60"/>
      <c r="BF34" s="60"/>
      <c r="BG34" s="61"/>
      <c r="BH34" s="62"/>
      <c r="BI34" s="63"/>
      <c r="BJ34" s="63"/>
      <c r="BK34" s="64"/>
      <c r="BL34" s="63"/>
      <c r="BM34" s="65"/>
      <c r="BN34" s="65"/>
      <c r="BO34" s="66"/>
      <c r="BP34" s="67"/>
      <c r="BQ34" s="21"/>
      <c r="BR34" s="48"/>
      <c r="BS34" s="48"/>
      <c r="BT34" s="68"/>
      <c r="BU34" s="1">
        <v>445</v>
      </c>
      <c r="GG34" s="69"/>
      <c r="GH34" s="69"/>
      <c r="GI34" s="69"/>
      <c r="GJ34" s="69"/>
      <c r="GK34" s="69"/>
      <c r="GL34" s="69"/>
      <c r="GM34" s="69"/>
      <c r="GN34" s="69"/>
      <c r="GO34" s="69"/>
      <c r="GP34" s="69"/>
      <c r="GQ34" s="69"/>
      <c r="GR34" s="69"/>
      <c r="GS34" s="69"/>
      <c r="GT34" s="69"/>
      <c r="GU34" s="69"/>
      <c r="GV34" s="69"/>
      <c r="GW34" s="69"/>
      <c r="GX34" s="69"/>
      <c r="GY34" s="69"/>
      <c r="GZ34" s="69"/>
      <c r="HA34" s="69"/>
      <c r="HB34" s="69"/>
      <c r="HC34" s="69"/>
      <c r="HD34" s="69"/>
      <c r="HE34" s="69"/>
      <c r="HF34" s="69"/>
    </row>
    <row r="35" spans="1:214" ht="15.75" customHeight="1" thickBot="1" x14ac:dyDescent="0.35">
      <c r="A35" s="1"/>
      <c r="B35" s="374">
        <v>171</v>
      </c>
      <c r="C35" s="34">
        <f t="shared" si="37"/>
        <v>5</v>
      </c>
      <c r="D35" s="376" t="s">
        <v>155</v>
      </c>
      <c r="E35" s="233">
        <v>1</v>
      </c>
      <c r="F35" s="233"/>
      <c r="G35" s="233">
        <v>1</v>
      </c>
      <c r="H35" s="233"/>
      <c r="I35" s="233">
        <v>1</v>
      </c>
      <c r="J35" s="233"/>
      <c r="K35" s="233">
        <v>1</v>
      </c>
      <c r="L35" s="233"/>
      <c r="M35" s="233">
        <v>1</v>
      </c>
      <c r="N35" s="233"/>
      <c r="O35" s="364">
        <v>0</v>
      </c>
      <c r="P35" s="364" t="s">
        <v>129</v>
      </c>
      <c r="Q35" s="49">
        <f t="shared" si="67"/>
        <v>0</v>
      </c>
      <c r="R35" s="50">
        <f t="shared" si="68"/>
        <v>850</v>
      </c>
      <c r="S35" s="51">
        <f t="shared" si="38"/>
        <v>0</v>
      </c>
      <c r="T35" s="11">
        <f>+BA35</f>
        <v>966.6633333333333</v>
      </c>
      <c r="U35" s="52">
        <f t="shared" si="40"/>
        <v>0</v>
      </c>
      <c r="V35" s="52">
        <f t="shared" si="41"/>
        <v>0</v>
      </c>
      <c r="W35" s="53">
        <f t="shared" si="42"/>
        <v>127.30666666666667</v>
      </c>
      <c r="X35" s="53">
        <f t="shared" si="43"/>
        <v>0</v>
      </c>
      <c r="Y35" s="53">
        <f t="shared" si="44"/>
        <v>0</v>
      </c>
      <c r="Z35" s="54">
        <f t="shared" si="45"/>
        <v>127.30666666666667</v>
      </c>
      <c r="AA35" s="55"/>
      <c r="AB35" s="53">
        <f t="shared" si="46"/>
        <v>127.30666666666667</v>
      </c>
      <c r="AC35" s="53">
        <f t="shared" si="47"/>
        <v>0</v>
      </c>
      <c r="AD35" s="53">
        <f t="shared" si="48"/>
        <v>0</v>
      </c>
      <c r="AE35" s="54">
        <f t="shared" si="49"/>
        <v>127.30666666666667</v>
      </c>
      <c r="AF35" s="56"/>
      <c r="AG35" s="53">
        <f t="shared" si="50"/>
        <v>127.30666666666667</v>
      </c>
      <c r="AH35" s="53">
        <f t="shared" si="51"/>
        <v>0</v>
      </c>
      <c r="AI35" s="53">
        <f t="shared" si="52"/>
        <v>0</v>
      </c>
      <c r="AJ35" s="54">
        <f t="shared" si="53"/>
        <v>127.30666666666667</v>
      </c>
      <c r="AK35" s="57"/>
      <c r="AL35" s="53">
        <f t="shared" si="54"/>
        <v>127.30666666666667</v>
      </c>
      <c r="AM35" s="53">
        <f t="shared" si="55"/>
        <v>0</v>
      </c>
      <c r="AN35" s="53">
        <f t="shared" si="56"/>
        <v>0</v>
      </c>
      <c r="AO35" s="54">
        <f t="shared" si="57"/>
        <v>127.30666666666667</v>
      </c>
      <c r="AP35" s="56"/>
      <c r="AQ35" s="53">
        <f t="shared" si="58"/>
        <v>127.30666666666667</v>
      </c>
      <c r="AR35" s="53">
        <f t="shared" si="59"/>
        <v>0</v>
      </c>
      <c r="AS35" s="53">
        <f t="shared" si="60"/>
        <v>0</v>
      </c>
      <c r="AT35" s="54">
        <f t="shared" si="61"/>
        <v>127.30666666666667</v>
      </c>
      <c r="AU35" s="56"/>
      <c r="AV35" s="53">
        <f t="shared" si="62"/>
        <v>0</v>
      </c>
      <c r="AW35" s="53">
        <f t="shared" si="63"/>
        <v>0</v>
      </c>
      <c r="AX35" s="53">
        <f t="shared" si="64"/>
        <v>0</v>
      </c>
      <c r="AY35" s="54">
        <f t="shared" si="65"/>
        <v>0</v>
      </c>
      <c r="AZ35" s="58">
        <f>+AY35+AT35+AO35++AJ35+AE35+Z35</f>
        <v>636.5333333333333</v>
      </c>
      <c r="BA35" s="59">
        <f>((AZ35-BB35-BC35-BD35-BE35-BF35)+BI35+BJ35+BK35+BL35+BM35+BN35+BO35)</f>
        <v>966.6633333333333</v>
      </c>
      <c r="BB35" s="60"/>
      <c r="BC35" s="60"/>
      <c r="BD35" s="60"/>
      <c r="BE35" s="60"/>
      <c r="BF35" s="60"/>
      <c r="BG35" s="61"/>
      <c r="BH35" s="62"/>
      <c r="BI35" s="63"/>
      <c r="BJ35" s="63"/>
      <c r="BK35" s="64"/>
      <c r="BL35" s="63">
        <v>330.13</v>
      </c>
      <c r="BM35" s="65"/>
      <c r="BN35" s="65"/>
      <c r="BO35" s="66"/>
      <c r="BP35" s="67"/>
      <c r="BQ35" s="21"/>
      <c r="BR35" s="48"/>
      <c r="BS35" s="48"/>
      <c r="BT35" s="68"/>
      <c r="BU35" s="1"/>
      <c r="GG35" s="69"/>
      <c r="GH35" s="69"/>
      <c r="GI35" s="69"/>
      <c r="GJ35" s="69"/>
      <c r="GK35" s="69"/>
      <c r="GL35" s="69"/>
      <c r="GM35" s="69"/>
      <c r="GN35" s="69"/>
      <c r="GO35" s="69"/>
      <c r="GP35" s="69"/>
      <c r="GQ35" s="69"/>
      <c r="GR35" s="69"/>
      <c r="GS35" s="69"/>
      <c r="GT35" s="69"/>
      <c r="GU35" s="69"/>
      <c r="GV35" s="69"/>
      <c r="GW35" s="69"/>
      <c r="GX35" s="69"/>
      <c r="GY35" s="69"/>
      <c r="GZ35" s="69"/>
      <c r="HA35" s="69"/>
      <c r="HB35" s="69"/>
      <c r="HC35" s="69"/>
      <c r="HD35" s="69"/>
      <c r="HE35" s="69"/>
      <c r="HF35" s="69"/>
    </row>
    <row r="36" spans="1:214" ht="15.75" customHeight="1" thickBot="1" x14ac:dyDescent="0.35">
      <c r="A36" s="1"/>
      <c r="B36" s="374">
        <v>92</v>
      </c>
      <c r="C36" s="34">
        <f t="shared" si="37"/>
        <v>6</v>
      </c>
      <c r="D36" s="376" t="s">
        <v>154</v>
      </c>
      <c r="E36" s="233">
        <v>1</v>
      </c>
      <c r="F36" s="233"/>
      <c r="G36" s="233">
        <v>1</v>
      </c>
      <c r="H36" s="233"/>
      <c r="I36" s="233">
        <v>1</v>
      </c>
      <c r="J36" s="233"/>
      <c r="K36" s="233">
        <v>1</v>
      </c>
      <c r="L36" s="233"/>
      <c r="M36" s="233">
        <v>1</v>
      </c>
      <c r="N36" s="233"/>
      <c r="O36" s="233">
        <v>1</v>
      </c>
      <c r="P36" s="233"/>
      <c r="Q36" s="49">
        <f t="shared" si="67"/>
        <v>1</v>
      </c>
      <c r="R36" s="50">
        <f t="shared" si="68"/>
        <v>1550</v>
      </c>
      <c r="S36" s="51">
        <f t="shared" si="38"/>
        <v>0</v>
      </c>
      <c r="T36" s="11">
        <f t="shared" si="39"/>
        <v>1799.9999999999998</v>
      </c>
      <c r="U36" s="52">
        <f t="shared" si="40"/>
        <v>0</v>
      </c>
      <c r="V36" s="52" t="str">
        <f t="shared" si="41"/>
        <v>B ASIS</v>
      </c>
      <c r="W36" s="53">
        <f t="shared" si="42"/>
        <v>243.97333333333333</v>
      </c>
      <c r="X36" s="53">
        <f t="shared" si="43"/>
        <v>7.18</v>
      </c>
      <c r="Y36" s="53">
        <f>$Y$2*E36*Q36</f>
        <v>7.18</v>
      </c>
      <c r="Z36" s="54">
        <f t="shared" si="45"/>
        <v>258.33333333333331</v>
      </c>
      <c r="AA36" s="55"/>
      <c r="AB36" s="53">
        <f t="shared" si="46"/>
        <v>243.97333333333333</v>
      </c>
      <c r="AC36" s="53">
        <f t="shared" si="47"/>
        <v>7.18</v>
      </c>
      <c r="AD36" s="53">
        <f t="shared" si="48"/>
        <v>7.18</v>
      </c>
      <c r="AE36" s="54">
        <f t="shared" si="49"/>
        <v>258.33333333333331</v>
      </c>
      <c r="AF36" s="56"/>
      <c r="AG36" s="53">
        <f t="shared" si="50"/>
        <v>243.97333333333333</v>
      </c>
      <c r="AH36" s="53">
        <f t="shared" si="51"/>
        <v>7.18</v>
      </c>
      <c r="AI36" s="53">
        <f t="shared" si="52"/>
        <v>7.18</v>
      </c>
      <c r="AJ36" s="54">
        <f t="shared" si="53"/>
        <v>258.33333333333331</v>
      </c>
      <c r="AK36" s="57"/>
      <c r="AL36" s="53">
        <f t="shared" si="54"/>
        <v>243.97333333333333</v>
      </c>
      <c r="AM36" s="53">
        <f t="shared" si="55"/>
        <v>7.18</v>
      </c>
      <c r="AN36" s="53">
        <f t="shared" si="56"/>
        <v>7.18</v>
      </c>
      <c r="AO36" s="54">
        <f t="shared" si="57"/>
        <v>258.33333333333331</v>
      </c>
      <c r="AP36" s="56"/>
      <c r="AQ36" s="53">
        <f t="shared" si="58"/>
        <v>243.97333333333333</v>
      </c>
      <c r="AR36" s="53">
        <f t="shared" si="59"/>
        <v>7.18</v>
      </c>
      <c r="AS36" s="53">
        <f t="shared" si="60"/>
        <v>7.18</v>
      </c>
      <c r="AT36" s="54">
        <f t="shared" si="61"/>
        <v>258.33333333333331</v>
      </c>
      <c r="AU36" s="56"/>
      <c r="AV36" s="53">
        <f>(R36-86.16)/6*O36</f>
        <v>243.97333333333333</v>
      </c>
      <c r="AW36" s="53">
        <f t="shared" si="63"/>
        <v>7.18</v>
      </c>
      <c r="AX36" s="53">
        <f t="shared" si="64"/>
        <v>7.18</v>
      </c>
      <c r="AY36" s="54">
        <f t="shared" si="65"/>
        <v>258.33333333333331</v>
      </c>
      <c r="AZ36" s="58">
        <f t="shared" si="66"/>
        <v>1549.9999999999998</v>
      </c>
      <c r="BA36" s="59">
        <f t="shared" si="69"/>
        <v>1799.9999999999998</v>
      </c>
      <c r="BB36" s="60"/>
      <c r="BC36" s="60"/>
      <c r="BD36" s="60"/>
      <c r="BE36" s="60"/>
      <c r="BF36" s="60"/>
      <c r="BG36" s="61" t="s">
        <v>174</v>
      </c>
      <c r="BH36" s="62"/>
      <c r="BI36" s="63">
        <v>100</v>
      </c>
      <c r="BJ36" s="63">
        <v>150</v>
      </c>
      <c r="BK36" s="64"/>
      <c r="BL36" s="63"/>
      <c r="BM36" s="65"/>
      <c r="BN36" s="65"/>
      <c r="BO36" s="66"/>
      <c r="BP36" s="67"/>
      <c r="BQ36" s="21"/>
      <c r="BR36" s="48"/>
      <c r="BS36" s="48"/>
      <c r="BT36" s="68"/>
      <c r="BU36" s="1"/>
      <c r="GG36" s="69"/>
      <c r="GH36" s="69"/>
      <c r="GI36" s="69"/>
      <c r="GJ36" s="69"/>
      <c r="GK36" s="69"/>
      <c r="GL36" s="69"/>
      <c r="GM36" s="69"/>
      <c r="GN36" s="69"/>
      <c r="GO36" s="69"/>
      <c r="GP36" s="69"/>
      <c r="GQ36" s="69"/>
      <c r="GR36" s="69"/>
      <c r="GS36" s="69"/>
      <c r="GT36" s="69"/>
      <c r="GU36" s="69"/>
      <c r="GV36" s="69"/>
      <c r="GW36" s="69"/>
      <c r="GX36" s="69"/>
      <c r="GY36" s="69"/>
      <c r="GZ36" s="69"/>
      <c r="HA36" s="69"/>
      <c r="HB36" s="69"/>
      <c r="HC36" s="69"/>
      <c r="HD36" s="69"/>
      <c r="HE36" s="69"/>
      <c r="HF36" s="69"/>
    </row>
    <row r="37" spans="1:214" ht="15.75" customHeight="1" thickBot="1" x14ac:dyDescent="0.35">
      <c r="A37" s="1"/>
      <c r="B37" s="374">
        <v>91</v>
      </c>
      <c r="C37" s="34">
        <f t="shared" si="37"/>
        <v>7</v>
      </c>
      <c r="D37" s="376" t="s">
        <v>94</v>
      </c>
      <c r="E37" s="233">
        <v>1</v>
      </c>
      <c r="F37" s="233"/>
      <c r="G37" s="233">
        <v>1</v>
      </c>
      <c r="H37" s="233"/>
      <c r="I37" s="233">
        <v>1</v>
      </c>
      <c r="J37" s="233"/>
      <c r="K37" s="233">
        <v>1</v>
      </c>
      <c r="L37" s="233"/>
      <c r="M37" s="233">
        <v>1</v>
      </c>
      <c r="N37" s="233"/>
      <c r="O37" s="233">
        <v>1</v>
      </c>
      <c r="P37" s="233"/>
      <c r="Q37" s="49">
        <f t="shared" si="67"/>
        <v>1</v>
      </c>
      <c r="R37" s="50">
        <f t="shared" si="68"/>
        <v>1550</v>
      </c>
      <c r="S37" s="51">
        <f t="shared" si="38"/>
        <v>0</v>
      </c>
      <c r="T37" s="11">
        <f t="shared" si="39"/>
        <v>1949.9999999999998</v>
      </c>
      <c r="U37" s="52">
        <f t="shared" si="40"/>
        <v>0</v>
      </c>
      <c r="V37" s="52" t="str">
        <f t="shared" si="41"/>
        <v>BONO+B ASIS</v>
      </c>
      <c r="W37" s="53">
        <f t="shared" si="42"/>
        <v>243.97333333333333</v>
      </c>
      <c r="X37" s="53">
        <f t="shared" si="43"/>
        <v>7.18</v>
      </c>
      <c r="Y37" s="53">
        <f t="shared" si="44"/>
        <v>7.18</v>
      </c>
      <c r="Z37" s="54">
        <f t="shared" si="45"/>
        <v>258.33333333333331</v>
      </c>
      <c r="AA37" s="55"/>
      <c r="AB37" s="53">
        <f t="shared" si="46"/>
        <v>243.97333333333333</v>
      </c>
      <c r="AC37" s="53">
        <f t="shared" si="47"/>
        <v>7.18</v>
      </c>
      <c r="AD37" s="53">
        <f t="shared" si="48"/>
        <v>7.18</v>
      </c>
      <c r="AE37" s="54">
        <f t="shared" si="49"/>
        <v>258.33333333333331</v>
      </c>
      <c r="AF37" s="56"/>
      <c r="AG37" s="53">
        <f t="shared" si="50"/>
        <v>243.97333333333333</v>
      </c>
      <c r="AH37" s="53">
        <f t="shared" si="51"/>
        <v>7.18</v>
      </c>
      <c r="AI37" s="53">
        <f t="shared" si="52"/>
        <v>7.18</v>
      </c>
      <c r="AJ37" s="54">
        <f t="shared" si="53"/>
        <v>258.33333333333331</v>
      </c>
      <c r="AK37" s="57"/>
      <c r="AL37" s="53">
        <f t="shared" si="54"/>
        <v>243.97333333333333</v>
      </c>
      <c r="AM37" s="53">
        <f t="shared" si="55"/>
        <v>7.18</v>
      </c>
      <c r="AN37" s="53">
        <f t="shared" si="56"/>
        <v>7.18</v>
      </c>
      <c r="AO37" s="54">
        <f t="shared" si="57"/>
        <v>258.33333333333331</v>
      </c>
      <c r="AP37" s="56"/>
      <c r="AQ37" s="53">
        <f t="shared" si="58"/>
        <v>243.97333333333333</v>
      </c>
      <c r="AR37" s="53">
        <f t="shared" si="59"/>
        <v>7.18</v>
      </c>
      <c r="AS37" s="53">
        <f t="shared" si="60"/>
        <v>7.18</v>
      </c>
      <c r="AT37" s="54">
        <f t="shared" si="61"/>
        <v>258.33333333333331</v>
      </c>
      <c r="AU37" s="56"/>
      <c r="AV37" s="53">
        <f t="shared" ref="AV37:AV43" si="70">(R37-86.16)/6*O37</f>
        <v>243.97333333333333</v>
      </c>
      <c r="AW37" s="53">
        <f t="shared" si="63"/>
        <v>7.18</v>
      </c>
      <c r="AX37" s="53">
        <f t="shared" si="64"/>
        <v>7.18</v>
      </c>
      <c r="AY37" s="54">
        <f t="shared" si="65"/>
        <v>258.33333333333331</v>
      </c>
      <c r="AZ37" s="58">
        <f t="shared" si="66"/>
        <v>1549.9999999999998</v>
      </c>
      <c r="BA37" s="59">
        <f t="shared" si="69"/>
        <v>1949.9999999999998</v>
      </c>
      <c r="BB37" s="60"/>
      <c r="BC37" s="60"/>
      <c r="BD37" s="60"/>
      <c r="BE37" s="60"/>
      <c r="BF37" s="60"/>
      <c r="BG37" s="61" t="s">
        <v>133</v>
      </c>
      <c r="BH37" s="62"/>
      <c r="BI37" s="63">
        <v>250</v>
      </c>
      <c r="BJ37" s="63">
        <v>150</v>
      </c>
      <c r="BK37" s="64"/>
      <c r="BL37" s="64"/>
      <c r="BM37" s="65"/>
      <c r="BN37" s="65"/>
      <c r="BO37" s="66"/>
      <c r="BP37" s="67"/>
      <c r="BQ37" s="21"/>
      <c r="BR37" s="48"/>
      <c r="BS37" s="48"/>
      <c r="BT37" s="68"/>
      <c r="BU37" s="1"/>
      <c r="GG37" s="69"/>
      <c r="GH37" s="69"/>
      <c r="GI37" s="69"/>
      <c r="GJ37" s="69"/>
      <c r="GK37" s="69"/>
      <c r="GL37" s="69"/>
      <c r="GM37" s="69"/>
      <c r="GN37" s="69"/>
      <c r="GO37" s="69"/>
      <c r="GP37" s="69"/>
      <c r="GQ37" s="69"/>
      <c r="GR37" s="69"/>
      <c r="GS37" s="69"/>
      <c r="GT37" s="69"/>
      <c r="GU37" s="69"/>
      <c r="GV37" s="69"/>
      <c r="GW37" s="69"/>
      <c r="GX37" s="69"/>
      <c r="GY37" s="69"/>
      <c r="GZ37" s="69"/>
      <c r="HA37" s="69"/>
      <c r="HB37" s="69"/>
      <c r="HC37" s="69"/>
      <c r="HD37" s="69"/>
      <c r="HE37" s="69"/>
      <c r="HF37" s="69"/>
    </row>
    <row r="38" spans="1:214" s="69" customFormat="1" ht="15.75" customHeight="1" thickBot="1" x14ac:dyDescent="0.35">
      <c r="A38" s="1">
        <v>448</v>
      </c>
      <c r="B38" s="374">
        <v>27</v>
      </c>
      <c r="C38" s="34">
        <f t="shared" si="37"/>
        <v>8</v>
      </c>
      <c r="D38" s="376" t="s">
        <v>39</v>
      </c>
      <c r="E38" s="233">
        <v>1</v>
      </c>
      <c r="F38" s="233"/>
      <c r="G38" s="233">
        <v>1</v>
      </c>
      <c r="H38" s="233"/>
      <c r="I38" s="233">
        <v>1</v>
      </c>
      <c r="J38" s="233"/>
      <c r="K38" s="363">
        <v>0</v>
      </c>
      <c r="L38" s="389" t="s">
        <v>132</v>
      </c>
      <c r="M38" s="233">
        <v>1</v>
      </c>
      <c r="N38" s="233"/>
      <c r="O38" s="233">
        <v>1</v>
      </c>
      <c r="P38" s="233"/>
      <c r="Q38" s="49">
        <f t="shared" si="67"/>
        <v>0</v>
      </c>
      <c r="R38" s="50">
        <f t="shared" si="68"/>
        <v>850</v>
      </c>
      <c r="S38" s="51">
        <f t="shared" si="38"/>
        <v>0</v>
      </c>
      <c r="T38" s="11">
        <f t="shared" si="39"/>
        <v>1508.3333333333333</v>
      </c>
      <c r="U38" s="52">
        <f t="shared" si="40"/>
        <v>0</v>
      </c>
      <c r="V38" s="52" t="str">
        <f t="shared" si="41"/>
        <v>BONO</v>
      </c>
      <c r="W38" s="53">
        <f t="shared" si="42"/>
        <v>127.30666666666667</v>
      </c>
      <c r="X38" s="53">
        <f t="shared" si="43"/>
        <v>0</v>
      </c>
      <c r="Y38" s="53">
        <f t="shared" si="44"/>
        <v>0</v>
      </c>
      <c r="Z38" s="54">
        <f t="shared" si="45"/>
        <v>127.30666666666667</v>
      </c>
      <c r="AA38" s="55"/>
      <c r="AB38" s="53">
        <f t="shared" si="46"/>
        <v>127.30666666666667</v>
      </c>
      <c r="AC38" s="53">
        <f t="shared" si="47"/>
        <v>0</v>
      </c>
      <c r="AD38" s="53">
        <f t="shared" si="48"/>
        <v>0</v>
      </c>
      <c r="AE38" s="54">
        <f t="shared" si="49"/>
        <v>127.30666666666667</v>
      </c>
      <c r="AF38" s="56"/>
      <c r="AG38" s="53">
        <f t="shared" si="50"/>
        <v>127.30666666666667</v>
      </c>
      <c r="AH38" s="53">
        <f t="shared" si="51"/>
        <v>0</v>
      </c>
      <c r="AI38" s="53">
        <f t="shared" si="52"/>
        <v>0</v>
      </c>
      <c r="AJ38" s="54">
        <f t="shared" si="53"/>
        <v>127.30666666666667</v>
      </c>
      <c r="AK38" s="57"/>
      <c r="AL38" s="53">
        <f t="shared" si="54"/>
        <v>0</v>
      </c>
      <c r="AM38" s="53">
        <f t="shared" si="55"/>
        <v>0</v>
      </c>
      <c r="AN38" s="53">
        <f t="shared" si="56"/>
        <v>0</v>
      </c>
      <c r="AO38" s="54">
        <f t="shared" si="57"/>
        <v>0</v>
      </c>
      <c r="AP38" s="56"/>
      <c r="AQ38" s="53">
        <f t="shared" si="58"/>
        <v>127.30666666666667</v>
      </c>
      <c r="AR38" s="53">
        <f t="shared" si="59"/>
        <v>0</v>
      </c>
      <c r="AS38" s="53">
        <f t="shared" si="60"/>
        <v>0</v>
      </c>
      <c r="AT38" s="54">
        <f t="shared" si="61"/>
        <v>127.30666666666667</v>
      </c>
      <c r="AU38" s="56"/>
      <c r="AV38" s="53">
        <f t="shared" si="70"/>
        <v>127.30666666666667</v>
      </c>
      <c r="AW38" s="53">
        <f t="shared" si="63"/>
        <v>0</v>
      </c>
      <c r="AX38" s="53">
        <f t="shared" si="64"/>
        <v>0</v>
      </c>
      <c r="AY38" s="54">
        <f t="shared" si="65"/>
        <v>127.30666666666667</v>
      </c>
      <c r="AZ38" s="58">
        <f t="shared" si="66"/>
        <v>636.5333333333333</v>
      </c>
      <c r="BA38" s="59">
        <f t="shared" si="69"/>
        <v>1508.3333333333333</v>
      </c>
      <c r="BB38" s="60"/>
      <c r="BC38" s="60"/>
      <c r="BD38" s="60"/>
      <c r="BE38" s="60"/>
      <c r="BF38" s="60"/>
      <c r="BG38" s="61" t="s">
        <v>7</v>
      </c>
      <c r="BH38" s="62"/>
      <c r="BI38" s="63">
        <v>300</v>
      </c>
      <c r="BJ38" s="63"/>
      <c r="BK38" s="64"/>
      <c r="BL38" s="63">
        <f>271.8+300</f>
        <v>571.79999999999995</v>
      </c>
      <c r="BM38" s="65"/>
      <c r="BN38" s="65"/>
      <c r="BO38" s="66"/>
      <c r="BP38" s="67"/>
      <c r="BQ38" s="21"/>
      <c r="BR38" s="48"/>
      <c r="BS38" s="48"/>
      <c r="BT38" s="68"/>
      <c r="BU38" s="1">
        <v>448</v>
      </c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</row>
    <row r="39" spans="1:214" ht="15.75" customHeight="1" thickBot="1" x14ac:dyDescent="0.35">
      <c r="A39" s="1">
        <v>449</v>
      </c>
      <c r="B39" s="275">
        <v>28</v>
      </c>
      <c r="C39" s="34">
        <f t="shared" si="37"/>
        <v>9</v>
      </c>
      <c r="D39" s="274" t="s">
        <v>40</v>
      </c>
      <c r="E39" s="233">
        <v>1</v>
      </c>
      <c r="F39" s="233"/>
      <c r="G39" s="233">
        <v>1</v>
      </c>
      <c r="H39" s="233"/>
      <c r="I39" s="233">
        <v>1</v>
      </c>
      <c r="J39" s="233"/>
      <c r="K39" s="233">
        <v>1</v>
      </c>
      <c r="L39" s="233"/>
      <c r="M39" s="233">
        <v>1</v>
      </c>
      <c r="N39" s="233"/>
      <c r="O39" s="233">
        <v>1</v>
      </c>
      <c r="P39" s="233"/>
      <c r="Q39" s="49">
        <f t="shared" si="67"/>
        <v>1</v>
      </c>
      <c r="R39" s="339">
        <f>IF(Q39=1,3000,850)</f>
        <v>3000</v>
      </c>
      <c r="S39" s="51">
        <f t="shared" si="38"/>
        <v>0</v>
      </c>
      <c r="T39" s="11">
        <f t="shared" si="39"/>
        <v>3000.0000000000005</v>
      </c>
      <c r="U39" s="52">
        <f t="shared" si="40"/>
        <v>0</v>
      </c>
      <c r="V39" s="52">
        <f t="shared" si="41"/>
        <v>0</v>
      </c>
      <c r="W39" s="53">
        <f t="shared" si="42"/>
        <v>485.64000000000004</v>
      </c>
      <c r="X39" s="53">
        <f t="shared" si="43"/>
        <v>7.18</v>
      </c>
      <c r="Y39" s="53">
        <f t="shared" si="44"/>
        <v>7.18</v>
      </c>
      <c r="Z39" s="54">
        <f t="shared" si="45"/>
        <v>500.00000000000006</v>
      </c>
      <c r="AA39" s="55"/>
      <c r="AB39" s="53">
        <f t="shared" si="46"/>
        <v>485.64000000000004</v>
      </c>
      <c r="AC39" s="53">
        <f t="shared" si="47"/>
        <v>7.18</v>
      </c>
      <c r="AD39" s="53">
        <f t="shared" si="48"/>
        <v>7.18</v>
      </c>
      <c r="AE39" s="54">
        <f t="shared" si="49"/>
        <v>500.00000000000006</v>
      </c>
      <c r="AF39" s="56"/>
      <c r="AG39" s="53">
        <f t="shared" si="50"/>
        <v>485.64000000000004</v>
      </c>
      <c r="AH39" s="53">
        <f t="shared" si="51"/>
        <v>7.18</v>
      </c>
      <c r="AI39" s="53">
        <f t="shared" si="52"/>
        <v>7.18</v>
      </c>
      <c r="AJ39" s="54">
        <f t="shared" si="53"/>
        <v>500.00000000000006</v>
      </c>
      <c r="AK39" s="57"/>
      <c r="AL39" s="53">
        <f t="shared" si="54"/>
        <v>485.64000000000004</v>
      </c>
      <c r="AM39" s="53">
        <f t="shared" si="55"/>
        <v>7.18</v>
      </c>
      <c r="AN39" s="53">
        <f t="shared" si="56"/>
        <v>7.18</v>
      </c>
      <c r="AO39" s="54">
        <f t="shared" si="57"/>
        <v>500.00000000000006</v>
      </c>
      <c r="AP39" s="56"/>
      <c r="AQ39" s="53">
        <f t="shared" si="58"/>
        <v>485.64000000000004</v>
      </c>
      <c r="AR39" s="53">
        <f t="shared" si="59"/>
        <v>7.18</v>
      </c>
      <c r="AS39" s="53">
        <f t="shared" si="60"/>
        <v>7.18</v>
      </c>
      <c r="AT39" s="54">
        <f t="shared" si="61"/>
        <v>500.00000000000006</v>
      </c>
      <c r="AU39" s="56"/>
      <c r="AV39" s="53">
        <f t="shared" si="70"/>
        <v>485.64000000000004</v>
      </c>
      <c r="AW39" s="53">
        <f t="shared" si="63"/>
        <v>7.18</v>
      </c>
      <c r="AX39" s="53">
        <f t="shared" si="64"/>
        <v>7.18</v>
      </c>
      <c r="AY39" s="54">
        <f t="shared" si="65"/>
        <v>500.00000000000006</v>
      </c>
      <c r="AZ39" s="58">
        <f t="shared" si="66"/>
        <v>3000.0000000000005</v>
      </c>
      <c r="BA39" s="59">
        <f t="shared" si="69"/>
        <v>3000.0000000000005</v>
      </c>
      <c r="BB39" s="60"/>
      <c r="BC39" s="60"/>
      <c r="BD39" s="60"/>
      <c r="BE39" s="60"/>
      <c r="BF39" s="60"/>
      <c r="BG39" s="61"/>
      <c r="BH39" s="62"/>
      <c r="BI39" s="63"/>
      <c r="BJ39" s="63"/>
      <c r="BK39" s="64"/>
      <c r="BL39" s="63"/>
      <c r="BM39" s="65"/>
      <c r="BN39" s="65"/>
      <c r="BO39" s="66"/>
      <c r="BP39" s="67"/>
      <c r="BQ39" s="21"/>
      <c r="BR39" s="48"/>
      <c r="BS39" s="48"/>
      <c r="BT39" s="68"/>
      <c r="BU39" s="1">
        <v>449</v>
      </c>
      <c r="GG39" s="69"/>
      <c r="GH39" s="69"/>
      <c r="GI39" s="69"/>
      <c r="GJ39" s="69"/>
      <c r="GK39" s="69"/>
      <c r="GL39" s="69"/>
      <c r="GM39" s="69"/>
      <c r="GN39" s="69"/>
      <c r="GO39" s="69"/>
      <c r="GP39" s="69"/>
      <c r="GQ39" s="69"/>
      <c r="GR39" s="69"/>
      <c r="GS39" s="69"/>
      <c r="GT39" s="69"/>
      <c r="GU39" s="69"/>
      <c r="GV39" s="69"/>
      <c r="GW39" s="69"/>
      <c r="GX39" s="69"/>
      <c r="GY39" s="69"/>
      <c r="GZ39" s="69"/>
      <c r="HA39" s="69"/>
      <c r="HB39" s="69"/>
      <c r="HC39" s="69"/>
      <c r="HD39" s="69"/>
      <c r="HE39" s="69"/>
      <c r="HF39" s="69"/>
    </row>
    <row r="40" spans="1:214" ht="15.75" customHeight="1" thickBot="1" x14ac:dyDescent="0.35">
      <c r="A40" s="1">
        <v>448</v>
      </c>
      <c r="B40" s="374">
        <v>170</v>
      </c>
      <c r="C40" s="34">
        <f t="shared" si="37"/>
        <v>10</v>
      </c>
      <c r="D40" s="375" t="s">
        <v>153</v>
      </c>
      <c r="E40" s="233">
        <v>1</v>
      </c>
      <c r="F40" s="233"/>
      <c r="G40" s="233">
        <v>1</v>
      </c>
      <c r="H40" s="233"/>
      <c r="I40" s="233">
        <v>1</v>
      </c>
      <c r="J40" s="233"/>
      <c r="K40" s="233">
        <v>1</v>
      </c>
      <c r="L40" s="233"/>
      <c r="M40" s="233">
        <v>1</v>
      </c>
      <c r="N40" s="233"/>
      <c r="O40" s="233">
        <v>1</v>
      </c>
      <c r="P40" s="233"/>
      <c r="Q40" s="49">
        <f t="shared" si="67"/>
        <v>1</v>
      </c>
      <c r="R40" s="50">
        <f t="shared" si="68"/>
        <v>1550</v>
      </c>
      <c r="S40" s="51">
        <f t="shared" si="38"/>
        <v>0</v>
      </c>
      <c r="T40" s="11">
        <f t="shared" si="39"/>
        <v>1949.9999999999998</v>
      </c>
      <c r="U40" s="52">
        <f t="shared" si="40"/>
        <v>0</v>
      </c>
      <c r="V40" s="52" t="str">
        <f t="shared" si="41"/>
        <v>BONO+B ASIS</v>
      </c>
      <c r="W40" s="53">
        <f t="shared" si="42"/>
        <v>243.97333333333333</v>
      </c>
      <c r="X40" s="53">
        <f t="shared" si="43"/>
        <v>7.18</v>
      </c>
      <c r="Y40" s="53">
        <f t="shared" si="44"/>
        <v>7.18</v>
      </c>
      <c r="Z40" s="54">
        <f t="shared" si="45"/>
        <v>258.33333333333331</v>
      </c>
      <c r="AA40" s="55"/>
      <c r="AB40" s="53">
        <f t="shared" si="46"/>
        <v>243.97333333333333</v>
      </c>
      <c r="AC40" s="53">
        <f t="shared" si="47"/>
        <v>7.18</v>
      </c>
      <c r="AD40" s="53">
        <f t="shared" si="48"/>
        <v>7.18</v>
      </c>
      <c r="AE40" s="54">
        <f t="shared" si="49"/>
        <v>258.33333333333331</v>
      </c>
      <c r="AF40" s="56"/>
      <c r="AG40" s="53">
        <f t="shared" si="50"/>
        <v>243.97333333333333</v>
      </c>
      <c r="AH40" s="53">
        <f t="shared" si="51"/>
        <v>7.18</v>
      </c>
      <c r="AI40" s="53">
        <f t="shared" si="52"/>
        <v>7.18</v>
      </c>
      <c r="AJ40" s="54">
        <f t="shared" si="53"/>
        <v>258.33333333333331</v>
      </c>
      <c r="AK40" s="57"/>
      <c r="AL40" s="53">
        <f t="shared" si="54"/>
        <v>243.97333333333333</v>
      </c>
      <c r="AM40" s="53">
        <f t="shared" si="55"/>
        <v>7.18</v>
      </c>
      <c r="AN40" s="53">
        <f t="shared" si="56"/>
        <v>7.18</v>
      </c>
      <c r="AO40" s="54">
        <f t="shared" si="57"/>
        <v>258.33333333333331</v>
      </c>
      <c r="AP40" s="56"/>
      <c r="AQ40" s="53">
        <f t="shared" si="58"/>
        <v>243.97333333333333</v>
      </c>
      <c r="AR40" s="53">
        <f t="shared" si="59"/>
        <v>7.18</v>
      </c>
      <c r="AS40" s="53">
        <f t="shared" si="60"/>
        <v>7.18</v>
      </c>
      <c r="AT40" s="54">
        <f t="shared" si="61"/>
        <v>258.33333333333331</v>
      </c>
      <c r="AU40" s="56"/>
      <c r="AV40" s="53">
        <f t="shared" si="70"/>
        <v>243.97333333333333</v>
      </c>
      <c r="AW40" s="53">
        <f t="shared" si="63"/>
        <v>7.18</v>
      </c>
      <c r="AX40" s="53">
        <f t="shared" si="64"/>
        <v>7.18</v>
      </c>
      <c r="AY40" s="54">
        <f t="shared" si="65"/>
        <v>258.33333333333331</v>
      </c>
      <c r="AZ40" s="58">
        <f t="shared" si="66"/>
        <v>1549.9999999999998</v>
      </c>
      <c r="BA40" s="59">
        <f t="shared" si="69"/>
        <v>1949.9999999999998</v>
      </c>
      <c r="BB40" s="60"/>
      <c r="BC40" s="60"/>
      <c r="BD40" s="60"/>
      <c r="BE40" s="60"/>
      <c r="BF40" s="60"/>
      <c r="BG40" s="61" t="s">
        <v>133</v>
      </c>
      <c r="BH40" s="62"/>
      <c r="BI40" s="63">
        <v>250</v>
      </c>
      <c r="BJ40" s="63">
        <v>150</v>
      </c>
      <c r="BK40" s="64"/>
      <c r="BL40" s="63"/>
      <c r="BM40" s="65"/>
      <c r="BN40" s="65"/>
      <c r="BO40" s="66"/>
      <c r="BP40" s="67"/>
      <c r="BQ40" s="21"/>
      <c r="BR40" s="48"/>
      <c r="BS40" s="48"/>
      <c r="BT40" s="68"/>
      <c r="BU40" s="1">
        <v>448</v>
      </c>
      <c r="GG40" s="69"/>
      <c r="GH40" s="69"/>
      <c r="GI40" s="69"/>
      <c r="GJ40" s="69"/>
      <c r="GK40" s="69"/>
      <c r="GL40" s="69"/>
      <c r="GM40" s="69"/>
      <c r="GN40" s="69"/>
      <c r="GO40" s="69"/>
      <c r="GP40" s="69"/>
      <c r="GQ40" s="69"/>
      <c r="GR40" s="69"/>
      <c r="GS40" s="69"/>
      <c r="GT40" s="69"/>
      <c r="GU40" s="69"/>
      <c r="GV40" s="69"/>
      <c r="GW40" s="69"/>
      <c r="GX40" s="69"/>
      <c r="GY40" s="69"/>
      <c r="GZ40" s="69"/>
      <c r="HA40" s="69"/>
      <c r="HB40" s="69"/>
      <c r="HC40" s="69"/>
      <c r="HD40" s="69"/>
      <c r="HE40" s="69"/>
      <c r="HF40" s="69"/>
    </row>
    <row r="41" spans="1:214" s="69" customFormat="1" ht="15.75" customHeight="1" thickBot="1" x14ac:dyDescent="0.35">
      <c r="A41" s="1">
        <v>467</v>
      </c>
      <c r="B41" s="374">
        <v>32</v>
      </c>
      <c r="C41" s="34">
        <f>+C44+1</f>
        <v>1</v>
      </c>
      <c r="D41" s="375" t="s">
        <v>54</v>
      </c>
      <c r="E41" s="233">
        <v>1</v>
      </c>
      <c r="F41" s="233"/>
      <c r="G41" s="233">
        <v>1</v>
      </c>
      <c r="H41" s="233"/>
      <c r="I41" s="233">
        <v>1</v>
      </c>
      <c r="J41" s="233"/>
      <c r="K41" s="233">
        <v>1</v>
      </c>
      <c r="L41" s="233"/>
      <c r="M41" s="233">
        <v>1</v>
      </c>
      <c r="N41" s="233"/>
      <c r="O41" s="233">
        <v>1</v>
      </c>
      <c r="P41" s="233"/>
      <c r="Q41" s="49">
        <f t="shared" si="67"/>
        <v>1</v>
      </c>
      <c r="R41" s="50">
        <f t="shared" si="68"/>
        <v>1550</v>
      </c>
      <c r="S41" s="51">
        <f t="shared" si="38"/>
        <v>0</v>
      </c>
      <c r="T41" s="11">
        <f t="shared" si="39"/>
        <v>1949.9999999999998</v>
      </c>
      <c r="U41" s="52">
        <f t="shared" si="40"/>
        <v>0</v>
      </c>
      <c r="V41" s="52" t="str">
        <f t="shared" si="41"/>
        <v>BONO+B ASIS</v>
      </c>
      <c r="W41" s="53">
        <f t="shared" si="42"/>
        <v>243.97333333333333</v>
      </c>
      <c r="X41" s="53">
        <f t="shared" si="43"/>
        <v>7.18</v>
      </c>
      <c r="Y41" s="53">
        <f t="shared" si="44"/>
        <v>7.18</v>
      </c>
      <c r="Z41" s="54">
        <f t="shared" si="45"/>
        <v>258.33333333333331</v>
      </c>
      <c r="AA41" s="55"/>
      <c r="AB41" s="53">
        <f t="shared" si="46"/>
        <v>243.97333333333333</v>
      </c>
      <c r="AC41" s="53">
        <f t="shared" si="47"/>
        <v>7.18</v>
      </c>
      <c r="AD41" s="53">
        <f t="shared" si="48"/>
        <v>7.18</v>
      </c>
      <c r="AE41" s="54">
        <f t="shared" si="49"/>
        <v>258.33333333333331</v>
      </c>
      <c r="AF41" s="56"/>
      <c r="AG41" s="53">
        <f t="shared" si="50"/>
        <v>243.97333333333333</v>
      </c>
      <c r="AH41" s="53">
        <f t="shared" si="51"/>
        <v>7.18</v>
      </c>
      <c r="AI41" s="53">
        <f t="shared" si="52"/>
        <v>7.18</v>
      </c>
      <c r="AJ41" s="54">
        <f t="shared" si="53"/>
        <v>258.33333333333331</v>
      </c>
      <c r="AK41" s="57"/>
      <c r="AL41" s="53">
        <f t="shared" si="54"/>
        <v>243.97333333333333</v>
      </c>
      <c r="AM41" s="53">
        <f t="shared" si="55"/>
        <v>7.18</v>
      </c>
      <c r="AN41" s="53">
        <f t="shared" si="56"/>
        <v>7.18</v>
      </c>
      <c r="AO41" s="54">
        <f t="shared" si="57"/>
        <v>258.33333333333331</v>
      </c>
      <c r="AP41" s="56"/>
      <c r="AQ41" s="53">
        <f t="shared" si="58"/>
        <v>243.97333333333333</v>
      </c>
      <c r="AR41" s="53">
        <f t="shared" si="59"/>
        <v>7.18</v>
      </c>
      <c r="AS41" s="53">
        <f t="shared" si="60"/>
        <v>7.18</v>
      </c>
      <c r="AT41" s="54">
        <f t="shared" si="61"/>
        <v>258.33333333333331</v>
      </c>
      <c r="AU41" s="56"/>
      <c r="AV41" s="53">
        <f t="shared" si="70"/>
        <v>243.97333333333333</v>
      </c>
      <c r="AW41" s="53">
        <f t="shared" si="63"/>
        <v>7.18</v>
      </c>
      <c r="AX41" s="53">
        <f t="shared" si="64"/>
        <v>7.18</v>
      </c>
      <c r="AY41" s="54">
        <f t="shared" si="65"/>
        <v>258.33333333333331</v>
      </c>
      <c r="AZ41" s="58">
        <f t="shared" si="66"/>
        <v>1549.9999999999998</v>
      </c>
      <c r="BA41" s="59">
        <f t="shared" si="69"/>
        <v>1949.9999999999998</v>
      </c>
      <c r="BB41" s="139"/>
      <c r="BC41" s="139"/>
      <c r="BD41" s="139"/>
      <c r="BE41" s="139"/>
      <c r="BF41" s="139"/>
      <c r="BG41" s="61" t="s">
        <v>133</v>
      </c>
      <c r="BH41" s="62"/>
      <c r="BI41" s="63">
        <v>250</v>
      </c>
      <c r="BJ41" s="63">
        <v>150</v>
      </c>
      <c r="BK41" s="64"/>
      <c r="BL41" s="64"/>
      <c r="BM41" s="18"/>
      <c r="BN41" s="18"/>
      <c r="BO41" s="66"/>
      <c r="BP41" s="66"/>
      <c r="BQ41" s="21"/>
      <c r="BR41" s="74"/>
      <c r="BS41" s="74"/>
      <c r="BT41" s="22"/>
      <c r="BU41" s="1">
        <v>467</v>
      </c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</row>
    <row r="42" spans="1:214" s="69" customFormat="1" ht="15.75" customHeight="1" thickBot="1" x14ac:dyDescent="0.35">
      <c r="A42" s="1">
        <v>448</v>
      </c>
      <c r="B42" s="374">
        <v>33</v>
      </c>
      <c r="C42" s="34">
        <f>+C41+1</f>
        <v>2</v>
      </c>
      <c r="D42" s="375" t="s">
        <v>41</v>
      </c>
      <c r="E42" s="233">
        <v>1</v>
      </c>
      <c r="F42" s="233"/>
      <c r="G42" s="233">
        <v>1</v>
      </c>
      <c r="H42" s="233"/>
      <c r="I42" s="233">
        <v>1</v>
      </c>
      <c r="J42" s="233"/>
      <c r="K42" s="233">
        <v>1</v>
      </c>
      <c r="L42" s="233"/>
      <c r="M42" s="233">
        <v>1</v>
      </c>
      <c r="N42" s="233"/>
      <c r="O42" s="233">
        <v>1</v>
      </c>
      <c r="P42" s="233"/>
      <c r="Q42" s="49">
        <f t="shared" si="67"/>
        <v>1</v>
      </c>
      <c r="R42" s="50">
        <f t="shared" si="68"/>
        <v>1550</v>
      </c>
      <c r="S42" s="51">
        <f t="shared" si="38"/>
        <v>0</v>
      </c>
      <c r="T42" s="11">
        <f t="shared" si="39"/>
        <v>1949.9999999999998</v>
      </c>
      <c r="U42" s="52">
        <f t="shared" si="40"/>
        <v>0</v>
      </c>
      <c r="V42" s="52" t="str">
        <f t="shared" si="41"/>
        <v>BONO+B ASIS</v>
      </c>
      <c r="W42" s="53">
        <f t="shared" si="42"/>
        <v>243.97333333333333</v>
      </c>
      <c r="X42" s="53">
        <f t="shared" si="43"/>
        <v>7.18</v>
      </c>
      <c r="Y42" s="53">
        <f t="shared" si="44"/>
        <v>7.18</v>
      </c>
      <c r="Z42" s="54">
        <f t="shared" si="45"/>
        <v>258.33333333333331</v>
      </c>
      <c r="AA42" s="55"/>
      <c r="AB42" s="53">
        <f t="shared" si="46"/>
        <v>243.97333333333333</v>
      </c>
      <c r="AC42" s="53">
        <f t="shared" si="47"/>
        <v>7.18</v>
      </c>
      <c r="AD42" s="53">
        <f t="shared" si="48"/>
        <v>7.18</v>
      </c>
      <c r="AE42" s="54">
        <f t="shared" si="49"/>
        <v>258.33333333333331</v>
      </c>
      <c r="AF42" s="56"/>
      <c r="AG42" s="53">
        <f t="shared" si="50"/>
        <v>243.97333333333333</v>
      </c>
      <c r="AH42" s="53">
        <f t="shared" si="51"/>
        <v>7.18</v>
      </c>
      <c r="AI42" s="53">
        <f t="shared" si="52"/>
        <v>7.18</v>
      </c>
      <c r="AJ42" s="54">
        <f t="shared" si="53"/>
        <v>258.33333333333331</v>
      </c>
      <c r="AK42" s="57"/>
      <c r="AL42" s="53">
        <f t="shared" si="54"/>
        <v>243.97333333333333</v>
      </c>
      <c r="AM42" s="53">
        <f t="shared" si="55"/>
        <v>7.18</v>
      </c>
      <c r="AN42" s="53">
        <f t="shared" si="56"/>
        <v>7.18</v>
      </c>
      <c r="AO42" s="54">
        <f t="shared" si="57"/>
        <v>258.33333333333331</v>
      </c>
      <c r="AP42" s="56"/>
      <c r="AQ42" s="53">
        <f t="shared" si="58"/>
        <v>243.97333333333333</v>
      </c>
      <c r="AR42" s="53">
        <f t="shared" si="59"/>
        <v>7.18</v>
      </c>
      <c r="AS42" s="53">
        <f t="shared" si="60"/>
        <v>7.18</v>
      </c>
      <c r="AT42" s="54">
        <f t="shared" si="61"/>
        <v>258.33333333333331</v>
      </c>
      <c r="AU42" s="56"/>
      <c r="AV42" s="53">
        <f t="shared" si="70"/>
        <v>243.97333333333333</v>
      </c>
      <c r="AW42" s="53">
        <f t="shared" si="63"/>
        <v>7.18</v>
      </c>
      <c r="AX42" s="53">
        <f t="shared" si="64"/>
        <v>7.18</v>
      </c>
      <c r="AY42" s="54">
        <f t="shared" si="65"/>
        <v>258.33333333333331</v>
      </c>
      <c r="AZ42" s="58">
        <f t="shared" si="66"/>
        <v>1549.9999999999998</v>
      </c>
      <c r="BA42" s="59">
        <f t="shared" si="69"/>
        <v>1949.9999999999998</v>
      </c>
      <c r="BB42" s="60"/>
      <c r="BC42" s="60"/>
      <c r="BD42" s="60"/>
      <c r="BE42" s="60"/>
      <c r="BF42" s="60"/>
      <c r="BG42" s="61" t="s">
        <v>133</v>
      </c>
      <c r="BH42" s="62"/>
      <c r="BI42" s="63">
        <v>250</v>
      </c>
      <c r="BJ42" s="63">
        <v>150</v>
      </c>
      <c r="BK42" s="64"/>
      <c r="BL42" s="63"/>
      <c r="BM42" s="65"/>
      <c r="BN42" s="65"/>
      <c r="BO42" s="66"/>
      <c r="BP42" s="67"/>
      <c r="BQ42" s="21"/>
      <c r="BR42" s="48"/>
      <c r="BS42" s="48"/>
      <c r="BT42" s="68"/>
      <c r="BU42" s="1">
        <v>448</v>
      </c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</row>
    <row r="43" spans="1:214" ht="15.75" customHeight="1" thickBot="1" x14ac:dyDescent="0.35">
      <c r="A43" s="1"/>
      <c r="B43" s="370">
        <v>156</v>
      </c>
      <c r="C43" s="34">
        <f>+C39+1</f>
        <v>10</v>
      </c>
      <c r="D43" s="369" t="s">
        <v>137</v>
      </c>
      <c r="E43" s="366">
        <v>0</v>
      </c>
      <c r="F43" s="367" t="s">
        <v>166</v>
      </c>
      <c r="G43" s="366">
        <v>0</v>
      </c>
      <c r="H43" s="367" t="s">
        <v>166</v>
      </c>
      <c r="I43" s="366">
        <v>0</v>
      </c>
      <c r="J43" s="367" t="s">
        <v>166</v>
      </c>
      <c r="K43" s="366">
        <v>0</v>
      </c>
      <c r="L43" s="367" t="s">
        <v>166</v>
      </c>
      <c r="M43" s="366">
        <v>0</v>
      </c>
      <c r="N43" s="367" t="s">
        <v>166</v>
      </c>
      <c r="O43" s="366">
        <v>0</v>
      </c>
      <c r="P43" s="367" t="s">
        <v>166</v>
      </c>
      <c r="Q43" s="366">
        <v>0</v>
      </c>
      <c r="R43" s="368">
        <v>0</v>
      </c>
      <c r="S43" s="51">
        <f t="shared" si="38"/>
        <v>0</v>
      </c>
      <c r="T43" s="11">
        <f t="shared" si="39"/>
        <v>0</v>
      </c>
      <c r="U43" s="52">
        <f t="shared" si="40"/>
        <v>0</v>
      </c>
      <c r="V43" s="52">
        <f t="shared" si="41"/>
        <v>0</v>
      </c>
      <c r="W43" s="53">
        <f t="shared" si="42"/>
        <v>0</v>
      </c>
      <c r="X43" s="53">
        <f t="shared" si="43"/>
        <v>0</v>
      </c>
      <c r="Y43" s="53">
        <f t="shared" si="44"/>
        <v>0</v>
      </c>
      <c r="Z43" s="54">
        <f t="shared" si="45"/>
        <v>0</v>
      </c>
      <c r="AA43" s="55"/>
      <c r="AB43" s="53">
        <f t="shared" si="46"/>
        <v>0</v>
      </c>
      <c r="AC43" s="53">
        <f t="shared" si="47"/>
        <v>0</v>
      </c>
      <c r="AD43" s="53">
        <f t="shared" si="48"/>
        <v>0</v>
      </c>
      <c r="AE43" s="54">
        <f t="shared" si="49"/>
        <v>0</v>
      </c>
      <c r="AF43" s="56"/>
      <c r="AG43" s="53">
        <f t="shared" si="50"/>
        <v>0</v>
      </c>
      <c r="AH43" s="53">
        <f t="shared" si="51"/>
        <v>0</v>
      </c>
      <c r="AI43" s="53">
        <f t="shared" si="52"/>
        <v>0</v>
      </c>
      <c r="AJ43" s="54">
        <f t="shared" si="53"/>
        <v>0</v>
      </c>
      <c r="AK43" s="57"/>
      <c r="AL43" s="53">
        <f t="shared" si="54"/>
        <v>0</v>
      </c>
      <c r="AM43" s="53">
        <f t="shared" si="55"/>
        <v>0</v>
      </c>
      <c r="AN43" s="53">
        <f t="shared" si="56"/>
        <v>0</v>
      </c>
      <c r="AO43" s="54">
        <f t="shared" si="57"/>
        <v>0</v>
      </c>
      <c r="AP43" s="56"/>
      <c r="AQ43" s="53">
        <f t="shared" si="58"/>
        <v>0</v>
      </c>
      <c r="AR43" s="53">
        <f t="shared" si="59"/>
        <v>0</v>
      </c>
      <c r="AS43" s="53">
        <f t="shared" si="60"/>
        <v>0</v>
      </c>
      <c r="AT43" s="54">
        <f t="shared" si="61"/>
        <v>0</v>
      </c>
      <c r="AU43" s="56"/>
      <c r="AV43" s="53">
        <f t="shared" si="70"/>
        <v>0</v>
      </c>
      <c r="AW43" s="53">
        <f t="shared" si="63"/>
        <v>0</v>
      </c>
      <c r="AX43" s="53">
        <f t="shared" si="64"/>
        <v>0</v>
      </c>
      <c r="AY43" s="54">
        <f t="shared" si="65"/>
        <v>0</v>
      </c>
      <c r="AZ43" s="58">
        <f t="shared" si="66"/>
        <v>0</v>
      </c>
      <c r="BA43" s="59">
        <v>0</v>
      </c>
      <c r="BB43" s="60"/>
      <c r="BC43" s="60"/>
      <c r="BD43" s="60"/>
      <c r="BE43" s="60"/>
      <c r="BF43" s="60"/>
      <c r="BG43" s="61"/>
      <c r="BH43" s="62"/>
      <c r="BI43" s="63"/>
      <c r="BJ43" s="63"/>
      <c r="BK43" s="64"/>
      <c r="BL43" s="63"/>
      <c r="BM43" s="65"/>
      <c r="BN43" s="65"/>
      <c r="BO43" s="66"/>
      <c r="BP43" s="67"/>
      <c r="BQ43" s="21"/>
      <c r="BR43" s="48"/>
      <c r="BS43" s="48"/>
      <c r="BT43" s="68"/>
      <c r="BU43" s="1"/>
      <c r="GG43" s="69"/>
      <c r="GH43" s="69"/>
      <c r="GI43" s="69"/>
      <c r="GJ43" s="69"/>
      <c r="GK43" s="69"/>
      <c r="GL43" s="69"/>
      <c r="GM43" s="69"/>
      <c r="GN43" s="69"/>
      <c r="GO43" s="69"/>
      <c r="GP43" s="69"/>
      <c r="GQ43" s="69"/>
      <c r="GR43" s="69"/>
      <c r="GS43" s="69"/>
      <c r="GT43" s="69"/>
      <c r="GU43" s="69"/>
      <c r="GV43" s="69"/>
      <c r="GW43" s="69"/>
      <c r="GX43" s="69"/>
      <c r="GY43" s="69"/>
      <c r="GZ43" s="69"/>
      <c r="HA43" s="69"/>
      <c r="HB43" s="69"/>
      <c r="HC43" s="69"/>
      <c r="HD43" s="69"/>
      <c r="HE43" s="69"/>
      <c r="HF43" s="69"/>
    </row>
    <row r="44" spans="1:214" ht="15.75" customHeight="1" thickBot="1" x14ac:dyDescent="0.35">
      <c r="A44" s="1">
        <v>451</v>
      </c>
      <c r="B44" s="78"/>
      <c r="C44" s="79"/>
      <c r="D44" s="21"/>
      <c r="E44" s="80">
        <f>SUM(E31:E42)</f>
        <v>11</v>
      </c>
      <c r="F44" s="80"/>
      <c r="G44" s="80">
        <f>SUM(G31:G42)</f>
        <v>11</v>
      </c>
      <c r="H44" s="80"/>
      <c r="I44" s="80">
        <f>SUM(I31:I42)</f>
        <v>11</v>
      </c>
      <c r="J44" s="81"/>
      <c r="K44" s="80">
        <f>SUM(K31:K42)</f>
        <v>10</v>
      </c>
      <c r="L44" s="81"/>
      <c r="M44" s="80">
        <f>SUM(M31:M42)</f>
        <v>11</v>
      </c>
      <c r="N44" s="81"/>
      <c r="O44" s="80">
        <f>SUM(O31:O42)</f>
        <v>10</v>
      </c>
      <c r="P44" s="80"/>
      <c r="Q44" s="8"/>
      <c r="R44" s="82"/>
      <c r="S44" s="51"/>
      <c r="T44" s="11"/>
      <c r="U44" s="52"/>
      <c r="V44" s="52"/>
      <c r="W44" s="53"/>
      <c r="X44" s="53"/>
      <c r="Y44" s="53"/>
      <c r="Z44" s="54"/>
      <c r="AA44" s="55"/>
      <c r="AB44" s="53"/>
      <c r="AC44" s="53"/>
      <c r="AD44" s="53"/>
      <c r="AE44" s="54"/>
      <c r="AF44" s="56"/>
      <c r="AG44" s="53"/>
      <c r="AH44" s="53"/>
      <c r="AI44" s="53"/>
      <c r="AJ44" s="54"/>
      <c r="AK44" s="57"/>
      <c r="AL44" s="53"/>
      <c r="AM44" s="53"/>
      <c r="AN44" s="53"/>
      <c r="AO44" s="54"/>
      <c r="AP44" s="56"/>
      <c r="AQ44" s="53"/>
      <c r="AR44" s="53"/>
      <c r="AS44" s="53"/>
      <c r="AT44" s="54"/>
      <c r="AU44" s="56"/>
      <c r="AV44" s="53"/>
      <c r="AW44" s="53"/>
      <c r="AX44" s="53"/>
      <c r="AY44" s="54"/>
      <c r="AZ44" s="58"/>
      <c r="BA44" s="59"/>
      <c r="BG44" s="83"/>
      <c r="BO44" s="67"/>
      <c r="BP44" s="67"/>
      <c r="BQ44" s="21"/>
      <c r="BR44" s="84"/>
      <c r="BS44" s="84"/>
      <c r="BU44" s="1">
        <v>451</v>
      </c>
    </row>
    <row r="45" spans="1:214" ht="15.75" customHeight="1" thickBot="1" x14ac:dyDescent="0.45">
      <c r="A45" s="1">
        <v>452</v>
      </c>
      <c r="C45" s="79"/>
      <c r="D45" s="21"/>
      <c r="E45" s="8"/>
      <c r="F45" s="85"/>
      <c r="G45" s="8"/>
      <c r="H45" s="22"/>
      <c r="I45" s="8"/>
      <c r="J45" s="22"/>
      <c r="K45" s="8"/>
      <c r="L45" s="22"/>
      <c r="M45" s="8"/>
      <c r="N45" s="22"/>
      <c r="O45" s="8"/>
      <c r="P45" s="22"/>
      <c r="Q45" s="8"/>
      <c r="R45" s="82"/>
      <c r="S45" s="51"/>
      <c r="T45" s="11"/>
      <c r="U45" s="52"/>
      <c r="V45" s="52"/>
      <c r="W45" s="53"/>
      <c r="X45" s="53"/>
      <c r="Y45" s="53"/>
      <c r="Z45" s="54"/>
      <c r="AA45" s="55"/>
      <c r="AB45" s="53"/>
      <c r="AC45" s="53"/>
      <c r="AD45" s="53"/>
      <c r="AE45" s="54"/>
      <c r="AF45" s="56"/>
      <c r="AG45" s="53"/>
      <c r="AH45" s="53"/>
      <c r="AI45" s="53"/>
      <c r="AJ45" s="54"/>
      <c r="AK45" s="57"/>
      <c r="AL45" s="53"/>
      <c r="AM45" s="53"/>
      <c r="AN45" s="53"/>
      <c r="AO45" s="54"/>
      <c r="AP45" s="56"/>
      <c r="AQ45" s="53"/>
      <c r="AR45" s="53"/>
      <c r="AS45" s="53"/>
      <c r="AT45" s="54"/>
      <c r="AU45" s="56"/>
      <c r="AV45" s="53"/>
      <c r="AW45" s="53"/>
      <c r="AX45" s="53"/>
      <c r="AY45" s="54"/>
      <c r="AZ45" s="58"/>
      <c r="BA45" s="59"/>
      <c r="BG45" s="83"/>
      <c r="BO45" s="86"/>
      <c r="BP45" s="87"/>
      <c r="BQ45" s="21"/>
      <c r="BT45" s="68"/>
      <c r="BU45" s="1">
        <v>452</v>
      </c>
    </row>
    <row r="46" spans="1:214" ht="15.75" customHeight="1" thickBot="1" x14ac:dyDescent="0.35">
      <c r="A46" s="1">
        <v>453</v>
      </c>
      <c r="B46" s="88" t="s">
        <v>26</v>
      </c>
      <c r="C46" s="89" t="s">
        <v>27</v>
      </c>
      <c r="D46" s="90"/>
      <c r="E46" s="8"/>
      <c r="F46" s="91"/>
      <c r="G46" s="42" t="s">
        <v>8</v>
      </c>
      <c r="H46" s="42"/>
      <c r="I46" s="42" t="s">
        <v>9</v>
      </c>
      <c r="J46" s="42"/>
      <c r="K46" s="42" t="s">
        <v>9</v>
      </c>
      <c r="L46" s="42"/>
      <c r="M46" s="42" t="s">
        <v>10</v>
      </c>
      <c r="N46" s="42"/>
      <c r="O46" s="42" t="s">
        <v>11</v>
      </c>
      <c r="P46" s="42"/>
      <c r="Q46" s="42" t="s">
        <v>12</v>
      </c>
      <c r="R46" s="42"/>
      <c r="S46" s="9"/>
      <c r="T46" s="11"/>
      <c r="U46" s="11"/>
      <c r="V46" s="11"/>
      <c r="W46" s="12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59"/>
      <c r="BO46" s="92"/>
      <c r="BP46" s="92"/>
      <c r="BQ46" s="21"/>
      <c r="BR46" s="21"/>
      <c r="BS46" s="21"/>
      <c r="BT46" s="68"/>
      <c r="BU46" s="1">
        <v>453</v>
      </c>
    </row>
    <row r="47" spans="1:214" ht="20.25" customHeight="1" thickBot="1" x14ac:dyDescent="0.35">
      <c r="A47" s="1">
        <v>454</v>
      </c>
      <c r="B47" s="21">
        <f>E44</f>
        <v>11</v>
      </c>
      <c r="C47" s="93">
        <f>G51</f>
        <v>11</v>
      </c>
      <c r="D47" s="94">
        <f t="shared" ref="D47:D52" si="71">+B47-C47</f>
        <v>0</v>
      </c>
      <c r="E47" s="95"/>
      <c r="F47" s="96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8" t="s">
        <v>28</v>
      </c>
      <c r="S47" s="10"/>
      <c r="T47" s="10"/>
      <c r="U47" s="94"/>
      <c r="V47" s="40"/>
      <c r="W47" s="42"/>
      <c r="X47" s="9"/>
      <c r="Y47" s="9"/>
      <c r="Z47" s="9"/>
      <c r="AA47" s="9"/>
      <c r="AB47" s="42"/>
      <c r="AC47" s="9"/>
      <c r="AD47" s="9"/>
      <c r="AE47" s="9"/>
      <c r="AF47" s="9"/>
      <c r="AG47" s="42"/>
      <c r="AH47" s="9"/>
      <c r="AI47" s="9"/>
      <c r="AJ47" s="9"/>
      <c r="AK47" s="9"/>
      <c r="AL47" s="9"/>
      <c r="AM47" s="9"/>
      <c r="AN47" s="9"/>
      <c r="AO47" s="9"/>
      <c r="AP47" s="9"/>
      <c r="AQ47" s="42"/>
      <c r="AR47" s="9"/>
      <c r="AS47" s="9"/>
      <c r="AT47" s="9"/>
      <c r="AU47" s="9"/>
      <c r="AV47" s="42"/>
      <c r="AW47" s="9"/>
      <c r="AX47" s="9"/>
      <c r="AY47" s="9"/>
      <c r="AZ47" s="99"/>
      <c r="BA47" s="59"/>
      <c r="BE47" s="100"/>
      <c r="BO47" s="101"/>
      <c r="BP47" s="92"/>
      <c r="BQ47" s="21"/>
      <c r="BR47" s="21"/>
      <c r="BS47" s="21"/>
      <c r="BT47" s="68"/>
      <c r="BU47" s="1">
        <v>454</v>
      </c>
    </row>
    <row r="48" spans="1:214" ht="20.25" customHeight="1" thickBot="1" x14ac:dyDescent="0.35">
      <c r="A48" s="1">
        <v>455</v>
      </c>
      <c r="B48" s="21">
        <f>G44</f>
        <v>11</v>
      </c>
      <c r="C48" s="93">
        <f>I51</f>
        <v>11</v>
      </c>
      <c r="D48" s="94">
        <f t="shared" si="71"/>
        <v>0</v>
      </c>
      <c r="E48" s="102" t="s">
        <v>29</v>
      </c>
      <c r="F48" s="103"/>
      <c r="G48" s="104">
        <v>0</v>
      </c>
      <c r="H48" s="105"/>
      <c r="I48" s="104">
        <v>0</v>
      </c>
      <c r="J48" s="105"/>
      <c r="K48" s="104">
        <v>0</v>
      </c>
      <c r="L48" s="105"/>
      <c r="M48" s="104">
        <v>0</v>
      </c>
      <c r="N48" s="105"/>
      <c r="O48" s="104">
        <v>0</v>
      </c>
      <c r="P48" s="105"/>
      <c r="Q48" s="104">
        <v>0</v>
      </c>
      <c r="R48" s="111">
        <f t="shared" ref="R48:R51" si="72">AVERAGE(G48,I48,K48,M48,O48,Q48)</f>
        <v>0</v>
      </c>
      <c r="S48" s="10"/>
      <c r="T48" s="11"/>
      <c r="U48" s="94"/>
      <c r="V48" s="40"/>
      <c r="W48" s="42"/>
      <c r="X48" s="9"/>
      <c r="Y48" s="9"/>
      <c r="Z48" s="9"/>
      <c r="AA48" s="9"/>
      <c r="AB48" s="42"/>
      <c r="AC48" s="9"/>
      <c r="AD48" s="9"/>
      <c r="AE48" s="9"/>
      <c r="AF48" s="9"/>
      <c r="AG48" s="42"/>
      <c r="AH48" s="9"/>
      <c r="AI48" s="9"/>
      <c r="AJ48" s="9"/>
      <c r="AK48" s="9"/>
      <c r="AL48" s="9"/>
      <c r="AM48" s="9"/>
      <c r="AN48" s="9"/>
      <c r="AO48" s="9"/>
      <c r="AP48" s="9"/>
      <c r="AQ48" s="42"/>
      <c r="AR48" s="9"/>
      <c r="AS48" s="9"/>
      <c r="AT48" s="9"/>
      <c r="AU48" s="9"/>
      <c r="AV48" s="42"/>
      <c r="AW48" s="9"/>
      <c r="AX48" s="9"/>
      <c r="AY48" s="9"/>
      <c r="AZ48" s="99"/>
      <c r="BA48" s="59"/>
      <c r="BE48" s="100"/>
      <c r="BO48" s="101"/>
      <c r="BP48" s="92"/>
      <c r="BQ48" s="21"/>
      <c r="BR48" s="21"/>
      <c r="BS48" s="21"/>
      <c r="BT48" s="68"/>
      <c r="BU48" s="1">
        <v>455</v>
      </c>
    </row>
    <row r="49" spans="1:214" ht="20.25" customHeight="1" thickBot="1" x14ac:dyDescent="0.35">
      <c r="A49" s="1">
        <v>456</v>
      </c>
      <c r="B49" s="21">
        <f>I44</f>
        <v>11</v>
      </c>
      <c r="C49" s="93">
        <f>K51</f>
        <v>11</v>
      </c>
      <c r="D49" s="94">
        <f t="shared" si="71"/>
        <v>0</v>
      </c>
      <c r="E49" s="102" t="s">
        <v>30</v>
      </c>
      <c r="F49" s="103"/>
      <c r="G49" s="104">
        <v>2</v>
      </c>
      <c r="H49" s="105"/>
      <c r="I49" s="104">
        <v>2</v>
      </c>
      <c r="J49" s="105"/>
      <c r="K49" s="104">
        <v>2</v>
      </c>
      <c r="L49" s="105"/>
      <c r="M49" s="104">
        <v>2</v>
      </c>
      <c r="N49" s="105"/>
      <c r="O49" s="104">
        <v>2</v>
      </c>
      <c r="P49" s="105"/>
      <c r="Q49" s="104">
        <v>2</v>
      </c>
      <c r="R49" s="111">
        <f t="shared" si="72"/>
        <v>2</v>
      </c>
      <c r="S49" s="10"/>
      <c r="T49" s="11"/>
      <c r="U49" s="94"/>
      <c r="V49" s="40"/>
      <c r="W49" s="42"/>
      <c r="X49" s="9"/>
      <c r="Y49" s="9"/>
      <c r="Z49" s="9"/>
      <c r="AA49" s="9"/>
      <c r="AB49" s="42"/>
      <c r="AC49" s="9"/>
      <c r="AD49" s="9"/>
      <c r="AE49" s="9"/>
      <c r="AF49" s="9"/>
      <c r="AG49" s="42"/>
      <c r="AH49" s="9"/>
      <c r="AI49" s="9"/>
      <c r="AJ49" s="9"/>
      <c r="AK49" s="9"/>
      <c r="AL49" s="9"/>
      <c r="AM49" s="9"/>
      <c r="AN49" s="9"/>
      <c r="AO49" s="9"/>
      <c r="AP49" s="9"/>
      <c r="AQ49" s="42"/>
      <c r="AR49" s="9"/>
      <c r="AS49" s="9"/>
      <c r="AT49" s="9"/>
      <c r="AU49" s="9"/>
      <c r="AV49" s="42"/>
      <c r="AW49" s="9"/>
      <c r="AX49" s="9"/>
      <c r="AY49" s="9"/>
      <c r="AZ49" s="99"/>
      <c r="BA49" s="59"/>
      <c r="BE49" s="100"/>
      <c r="BO49" s="101"/>
      <c r="BP49" s="92"/>
      <c r="BQ49" s="21"/>
      <c r="BR49" s="21"/>
      <c r="BS49" s="21"/>
      <c r="BT49" s="68"/>
      <c r="BU49" s="1">
        <v>456</v>
      </c>
    </row>
    <row r="50" spans="1:214" ht="20.25" customHeight="1" thickBot="1" x14ac:dyDescent="0.35">
      <c r="A50" s="1">
        <v>457</v>
      </c>
      <c r="B50" s="21">
        <f>K44</f>
        <v>10</v>
      </c>
      <c r="C50" s="93">
        <f>M51</f>
        <v>10</v>
      </c>
      <c r="D50" s="94">
        <f t="shared" si="71"/>
        <v>0</v>
      </c>
      <c r="E50" s="102" t="s">
        <v>32</v>
      </c>
      <c r="F50" s="103"/>
      <c r="G50" s="104">
        <v>9</v>
      </c>
      <c r="H50" s="105"/>
      <c r="I50" s="104">
        <v>9</v>
      </c>
      <c r="J50" s="105"/>
      <c r="K50" s="104">
        <v>9</v>
      </c>
      <c r="L50" s="105"/>
      <c r="M50" s="104">
        <v>8</v>
      </c>
      <c r="N50" s="105"/>
      <c r="O50" s="104">
        <v>9</v>
      </c>
      <c r="P50" s="105"/>
      <c r="Q50" s="104">
        <v>8</v>
      </c>
      <c r="R50" s="111">
        <f t="shared" si="72"/>
        <v>8.6666666666666661</v>
      </c>
      <c r="S50" s="10"/>
      <c r="T50" s="11"/>
      <c r="U50" s="94"/>
      <c r="V50" s="40"/>
      <c r="W50" s="42"/>
      <c r="X50" s="9"/>
      <c r="Y50" s="9"/>
      <c r="Z50" s="9"/>
      <c r="AA50" s="9"/>
      <c r="AB50" s="42"/>
      <c r="AC50" s="9"/>
      <c r="AD50" s="9"/>
      <c r="AE50" s="9"/>
      <c r="AF50" s="9"/>
      <c r="AG50" s="42"/>
      <c r="AH50" s="9"/>
      <c r="AI50" s="9"/>
      <c r="AJ50" s="9"/>
      <c r="AK50" s="9"/>
      <c r="AL50" s="9"/>
      <c r="AM50" s="9"/>
      <c r="AN50" s="9"/>
      <c r="AO50" s="9"/>
      <c r="AP50" s="9"/>
      <c r="AQ50" s="42"/>
      <c r="AR50" s="9"/>
      <c r="AS50" s="9"/>
      <c r="AT50" s="9"/>
      <c r="AU50" s="9"/>
      <c r="AV50" s="42"/>
      <c r="AW50" s="9"/>
      <c r="AX50" s="9"/>
      <c r="AY50" s="9"/>
      <c r="AZ50" s="99"/>
      <c r="BA50" s="59"/>
      <c r="BE50" s="100"/>
      <c r="BO50" s="101"/>
      <c r="BP50" s="92"/>
      <c r="BQ50" s="21"/>
      <c r="BR50" s="21"/>
      <c r="BS50" s="21"/>
      <c r="BT50" s="68"/>
      <c r="BU50" s="1">
        <v>457</v>
      </c>
    </row>
    <row r="51" spans="1:214" ht="20.25" customHeight="1" thickBot="1" x14ac:dyDescent="0.35">
      <c r="A51" s="1">
        <v>458</v>
      </c>
      <c r="B51" s="21">
        <f>M44</f>
        <v>11</v>
      </c>
      <c r="C51" s="93">
        <f>O51</f>
        <v>11</v>
      </c>
      <c r="D51" s="94">
        <f t="shared" si="71"/>
        <v>0</v>
      </c>
      <c r="E51" s="108"/>
      <c r="F51" s="109"/>
      <c r="G51" s="110">
        <f>SUM(G48:G50)</f>
        <v>11</v>
      </c>
      <c r="H51" s="110"/>
      <c r="I51" s="110">
        <f>SUM(I48:I50)</f>
        <v>11</v>
      </c>
      <c r="J51" s="110"/>
      <c r="K51" s="110">
        <f>SUM(K48:K50)</f>
        <v>11</v>
      </c>
      <c r="L51" s="110"/>
      <c r="M51" s="110">
        <f>SUM(M48:M50)</f>
        <v>10</v>
      </c>
      <c r="N51" s="110"/>
      <c r="O51" s="110">
        <f>SUM(O48:O50)</f>
        <v>11</v>
      </c>
      <c r="P51" s="110"/>
      <c r="Q51" s="110">
        <f>SUM(Q44:Q50)</f>
        <v>10</v>
      </c>
      <c r="R51" s="111">
        <f t="shared" si="72"/>
        <v>10.666666666666666</v>
      </c>
      <c r="S51" s="10"/>
      <c r="T51" s="11"/>
      <c r="U51" s="94"/>
      <c r="V51" s="40"/>
      <c r="W51" s="42"/>
      <c r="X51" s="9"/>
      <c r="Y51" s="9"/>
      <c r="Z51" s="9"/>
      <c r="AA51" s="9"/>
      <c r="AB51" s="42"/>
      <c r="AC51" s="9"/>
      <c r="AD51" s="9"/>
      <c r="AE51" s="9"/>
      <c r="AF51" s="9"/>
      <c r="AG51" s="42"/>
      <c r="AH51" s="9"/>
      <c r="AI51" s="9"/>
      <c r="AJ51" s="9"/>
      <c r="AK51" s="9"/>
      <c r="AL51" s="9"/>
      <c r="AM51" s="9"/>
      <c r="AN51" s="9"/>
      <c r="AO51" s="9"/>
      <c r="AP51" s="9"/>
      <c r="AQ51" s="42"/>
      <c r="AR51" s="9"/>
      <c r="AS51" s="9"/>
      <c r="AT51" s="9"/>
      <c r="AU51" s="9"/>
      <c r="AV51" s="42"/>
      <c r="AW51" s="9"/>
      <c r="AX51" s="9"/>
      <c r="AY51" s="9"/>
      <c r="AZ51" s="99"/>
      <c r="BA51" s="59"/>
      <c r="BE51" s="100"/>
      <c r="BO51" s="101"/>
      <c r="BP51" s="92"/>
      <c r="BQ51" s="21"/>
      <c r="BR51" s="21"/>
      <c r="BS51" s="21"/>
      <c r="BT51" s="68"/>
      <c r="BU51" s="1">
        <v>458</v>
      </c>
    </row>
    <row r="52" spans="1:214" ht="20.25" customHeight="1" x14ac:dyDescent="0.3">
      <c r="A52" s="1">
        <v>459</v>
      </c>
      <c r="B52" s="21">
        <f>O44</f>
        <v>10</v>
      </c>
      <c r="C52" s="93">
        <f>Q51</f>
        <v>10</v>
      </c>
      <c r="D52" s="94">
        <f t="shared" si="71"/>
        <v>0</v>
      </c>
      <c r="E52" s="112"/>
      <c r="F52" s="113"/>
      <c r="G52" s="112"/>
      <c r="H52" s="114"/>
      <c r="I52" s="112"/>
      <c r="J52" s="114"/>
      <c r="K52" s="112"/>
      <c r="L52" s="114"/>
      <c r="M52" s="112"/>
      <c r="N52" s="114"/>
      <c r="O52" s="112"/>
      <c r="P52" s="114"/>
      <c r="Q52" s="112"/>
      <c r="R52" s="115"/>
      <c r="S52" s="10"/>
      <c r="T52" s="128">
        <f>SUM(R48:R50)</f>
        <v>10.666666666666666</v>
      </c>
      <c r="U52" s="94"/>
      <c r="V52" s="40"/>
      <c r="W52" s="42"/>
      <c r="X52" s="9"/>
      <c r="Y52" s="9"/>
      <c r="Z52" s="9"/>
      <c r="AA52" s="9"/>
      <c r="AB52" s="42"/>
      <c r="AC52" s="9"/>
      <c r="AD52" s="9"/>
      <c r="AE52" s="9"/>
      <c r="AF52" s="9"/>
      <c r="AG52" s="42"/>
      <c r="AH52" s="9"/>
      <c r="AI52" s="9"/>
      <c r="AJ52" s="9"/>
      <c r="AK52" s="9"/>
      <c r="AL52" s="9"/>
      <c r="AM52" s="9"/>
      <c r="AN52" s="9"/>
      <c r="AO52" s="9"/>
      <c r="AP52" s="9"/>
      <c r="AQ52" s="42"/>
      <c r="AR52" s="9"/>
      <c r="AS52" s="9"/>
      <c r="AT52" s="9"/>
      <c r="AU52" s="9"/>
      <c r="AV52" s="42"/>
      <c r="AW52" s="9"/>
      <c r="AX52" s="9"/>
      <c r="AY52" s="9"/>
      <c r="AZ52" s="99"/>
      <c r="BA52" s="59"/>
      <c r="BE52" s="100"/>
      <c r="BO52" s="101"/>
      <c r="BP52" s="92"/>
      <c r="BQ52" s="21"/>
      <c r="BR52" s="21"/>
      <c r="BS52" s="21"/>
      <c r="BT52" s="68"/>
      <c r="BU52" s="1">
        <v>459</v>
      </c>
    </row>
    <row r="53" spans="1:214" ht="20.25" customHeight="1" thickBot="1" x14ac:dyDescent="0.35">
      <c r="A53" s="1">
        <v>463</v>
      </c>
      <c r="B53" s="22"/>
      <c r="C53" s="22"/>
      <c r="D53" s="22"/>
      <c r="E53" s="112"/>
      <c r="F53" s="113"/>
      <c r="G53" s="112"/>
      <c r="H53" s="114"/>
      <c r="I53" s="112"/>
      <c r="J53" s="114"/>
      <c r="K53" s="112"/>
      <c r="L53" s="114"/>
      <c r="M53" s="112"/>
      <c r="N53" s="114"/>
      <c r="O53" s="112"/>
      <c r="P53" s="114"/>
      <c r="Q53" s="112"/>
      <c r="R53" s="115"/>
      <c r="S53" s="10"/>
      <c r="T53" s="11"/>
      <c r="U53" s="94"/>
      <c r="V53" s="40"/>
      <c r="W53" s="42"/>
      <c r="X53" s="9"/>
      <c r="Y53" s="9"/>
      <c r="Z53" s="9"/>
      <c r="AA53" s="9"/>
      <c r="AB53" s="42"/>
      <c r="AC53" s="9"/>
      <c r="AD53" s="9"/>
      <c r="AE53" s="9"/>
      <c r="AF53" s="9"/>
      <c r="AG53" s="42"/>
      <c r="AH53" s="9"/>
      <c r="AI53" s="9"/>
      <c r="AJ53" s="9"/>
      <c r="AK53" s="9"/>
      <c r="AL53" s="9"/>
      <c r="AM53" s="9"/>
      <c r="AN53" s="9"/>
      <c r="AO53" s="9"/>
      <c r="AP53" s="9"/>
      <c r="AQ53" s="42"/>
      <c r="AR53" s="9"/>
      <c r="AS53" s="9"/>
      <c r="AT53" s="9"/>
      <c r="AU53" s="9"/>
      <c r="AV53" s="42"/>
      <c r="AW53" s="9"/>
      <c r="AX53" s="9"/>
      <c r="AY53" s="9"/>
      <c r="AZ53" s="99"/>
      <c r="BA53" s="59"/>
      <c r="BE53" s="100"/>
      <c r="BO53" s="101"/>
      <c r="BP53" s="92"/>
      <c r="BQ53" s="21"/>
      <c r="BR53" s="21"/>
      <c r="BS53" s="21"/>
      <c r="BT53" s="68"/>
      <c r="BU53" s="1">
        <v>463</v>
      </c>
    </row>
    <row r="54" spans="1:214" ht="28.5" customHeight="1" thickBot="1" x14ac:dyDescent="0.45">
      <c r="A54" s="1">
        <v>464</v>
      </c>
      <c r="B54" s="817" t="s">
        <v>42</v>
      </c>
      <c r="C54" s="818"/>
      <c r="D54" s="818" t="s">
        <v>35</v>
      </c>
      <c r="E54" s="818"/>
      <c r="F54" s="818"/>
      <c r="G54" s="818"/>
      <c r="H54" s="818"/>
      <c r="I54" s="818"/>
      <c r="J54" s="818"/>
      <c r="K54" s="818"/>
      <c r="L54" s="818"/>
      <c r="M54" s="818"/>
      <c r="N54" s="818"/>
      <c r="O54" s="818"/>
      <c r="P54" s="818"/>
      <c r="Q54" s="818"/>
      <c r="R54" s="23" t="str">
        <f>$V2</f>
        <v>DEL 08 AL 14 ENERO 24</v>
      </c>
      <c r="S54" s="51"/>
      <c r="T54" s="11"/>
      <c r="U54" s="11"/>
      <c r="V54" s="52"/>
      <c r="W54" s="53"/>
      <c r="X54" s="53"/>
      <c r="Y54" s="53"/>
      <c r="Z54" s="54"/>
      <c r="AA54" s="55"/>
      <c r="AB54" s="53"/>
      <c r="AC54" s="53"/>
      <c r="AD54" s="53"/>
      <c r="AE54" s="54"/>
      <c r="AF54" s="56"/>
      <c r="AG54" s="53"/>
      <c r="AH54" s="53"/>
      <c r="AI54" s="53"/>
      <c r="AJ54" s="54"/>
      <c r="AK54" s="57"/>
      <c r="AL54" s="53"/>
      <c r="AM54" s="53"/>
      <c r="AN54" s="53"/>
      <c r="AO54" s="54"/>
      <c r="AP54" s="56"/>
      <c r="AQ54" s="53"/>
      <c r="AR54" s="53"/>
      <c r="AS54" s="53"/>
      <c r="AT54" s="54"/>
      <c r="AU54" s="56"/>
      <c r="AV54" s="53"/>
      <c r="AW54" s="53"/>
      <c r="AX54" s="53"/>
      <c r="AY54" s="54"/>
      <c r="AZ54" s="58"/>
      <c r="BA54" s="59"/>
      <c r="BG54" s="83"/>
      <c r="BO54" s="116"/>
      <c r="BP54" s="67"/>
      <c r="BQ54" s="21"/>
      <c r="BR54" s="74"/>
      <c r="BS54" s="74"/>
      <c r="BT54" s="68"/>
      <c r="BU54" s="1">
        <v>464</v>
      </c>
    </row>
    <row r="55" spans="1:214" ht="14.25" customHeight="1" thickBot="1" x14ac:dyDescent="0.35">
      <c r="A55" s="1">
        <v>465</v>
      </c>
      <c r="B55" s="117"/>
      <c r="C55" s="118"/>
      <c r="D55" s="119"/>
      <c r="E55" s="120" t="s">
        <v>8</v>
      </c>
      <c r="F55" s="121"/>
      <c r="G55" s="120" t="s">
        <v>9</v>
      </c>
      <c r="H55" s="122"/>
      <c r="I55" s="120" t="s">
        <v>9</v>
      </c>
      <c r="J55" s="122"/>
      <c r="K55" s="120" t="s">
        <v>10</v>
      </c>
      <c r="L55" s="122"/>
      <c r="M55" s="120" t="s">
        <v>11</v>
      </c>
      <c r="N55" s="122"/>
      <c r="O55" s="120" t="s">
        <v>12</v>
      </c>
      <c r="P55" s="120"/>
      <c r="Q55" s="122"/>
      <c r="R55" s="123"/>
      <c r="S55" s="51"/>
      <c r="T55" s="11"/>
      <c r="U55" s="11"/>
      <c r="V55" s="52"/>
      <c r="W55" s="53"/>
      <c r="X55" s="53"/>
      <c r="Y55" s="53"/>
      <c r="Z55" s="54"/>
      <c r="AA55" s="55"/>
      <c r="AB55" s="53"/>
      <c r="AC55" s="53"/>
      <c r="AD55" s="53"/>
      <c r="AE55" s="54"/>
      <c r="AF55" s="56"/>
      <c r="AG55" s="53"/>
      <c r="AH55" s="53"/>
      <c r="AI55" s="53"/>
      <c r="AJ55" s="54"/>
      <c r="AK55" s="57"/>
      <c r="AL55" s="53"/>
      <c r="AM55" s="53"/>
      <c r="AN55" s="53"/>
      <c r="AO55" s="54"/>
      <c r="AP55" s="56"/>
      <c r="AQ55" s="53"/>
      <c r="AR55" s="53"/>
      <c r="AS55" s="53"/>
      <c r="AT55" s="54"/>
      <c r="AU55" s="56"/>
      <c r="AV55" s="53"/>
      <c r="AW55" s="53"/>
      <c r="AX55" s="53"/>
      <c r="AY55" s="54"/>
      <c r="AZ55" s="58"/>
      <c r="BA55" s="59"/>
      <c r="BB55" s="129"/>
      <c r="BC55" s="129"/>
      <c r="BD55" s="129"/>
      <c r="BE55" s="129"/>
      <c r="BF55" s="129"/>
      <c r="BG55" s="129"/>
      <c r="BH55" s="124"/>
      <c r="BJ55" s="63"/>
      <c r="BK55" s="19"/>
      <c r="BL55" s="19"/>
      <c r="BM55" s="19"/>
      <c r="BN55" s="124"/>
      <c r="BO55" s="125"/>
      <c r="BP55" s="126"/>
      <c r="BQ55" s="21"/>
      <c r="BR55" s="68"/>
      <c r="BS55" s="68"/>
      <c r="BT55" s="68"/>
      <c r="BU55" s="1">
        <v>465</v>
      </c>
    </row>
    <row r="56" spans="1:214" ht="14.25" customHeight="1" thickBot="1" x14ac:dyDescent="0.35">
      <c r="A56" s="1"/>
      <c r="B56" s="374">
        <v>116</v>
      </c>
      <c r="C56" s="34">
        <f t="shared" ref="C56:C65" si="73">+C55+1</f>
        <v>1</v>
      </c>
      <c r="D56" s="375" t="s">
        <v>110</v>
      </c>
      <c r="E56" s="233">
        <v>1</v>
      </c>
      <c r="F56" s="233"/>
      <c r="G56" s="233">
        <v>1</v>
      </c>
      <c r="H56" s="233"/>
      <c r="I56" s="233">
        <v>1</v>
      </c>
      <c r="J56" s="233"/>
      <c r="K56" s="233">
        <v>1</v>
      </c>
      <c r="L56" s="233"/>
      <c r="M56" s="233">
        <v>1</v>
      </c>
      <c r="N56" s="233"/>
      <c r="O56" s="233">
        <v>1</v>
      </c>
      <c r="P56" s="233"/>
      <c r="Q56" s="233">
        <v>1</v>
      </c>
      <c r="R56" s="50">
        <f t="shared" ref="R56:R64" si="74">IF(Q56=1,1550,850)</f>
        <v>1550</v>
      </c>
      <c r="S56" s="51">
        <f t="shared" ref="S56:S63" si="75">+BH56</f>
        <v>0</v>
      </c>
      <c r="T56" s="11">
        <f t="shared" ref="T56:T63" si="76">+BA56</f>
        <v>2050</v>
      </c>
      <c r="U56" s="52">
        <f>+BP56</f>
        <v>0</v>
      </c>
      <c r="V56" s="52" t="str">
        <f t="shared" ref="V56:V66" si="77">+BG56</f>
        <v>BONO+B ASIS</v>
      </c>
      <c r="W56" s="53">
        <f t="shared" ref="W56:W58" si="78">(R56-86.16)/6*E56</f>
        <v>243.97333333333333</v>
      </c>
      <c r="X56" s="53">
        <f t="shared" ref="X56:X67" si="79">$Y$2*E56*Q56</f>
        <v>7.18</v>
      </c>
      <c r="Y56" s="53">
        <f t="shared" ref="Y56:Y65" si="80">$Y$2*E56*Q56</f>
        <v>7.18</v>
      </c>
      <c r="Z56" s="54">
        <f t="shared" ref="Z56:Z58" si="81">Y56+X56+W56</f>
        <v>258.33333333333331</v>
      </c>
      <c r="AA56" s="55"/>
      <c r="AB56" s="53">
        <f t="shared" ref="AB56:AB66" si="82">(R56-86.16)/6*G56</f>
        <v>243.97333333333333</v>
      </c>
      <c r="AC56" s="53">
        <f t="shared" ref="AC56:AC65" si="83">$Y$2*G56*Q56</f>
        <v>7.18</v>
      </c>
      <c r="AD56" s="53">
        <f t="shared" ref="AD56:AD65" si="84">$Y$2*G56*Q56</f>
        <v>7.18</v>
      </c>
      <c r="AE56" s="54">
        <f t="shared" ref="AE56:AE65" si="85">AD56+AC56+AB56</f>
        <v>258.33333333333331</v>
      </c>
      <c r="AF56" s="56"/>
      <c r="AG56" s="53">
        <f t="shared" ref="AG56:AG66" si="86">(R56-86.16)/6*I56</f>
        <v>243.97333333333333</v>
      </c>
      <c r="AH56" s="53">
        <f t="shared" ref="AH56:AH66" si="87">$Y$2*I56*Q56</f>
        <v>7.18</v>
      </c>
      <c r="AI56" s="53">
        <f t="shared" ref="AI56:AI66" si="88">$Y$2*I56*Q56</f>
        <v>7.18</v>
      </c>
      <c r="AJ56" s="54">
        <f t="shared" ref="AJ56:AJ66" si="89">AI56+AH56+AG56</f>
        <v>258.33333333333331</v>
      </c>
      <c r="AK56" s="57"/>
      <c r="AL56" s="53">
        <f t="shared" ref="AL56:AL67" si="90">(R56-86.16)/6*K56</f>
        <v>243.97333333333333</v>
      </c>
      <c r="AM56" s="53">
        <f t="shared" ref="AM56:AM66" si="91">$Y$2*K56*Q56</f>
        <v>7.18</v>
      </c>
      <c r="AN56" s="53">
        <f t="shared" ref="AN56:AN65" si="92">$Y$2*K56*Q56</f>
        <v>7.18</v>
      </c>
      <c r="AO56" s="54">
        <f t="shared" ref="AO56:AO65" si="93">AN56+AM56+AL56</f>
        <v>258.33333333333331</v>
      </c>
      <c r="AP56" s="56"/>
      <c r="AQ56" s="53">
        <f t="shared" ref="AQ56:AQ66" si="94">(R56-86.16)/6*M56</f>
        <v>243.97333333333333</v>
      </c>
      <c r="AR56" s="53">
        <f t="shared" ref="AR56:AR66" si="95">$Y$2*M56*Q56</f>
        <v>7.18</v>
      </c>
      <c r="AS56" s="53">
        <f t="shared" ref="AS56:AS66" si="96">$Y$2*M56*Q56</f>
        <v>7.18</v>
      </c>
      <c r="AT56" s="54">
        <f t="shared" ref="AT56:AT66" si="97">AS56+AR56+AQ56</f>
        <v>258.33333333333331</v>
      </c>
      <c r="AU56" s="56"/>
      <c r="AV56" s="53">
        <f t="shared" ref="AV56:AV67" si="98">(R56-86.16)/6*O56</f>
        <v>243.97333333333333</v>
      </c>
      <c r="AW56" s="53">
        <f t="shared" ref="AW56:AW66" si="99">$Y$2*O56*Q56</f>
        <v>7.18</v>
      </c>
      <c r="AX56" s="53">
        <f t="shared" ref="AX56:AX66" si="100">$Y$2*O56*Q56</f>
        <v>7.18</v>
      </c>
      <c r="AY56" s="54">
        <f t="shared" ref="AY56:AY66" si="101">AX56+AW56+AV56</f>
        <v>258.33333333333331</v>
      </c>
      <c r="AZ56" s="58">
        <f t="shared" ref="AZ56:AZ65" si="102">+AY56+AT56+AO56++AJ56+AE56+Z56</f>
        <v>1549.9999999999998</v>
      </c>
      <c r="BA56" s="59">
        <f>((AZ56-BB56-BC56-BD56-BE56-BF56)+BI56+BJ56+BK56+BL56+BM56+BN56+BO56)</f>
        <v>2050</v>
      </c>
      <c r="BB56" s="60"/>
      <c r="BC56" s="60"/>
      <c r="BD56" s="60"/>
      <c r="BE56" s="60"/>
      <c r="BF56" s="60"/>
      <c r="BG56" s="61" t="s">
        <v>133</v>
      </c>
      <c r="BH56" s="124"/>
      <c r="BI56" s="18">
        <v>250</v>
      </c>
      <c r="BJ56" s="63">
        <v>250</v>
      </c>
      <c r="BK56" s="350"/>
      <c r="BL56" s="64"/>
      <c r="BM56" s="19"/>
      <c r="BN56" s="124"/>
      <c r="BO56" s="125"/>
      <c r="BP56" s="126"/>
      <c r="BQ56" s="21"/>
      <c r="BR56" s="68"/>
      <c r="BS56" s="68"/>
      <c r="BT56" s="68"/>
      <c r="BU56" s="1"/>
    </row>
    <row r="57" spans="1:214" ht="14.25" customHeight="1" thickBot="1" x14ac:dyDescent="0.35">
      <c r="A57" s="1"/>
      <c r="B57" s="374">
        <v>117</v>
      </c>
      <c r="C57" s="34">
        <f t="shared" si="73"/>
        <v>2</v>
      </c>
      <c r="D57" s="375" t="s">
        <v>130</v>
      </c>
      <c r="E57" s="233">
        <v>1</v>
      </c>
      <c r="F57" s="233"/>
      <c r="G57" s="233">
        <v>1</v>
      </c>
      <c r="H57" s="233"/>
      <c r="I57" s="233">
        <v>1</v>
      </c>
      <c r="J57" s="233"/>
      <c r="K57" s="233">
        <v>1</v>
      </c>
      <c r="L57" s="233"/>
      <c r="M57" s="233">
        <v>1</v>
      </c>
      <c r="N57" s="233"/>
      <c r="O57" s="233">
        <v>1</v>
      </c>
      <c r="P57" s="233"/>
      <c r="Q57" s="233">
        <v>1</v>
      </c>
      <c r="R57" s="50">
        <f t="shared" si="74"/>
        <v>1550</v>
      </c>
      <c r="S57" s="51">
        <f t="shared" si="75"/>
        <v>0</v>
      </c>
      <c r="T57" s="11">
        <f t="shared" si="76"/>
        <v>2050</v>
      </c>
      <c r="U57" s="52">
        <f>+BP57</f>
        <v>0</v>
      </c>
      <c r="V57" s="52" t="str">
        <f t="shared" si="77"/>
        <v>BONO+B ASIS</v>
      </c>
      <c r="W57" s="53">
        <f t="shared" si="78"/>
        <v>243.97333333333333</v>
      </c>
      <c r="X57" s="53">
        <f t="shared" si="79"/>
        <v>7.18</v>
      </c>
      <c r="Y57" s="53">
        <f t="shared" si="80"/>
        <v>7.18</v>
      </c>
      <c r="Z57" s="54">
        <f t="shared" si="81"/>
        <v>258.33333333333331</v>
      </c>
      <c r="AA57" s="55"/>
      <c r="AB57" s="53">
        <f t="shared" si="82"/>
        <v>243.97333333333333</v>
      </c>
      <c r="AC57" s="53">
        <f t="shared" si="83"/>
        <v>7.18</v>
      </c>
      <c r="AD57" s="53">
        <f t="shared" si="84"/>
        <v>7.18</v>
      </c>
      <c r="AE57" s="54">
        <f t="shared" si="85"/>
        <v>258.33333333333331</v>
      </c>
      <c r="AF57" s="56"/>
      <c r="AG57" s="53">
        <f t="shared" si="86"/>
        <v>243.97333333333333</v>
      </c>
      <c r="AH57" s="53">
        <f t="shared" si="87"/>
        <v>7.18</v>
      </c>
      <c r="AI57" s="53">
        <f t="shared" si="88"/>
        <v>7.18</v>
      </c>
      <c r="AJ57" s="54">
        <f t="shared" si="89"/>
        <v>258.33333333333331</v>
      </c>
      <c r="AK57" s="57"/>
      <c r="AL57" s="53">
        <f t="shared" si="90"/>
        <v>243.97333333333333</v>
      </c>
      <c r="AM57" s="53">
        <f t="shared" si="91"/>
        <v>7.18</v>
      </c>
      <c r="AN57" s="53">
        <f t="shared" si="92"/>
        <v>7.18</v>
      </c>
      <c r="AO57" s="54">
        <f t="shared" si="93"/>
        <v>258.33333333333331</v>
      </c>
      <c r="AP57" s="56"/>
      <c r="AQ57" s="53">
        <f t="shared" si="94"/>
        <v>243.97333333333333</v>
      </c>
      <c r="AR57" s="53">
        <f t="shared" si="95"/>
        <v>7.18</v>
      </c>
      <c r="AS57" s="53">
        <f t="shared" si="96"/>
        <v>7.18</v>
      </c>
      <c r="AT57" s="54">
        <f t="shared" si="97"/>
        <v>258.33333333333331</v>
      </c>
      <c r="AU57" s="56"/>
      <c r="AV57" s="53">
        <f t="shared" si="98"/>
        <v>243.97333333333333</v>
      </c>
      <c r="AW57" s="53">
        <f t="shared" si="99"/>
        <v>7.18</v>
      </c>
      <c r="AX57" s="53">
        <f t="shared" si="100"/>
        <v>7.18</v>
      </c>
      <c r="AY57" s="54">
        <f t="shared" si="101"/>
        <v>258.33333333333331</v>
      </c>
      <c r="AZ57" s="58">
        <f t="shared" si="102"/>
        <v>1549.9999999999998</v>
      </c>
      <c r="BA57" s="59">
        <f>((AZ57-BB57-BC57-BD57-BE57-BF57)+BI57+BJ57+BK57+BL57+BM57+BN57+BO57)</f>
        <v>2050</v>
      </c>
      <c r="BB57" s="60"/>
      <c r="BC57" s="60"/>
      <c r="BD57" s="60"/>
      <c r="BE57" s="60"/>
      <c r="BF57" s="60"/>
      <c r="BG57" s="61" t="s">
        <v>133</v>
      </c>
      <c r="BH57" s="124"/>
      <c r="BI57" s="18">
        <v>250</v>
      </c>
      <c r="BJ57" s="63">
        <v>250</v>
      </c>
      <c r="BK57" s="350"/>
      <c r="BL57" s="64"/>
      <c r="BM57" s="19"/>
      <c r="BN57" s="124"/>
      <c r="BO57" s="125"/>
      <c r="BP57" s="126"/>
      <c r="BQ57" s="21"/>
      <c r="BR57" s="68"/>
      <c r="BS57" s="68"/>
      <c r="BT57" s="68"/>
      <c r="BU57" s="1"/>
    </row>
    <row r="58" spans="1:214" ht="16.5" customHeight="1" thickBot="1" x14ac:dyDescent="0.35">
      <c r="A58" s="1"/>
      <c r="B58" s="374">
        <v>162</v>
      </c>
      <c r="C58" s="34">
        <f t="shared" si="73"/>
        <v>3</v>
      </c>
      <c r="D58" s="375" t="s">
        <v>144</v>
      </c>
      <c r="E58" s="233">
        <v>1</v>
      </c>
      <c r="F58" s="233"/>
      <c r="G58" s="233">
        <v>1</v>
      </c>
      <c r="H58" s="233"/>
      <c r="I58" s="233">
        <v>1</v>
      </c>
      <c r="J58" s="233"/>
      <c r="K58" s="233">
        <v>1</v>
      </c>
      <c r="L58" s="233"/>
      <c r="M58" s="233">
        <v>1</v>
      </c>
      <c r="N58" s="233"/>
      <c r="O58" s="233">
        <v>1</v>
      </c>
      <c r="P58" s="233"/>
      <c r="Q58" s="233">
        <v>1</v>
      </c>
      <c r="R58" s="50">
        <f t="shared" si="74"/>
        <v>1550</v>
      </c>
      <c r="S58" s="51">
        <f t="shared" si="75"/>
        <v>0</v>
      </c>
      <c r="T58" s="11">
        <f t="shared" si="76"/>
        <v>2050</v>
      </c>
      <c r="U58" s="52">
        <f>+BP58</f>
        <v>0</v>
      </c>
      <c r="V58" s="52" t="str">
        <f t="shared" si="77"/>
        <v>BONO+B ASIS</v>
      </c>
      <c r="W58" s="53">
        <f t="shared" si="78"/>
        <v>243.97333333333333</v>
      </c>
      <c r="X58" s="53">
        <f t="shared" si="79"/>
        <v>7.18</v>
      </c>
      <c r="Y58" s="53">
        <f t="shared" si="80"/>
        <v>7.18</v>
      </c>
      <c r="Z58" s="54">
        <f t="shared" si="81"/>
        <v>258.33333333333331</v>
      </c>
      <c r="AA58" s="55"/>
      <c r="AB58" s="53">
        <f t="shared" si="82"/>
        <v>243.97333333333333</v>
      </c>
      <c r="AC58" s="53">
        <f t="shared" si="83"/>
        <v>7.18</v>
      </c>
      <c r="AD58" s="53">
        <f t="shared" si="84"/>
        <v>7.18</v>
      </c>
      <c r="AE58" s="54">
        <f t="shared" si="85"/>
        <v>258.33333333333331</v>
      </c>
      <c r="AF58" s="56"/>
      <c r="AG58" s="53">
        <f t="shared" si="86"/>
        <v>243.97333333333333</v>
      </c>
      <c r="AH58" s="53">
        <f t="shared" si="87"/>
        <v>7.18</v>
      </c>
      <c r="AI58" s="53">
        <f t="shared" si="88"/>
        <v>7.18</v>
      </c>
      <c r="AJ58" s="54">
        <f t="shared" si="89"/>
        <v>258.33333333333331</v>
      </c>
      <c r="AK58" s="57"/>
      <c r="AL58" s="53">
        <f t="shared" si="90"/>
        <v>243.97333333333333</v>
      </c>
      <c r="AM58" s="53">
        <f t="shared" si="91"/>
        <v>7.18</v>
      </c>
      <c r="AN58" s="53">
        <f t="shared" si="92"/>
        <v>7.18</v>
      </c>
      <c r="AO58" s="54">
        <f t="shared" si="93"/>
        <v>258.33333333333331</v>
      </c>
      <c r="AP58" s="56"/>
      <c r="AQ58" s="53">
        <f t="shared" si="94"/>
        <v>243.97333333333333</v>
      </c>
      <c r="AR58" s="53">
        <f t="shared" si="95"/>
        <v>7.18</v>
      </c>
      <c r="AS58" s="53">
        <f t="shared" si="96"/>
        <v>7.18</v>
      </c>
      <c r="AT58" s="54">
        <f t="shared" si="97"/>
        <v>258.33333333333331</v>
      </c>
      <c r="AU58" s="56"/>
      <c r="AV58" s="53">
        <f t="shared" si="98"/>
        <v>243.97333333333333</v>
      </c>
      <c r="AW58" s="53">
        <f t="shared" si="99"/>
        <v>7.18</v>
      </c>
      <c r="AX58" s="53">
        <f t="shared" si="100"/>
        <v>7.18</v>
      </c>
      <c r="AY58" s="54">
        <f t="shared" si="101"/>
        <v>258.33333333333331</v>
      </c>
      <c r="AZ58" s="58">
        <f t="shared" si="102"/>
        <v>1549.9999999999998</v>
      </c>
      <c r="BA58" s="59">
        <f>((AZ58-BB58-BC58-BD58-BE58-BF58)+BI58+BJ58+BK58+BL58+BM58+BN58+BO58)</f>
        <v>2050</v>
      </c>
      <c r="BB58" s="60"/>
      <c r="BC58" s="60"/>
      <c r="BD58" s="60"/>
      <c r="BE58" s="60"/>
      <c r="BF58" s="60"/>
      <c r="BG58" s="61" t="s">
        <v>133</v>
      </c>
      <c r="BH58" s="124"/>
      <c r="BI58" s="18">
        <v>250</v>
      </c>
      <c r="BJ58" s="63">
        <v>250</v>
      </c>
      <c r="BK58" s="350"/>
      <c r="BL58" s="64"/>
      <c r="BM58" s="19"/>
      <c r="BN58" s="124"/>
      <c r="BO58" s="125"/>
      <c r="BP58" s="126"/>
      <c r="BQ58" s="21"/>
      <c r="BR58" s="68"/>
      <c r="BS58" s="68"/>
      <c r="BT58" s="68"/>
      <c r="BU58" s="1"/>
    </row>
    <row r="59" spans="1:214" ht="15.75" customHeight="1" thickBot="1" x14ac:dyDescent="0.35">
      <c r="A59" s="1">
        <v>470</v>
      </c>
      <c r="B59" s="275">
        <v>7</v>
      </c>
      <c r="C59" s="34">
        <f t="shared" si="73"/>
        <v>4</v>
      </c>
      <c r="D59" s="274" t="s">
        <v>43</v>
      </c>
      <c r="E59" s="233">
        <v>1</v>
      </c>
      <c r="F59" s="233"/>
      <c r="G59" s="233">
        <v>1</v>
      </c>
      <c r="H59" s="233"/>
      <c r="I59" s="233">
        <v>1</v>
      </c>
      <c r="J59" s="233"/>
      <c r="K59" s="233">
        <v>1</v>
      </c>
      <c r="L59" s="233"/>
      <c r="M59" s="233">
        <v>1</v>
      </c>
      <c r="N59" s="233"/>
      <c r="O59" s="233">
        <v>1</v>
      </c>
      <c r="P59" s="233"/>
      <c r="Q59" s="233">
        <v>1</v>
      </c>
      <c r="R59" s="339">
        <f>IF(Q59=1,6000,850)</f>
        <v>6000</v>
      </c>
      <c r="S59" s="51">
        <f t="shared" si="75"/>
        <v>0</v>
      </c>
      <c r="T59" s="11">
        <f t="shared" si="76"/>
        <v>6000</v>
      </c>
      <c r="U59" s="52">
        <f t="shared" ref="U59:U66" si="103">+BP59</f>
        <v>0</v>
      </c>
      <c r="V59" s="52">
        <f t="shared" si="77"/>
        <v>0</v>
      </c>
      <c r="W59" s="53">
        <f>(R59-86.16)/6*E59</f>
        <v>985.64</v>
      </c>
      <c r="X59" s="53">
        <f>$Y$2*E59*Q59</f>
        <v>7.18</v>
      </c>
      <c r="Y59" s="53">
        <f>$Y$2*E59*Q59</f>
        <v>7.18</v>
      </c>
      <c r="Z59" s="54">
        <f>Y59+X59+W59</f>
        <v>1000</v>
      </c>
      <c r="AA59" s="55"/>
      <c r="AB59" s="53">
        <f>(R59-86.16)/6*G59</f>
        <v>985.64</v>
      </c>
      <c r="AC59" s="53">
        <f>$Y$2*G59*Q59</f>
        <v>7.18</v>
      </c>
      <c r="AD59" s="53">
        <f>$Y$2*G59*Q59</f>
        <v>7.18</v>
      </c>
      <c r="AE59" s="54">
        <f>AD59+AC59+AB59</f>
        <v>1000</v>
      </c>
      <c r="AF59" s="56"/>
      <c r="AG59" s="53">
        <f>(R59-86.16)/6*I59</f>
        <v>985.64</v>
      </c>
      <c r="AH59" s="53">
        <f>$Y$2*I59*Q59</f>
        <v>7.18</v>
      </c>
      <c r="AI59" s="53">
        <f>$Y$2*I59*Q59</f>
        <v>7.18</v>
      </c>
      <c r="AJ59" s="54">
        <f>AI59+AH59+AG59</f>
        <v>1000</v>
      </c>
      <c r="AK59" s="57"/>
      <c r="AL59" s="53">
        <f>(R59-86.16)/6*K59</f>
        <v>985.64</v>
      </c>
      <c r="AM59" s="53">
        <f t="shared" si="91"/>
        <v>7.18</v>
      </c>
      <c r="AN59" s="53">
        <f>$Y$2*K59*Q59</f>
        <v>7.18</v>
      </c>
      <c r="AO59" s="54">
        <f>AN59+AM59+AL59</f>
        <v>1000</v>
      </c>
      <c r="AP59" s="56"/>
      <c r="AQ59" s="53">
        <f>(R59-86.16)/6*M59</f>
        <v>985.64</v>
      </c>
      <c r="AR59" s="53">
        <f>$Y$2*M59*Q59</f>
        <v>7.18</v>
      </c>
      <c r="AS59" s="53">
        <f>$Y$2*M59*Q59</f>
        <v>7.18</v>
      </c>
      <c r="AT59" s="54">
        <f>AS59+AR59+AQ59</f>
        <v>1000</v>
      </c>
      <c r="AU59" s="56"/>
      <c r="AV59" s="53">
        <f>(R59-86.16)/6*O59</f>
        <v>985.64</v>
      </c>
      <c r="AW59" s="53">
        <f>$Y$2*O59*Q59</f>
        <v>7.18</v>
      </c>
      <c r="AX59" s="53">
        <f>$Y$2*O59*Q59</f>
        <v>7.18</v>
      </c>
      <c r="AY59" s="54">
        <f>AX59+AW59+AV59</f>
        <v>1000</v>
      </c>
      <c r="AZ59" s="58">
        <f t="shared" si="102"/>
        <v>6000</v>
      </c>
      <c r="BA59" s="59">
        <f>((AZ59-BB59-BC59-BD59-BE59-BF59)+BI59+BJ59+BK59+BL59+BM59+BN59+BO59)</f>
        <v>6000</v>
      </c>
      <c r="BB59" s="60"/>
      <c r="BC59" s="60"/>
      <c r="BD59" s="60"/>
      <c r="BE59" s="60"/>
      <c r="BF59" s="60"/>
      <c r="BG59" s="61"/>
      <c r="BH59" s="62"/>
      <c r="BI59" s="63"/>
      <c r="BJ59" s="63"/>
      <c r="BK59" s="64"/>
      <c r="BL59" s="64"/>
      <c r="BM59" s="65"/>
      <c r="BN59" s="65"/>
      <c r="BO59" s="66"/>
      <c r="BP59" s="67"/>
      <c r="BQ59" s="21"/>
      <c r="BR59" s="48"/>
      <c r="BS59" s="48"/>
      <c r="BT59" s="68"/>
      <c r="BU59" s="1">
        <v>470</v>
      </c>
      <c r="GG59" s="69"/>
      <c r="GH59" s="69"/>
      <c r="GI59" s="69"/>
      <c r="GJ59" s="69"/>
      <c r="GK59" s="69"/>
      <c r="GL59" s="69"/>
      <c r="GM59" s="69"/>
      <c r="GN59" s="69"/>
      <c r="GO59" s="69"/>
      <c r="GP59" s="69"/>
      <c r="GQ59" s="69"/>
      <c r="GR59" s="69"/>
      <c r="GS59" s="69"/>
      <c r="GT59" s="69"/>
      <c r="GU59" s="69"/>
      <c r="GV59" s="69"/>
      <c r="GW59" s="69"/>
      <c r="GX59" s="69"/>
      <c r="GY59" s="69"/>
      <c r="GZ59" s="69"/>
      <c r="HA59" s="69"/>
      <c r="HB59" s="69"/>
      <c r="HC59" s="69"/>
      <c r="HD59" s="69"/>
      <c r="HE59" s="69"/>
      <c r="HF59" s="69"/>
    </row>
    <row r="60" spans="1:214" ht="15.75" customHeight="1" thickBot="1" x14ac:dyDescent="0.35">
      <c r="A60" s="1"/>
      <c r="B60" s="359">
        <v>175</v>
      </c>
      <c r="C60" s="34">
        <f t="shared" si="73"/>
        <v>5</v>
      </c>
      <c r="D60" s="358" t="s">
        <v>161</v>
      </c>
      <c r="E60" s="233">
        <v>1</v>
      </c>
      <c r="F60" s="233"/>
      <c r="G60" s="233">
        <v>1</v>
      </c>
      <c r="H60" s="233"/>
      <c r="I60" s="233">
        <v>1</v>
      </c>
      <c r="J60" s="233"/>
      <c r="K60" s="233">
        <v>1</v>
      </c>
      <c r="L60" s="233"/>
      <c r="M60" s="348">
        <v>0</v>
      </c>
      <c r="N60" s="349" t="s">
        <v>129</v>
      </c>
      <c r="O60" s="348">
        <v>0</v>
      </c>
      <c r="P60" s="349" t="s">
        <v>129</v>
      </c>
      <c r="Q60" s="233">
        <v>1</v>
      </c>
      <c r="R60" s="50">
        <f t="shared" si="74"/>
        <v>1550</v>
      </c>
      <c r="S60" s="51">
        <f t="shared" si="75"/>
        <v>0</v>
      </c>
      <c r="T60" s="11">
        <f t="shared" si="76"/>
        <v>828.56</v>
      </c>
      <c r="U60" s="52">
        <f t="shared" si="103"/>
        <v>0</v>
      </c>
      <c r="V60" s="52">
        <f t="shared" si="77"/>
        <v>0</v>
      </c>
      <c r="W60" s="53">
        <f>(R60-86.16)/6*E60</f>
        <v>243.97333333333333</v>
      </c>
      <c r="X60" s="53">
        <f t="shared" si="79"/>
        <v>7.18</v>
      </c>
      <c r="Y60" s="53">
        <f t="shared" si="80"/>
        <v>7.18</v>
      </c>
      <c r="Z60" s="54">
        <f t="shared" ref="Z60:Z66" si="104">Y60+X60+W60</f>
        <v>258.33333333333331</v>
      </c>
      <c r="AA60" s="55"/>
      <c r="AB60" s="53">
        <f t="shared" si="82"/>
        <v>243.97333333333333</v>
      </c>
      <c r="AC60" s="53">
        <f t="shared" si="83"/>
        <v>7.18</v>
      </c>
      <c r="AD60" s="53">
        <f t="shared" si="84"/>
        <v>7.18</v>
      </c>
      <c r="AE60" s="54">
        <f t="shared" si="85"/>
        <v>258.33333333333331</v>
      </c>
      <c r="AF60" s="56"/>
      <c r="AG60" s="53">
        <f t="shared" si="86"/>
        <v>243.97333333333333</v>
      </c>
      <c r="AH60" s="53">
        <f t="shared" si="87"/>
        <v>7.18</v>
      </c>
      <c r="AI60" s="53">
        <f t="shared" si="88"/>
        <v>7.18</v>
      </c>
      <c r="AJ60" s="54">
        <f t="shared" si="89"/>
        <v>258.33333333333331</v>
      </c>
      <c r="AK60" s="57"/>
      <c r="AL60" s="53">
        <f t="shared" si="90"/>
        <v>243.97333333333333</v>
      </c>
      <c r="AM60" s="53">
        <f>$Y$2*K60*Q60</f>
        <v>7.18</v>
      </c>
      <c r="AN60" s="53">
        <f t="shared" si="92"/>
        <v>7.18</v>
      </c>
      <c r="AO60" s="54">
        <f t="shared" si="93"/>
        <v>258.33333333333331</v>
      </c>
      <c r="AP60" s="56"/>
      <c r="AQ60" s="53">
        <f t="shared" si="94"/>
        <v>0</v>
      </c>
      <c r="AR60" s="53">
        <f t="shared" si="95"/>
        <v>0</v>
      </c>
      <c r="AS60" s="53">
        <f t="shared" si="96"/>
        <v>0</v>
      </c>
      <c r="AT60" s="54">
        <f t="shared" si="97"/>
        <v>0</v>
      </c>
      <c r="AU60" s="56"/>
      <c r="AV60" s="53">
        <f t="shared" si="98"/>
        <v>0</v>
      </c>
      <c r="AW60" s="53">
        <f t="shared" si="99"/>
        <v>0</v>
      </c>
      <c r="AX60" s="53">
        <f t="shared" si="100"/>
        <v>0</v>
      </c>
      <c r="AY60" s="54">
        <f t="shared" si="101"/>
        <v>0</v>
      </c>
      <c r="AZ60" s="58">
        <f t="shared" si="102"/>
        <v>1033.3333333333333</v>
      </c>
      <c r="BA60" s="59">
        <v>828.56</v>
      </c>
      <c r="BB60" s="60"/>
      <c r="BC60" s="60"/>
      <c r="BD60" s="60"/>
      <c r="BE60" s="60"/>
      <c r="BF60" s="60"/>
      <c r="BG60" s="61"/>
      <c r="BH60" s="62"/>
      <c r="BI60" s="63"/>
      <c r="BJ60" s="63"/>
      <c r="BK60" s="64"/>
      <c r="BL60" s="64"/>
      <c r="BM60" s="65"/>
      <c r="BN60" s="65"/>
      <c r="BO60" s="66"/>
      <c r="BP60" s="67"/>
      <c r="BQ60" s="21"/>
      <c r="BR60" s="48"/>
      <c r="BS60" s="48"/>
      <c r="BT60" s="68"/>
      <c r="BU60" s="1"/>
      <c r="GG60" s="69"/>
      <c r="GH60" s="69"/>
      <c r="GI60" s="69"/>
      <c r="GJ60" s="69"/>
      <c r="GK60" s="69"/>
      <c r="GL60" s="69"/>
      <c r="GM60" s="69"/>
      <c r="GN60" s="69"/>
      <c r="GO60" s="69"/>
      <c r="GP60" s="69"/>
      <c r="GQ60" s="69"/>
      <c r="GR60" s="69"/>
      <c r="GS60" s="69"/>
      <c r="GT60" s="69"/>
      <c r="GU60" s="69"/>
      <c r="GV60" s="69"/>
      <c r="GW60" s="69"/>
      <c r="GX60" s="69"/>
      <c r="GY60" s="69"/>
      <c r="GZ60" s="69"/>
      <c r="HA60" s="69"/>
      <c r="HB60" s="69"/>
      <c r="HC60" s="69"/>
      <c r="HD60" s="69"/>
      <c r="HE60" s="69"/>
      <c r="HF60" s="69"/>
    </row>
    <row r="61" spans="1:214" ht="15.75" customHeight="1" thickBot="1" x14ac:dyDescent="0.35">
      <c r="A61" s="1">
        <v>468</v>
      </c>
      <c r="B61" s="374">
        <v>14</v>
      </c>
      <c r="C61" s="34">
        <f t="shared" si="73"/>
        <v>6</v>
      </c>
      <c r="D61" s="375" t="s">
        <v>57</v>
      </c>
      <c r="E61" s="233">
        <v>1</v>
      </c>
      <c r="F61" s="233"/>
      <c r="G61" s="233">
        <v>1</v>
      </c>
      <c r="H61" s="233"/>
      <c r="I61" s="233">
        <v>1</v>
      </c>
      <c r="J61" s="233"/>
      <c r="K61" s="233">
        <v>1</v>
      </c>
      <c r="L61" s="233"/>
      <c r="M61" s="233">
        <v>1</v>
      </c>
      <c r="N61" s="233"/>
      <c r="O61" s="233">
        <v>1</v>
      </c>
      <c r="P61" s="233"/>
      <c r="Q61" s="233">
        <v>1</v>
      </c>
      <c r="R61" s="50">
        <f t="shared" si="74"/>
        <v>1550</v>
      </c>
      <c r="S61" s="51">
        <f t="shared" si="75"/>
        <v>0</v>
      </c>
      <c r="T61" s="11">
        <f t="shared" si="76"/>
        <v>1949.9999999999998</v>
      </c>
      <c r="U61" s="52">
        <f t="shared" si="103"/>
        <v>0</v>
      </c>
      <c r="V61" s="52" t="str">
        <f t="shared" si="77"/>
        <v>BONO+B ASIS</v>
      </c>
      <c r="W61" s="53">
        <f t="shared" ref="W61:W67" si="105">(R61-86.16)/6*E61</f>
        <v>243.97333333333333</v>
      </c>
      <c r="X61" s="53">
        <f t="shared" si="79"/>
        <v>7.18</v>
      </c>
      <c r="Y61" s="53">
        <f t="shared" si="80"/>
        <v>7.18</v>
      </c>
      <c r="Z61" s="54">
        <f t="shared" si="104"/>
        <v>258.33333333333331</v>
      </c>
      <c r="AA61" s="55"/>
      <c r="AB61" s="53">
        <f t="shared" si="82"/>
        <v>243.97333333333333</v>
      </c>
      <c r="AC61" s="53">
        <f t="shared" si="83"/>
        <v>7.18</v>
      </c>
      <c r="AD61" s="53">
        <f t="shared" si="84"/>
        <v>7.18</v>
      </c>
      <c r="AE61" s="54">
        <f t="shared" si="85"/>
        <v>258.33333333333331</v>
      </c>
      <c r="AF61" s="56"/>
      <c r="AG61" s="53">
        <f t="shared" si="86"/>
        <v>243.97333333333333</v>
      </c>
      <c r="AH61" s="53">
        <f t="shared" si="87"/>
        <v>7.18</v>
      </c>
      <c r="AI61" s="53">
        <f t="shared" si="88"/>
        <v>7.18</v>
      </c>
      <c r="AJ61" s="54">
        <f t="shared" si="89"/>
        <v>258.33333333333331</v>
      </c>
      <c r="AK61" s="57"/>
      <c r="AL61" s="53">
        <f t="shared" si="90"/>
        <v>243.97333333333333</v>
      </c>
      <c r="AM61" s="53">
        <f t="shared" si="91"/>
        <v>7.18</v>
      </c>
      <c r="AN61" s="53">
        <f t="shared" si="92"/>
        <v>7.18</v>
      </c>
      <c r="AO61" s="54">
        <f t="shared" si="93"/>
        <v>258.33333333333331</v>
      </c>
      <c r="AP61" s="56"/>
      <c r="AQ61" s="53">
        <f t="shared" si="94"/>
        <v>243.97333333333333</v>
      </c>
      <c r="AR61" s="53">
        <f t="shared" si="95"/>
        <v>7.18</v>
      </c>
      <c r="AS61" s="53">
        <f t="shared" si="96"/>
        <v>7.18</v>
      </c>
      <c r="AT61" s="54">
        <f t="shared" si="97"/>
        <v>258.33333333333331</v>
      </c>
      <c r="AU61" s="56"/>
      <c r="AV61" s="53">
        <f t="shared" si="98"/>
        <v>243.97333333333333</v>
      </c>
      <c r="AW61" s="53">
        <f t="shared" si="99"/>
        <v>7.18</v>
      </c>
      <c r="AX61" s="53">
        <f t="shared" si="100"/>
        <v>7.18</v>
      </c>
      <c r="AY61" s="54">
        <f t="shared" si="101"/>
        <v>258.33333333333331</v>
      </c>
      <c r="AZ61" s="58">
        <f t="shared" si="102"/>
        <v>1549.9999999999998</v>
      </c>
      <c r="BA61" s="59">
        <f>((AZ61-BB61-BC61-BD61-BE61-BF61)+BI61+BJ61+BK61+BL61+BM61+BN61+BO61)</f>
        <v>1949.9999999999998</v>
      </c>
      <c r="BB61" s="60"/>
      <c r="BC61" s="60"/>
      <c r="BD61" s="60"/>
      <c r="BE61" s="60"/>
      <c r="BF61" s="60"/>
      <c r="BG61" s="61" t="s">
        <v>133</v>
      </c>
      <c r="BH61" s="62"/>
      <c r="BI61" s="63">
        <v>250</v>
      </c>
      <c r="BJ61" s="63">
        <v>150</v>
      </c>
      <c r="BK61" s="64"/>
      <c r="BL61" s="64"/>
      <c r="BM61" s="65"/>
      <c r="BN61" s="65"/>
      <c r="BO61" s="66"/>
      <c r="BP61" s="67"/>
      <c r="BQ61" s="21"/>
      <c r="BR61" s="48"/>
      <c r="BS61" s="48"/>
      <c r="BT61" s="68"/>
      <c r="BU61" s="1">
        <v>468</v>
      </c>
      <c r="GG61" s="69"/>
      <c r="GH61" s="69"/>
      <c r="GI61" s="69"/>
      <c r="GJ61" s="69"/>
      <c r="GK61" s="69"/>
      <c r="GL61" s="69"/>
      <c r="GM61" s="69"/>
      <c r="GN61" s="69"/>
      <c r="GO61" s="69"/>
      <c r="GP61" s="69"/>
      <c r="GQ61" s="69"/>
      <c r="GR61" s="69"/>
      <c r="GS61" s="69"/>
      <c r="GT61" s="69"/>
      <c r="GU61" s="69"/>
      <c r="GV61" s="69"/>
      <c r="GW61" s="69"/>
      <c r="GX61" s="69"/>
      <c r="GY61" s="69"/>
      <c r="GZ61" s="69"/>
      <c r="HA61" s="69"/>
      <c r="HB61" s="69"/>
      <c r="HC61" s="69"/>
      <c r="HD61" s="69"/>
      <c r="HE61" s="69"/>
      <c r="HF61" s="69"/>
    </row>
    <row r="62" spans="1:214" s="69" customFormat="1" ht="15.75" customHeight="1" thickBot="1" x14ac:dyDescent="0.35">
      <c r="A62" s="1"/>
      <c r="B62" s="359">
        <v>174</v>
      </c>
      <c r="C62" s="34">
        <f t="shared" si="73"/>
        <v>7</v>
      </c>
      <c r="D62" s="358" t="s">
        <v>160</v>
      </c>
      <c r="E62" s="348">
        <v>0</v>
      </c>
      <c r="F62" s="349" t="s">
        <v>129</v>
      </c>
      <c r="G62" s="233">
        <v>1</v>
      </c>
      <c r="H62" s="233"/>
      <c r="I62" s="233">
        <v>1</v>
      </c>
      <c r="J62" s="233"/>
      <c r="K62" s="233">
        <v>1</v>
      </c>
      <c r="L62" s="233"/>
      <c r="M62" s="233">
        <v>1</v>
      </c>
      <c r="N62" s="233"/>
      <c r="O62" s="233">
        <v>1</v>
      </c>
      <c r="P62" s="233"/>
      <c r="Q62" s="233">
        <v>1</v>
      </c>
      <c r="R62" s="50">
        <f t="shared" si="74"/>
        <v>1550</v>
      </c>
      <c r="S62" s="51">
        <f t="shared" si="75"/>
        <v>0</v>
      </c>
      <c r="T62" s="11">
        <f t="shared" si="76"/>
        <v>2114.2766666666666</v>
      </c>
      <c r="U62" s="52">
        <f t="shared" si="103"/>
        <v>0</v>
      </c>
      <c r="V62" s="52">
        <f t="shared" si="77"/>
        <v>0</v>
      </c>
      <c r="W62" s="53">
        <f t="shared" si="105"/>
        <v>0</v>
      </c>
      <c r="X62" s="53">
        <f t="shared" si="79"/>
        <v>0</v>
      </c>
      <c r="Y62" s="53">
        <f t="shared" si="80"/>
        <v>0</v>
      </c>
      <c r="Z62" s="54">
        <f t="shared" si="104"/>
        <v>0</v>
      </c>
      <c r="AA62" s="55"/>
      <c r="AB62" s="53">
        <f t="shared" si="82"/>
        <v>243.97333333333333</v>
      </c>
      <c r="AC62" s="53">
        <f t="shared" si="83"/>
        <v>7.18</v>
      </c>
      <c r="AD62" s="53">
        <f t="shared" si="84"/>
        <v>7.18</v>
      </c>
      <c r="AE62" s="54">
        <f t="shared" si="85"/>
        <v>258.33333333333331</v>
      </c>
      <c r="AF62" s="56"/>
      <c r="AG62" s="53">
        <f t="shared" si="86"/>
        <v>243.97333333333333</v>
      </c>
      <c r="AH62" s="53">
        <f t="shared" si="87"/>
        <v>7.18</v>
      </c>
      <c r="AI62" s="53">
        <f t="shared" si="88"/>
        <v>7.18</v>
      </c>
      <c r="AJ62" s="54">
        <f t="shared" si="89"/>
        <v>258.33333333333331</v>
      </c>
      <c r="AK62" s="57"/>
      <c r="AL62" s="53">
        <f t="shared" si="90"/>
        <v>243.97333333333333</v>
      </c>
      <c r="AM62" s="53">
        <f t="shared" si="91"/>
        <v>7.18</v>
      </c>
      <c r="AN62" s="53">
        <f t="shared" si="92"/>
        <v>7.18</v>
      </c>
      <c r="AO62" s="54">
        <f t="shared" si="93"/>
        <v>258.33333333333331</v>
      </c>
      <c r="AP62" s="56"/>
      <c r="AQ62" s="53">
        <f t="shared" si="94"/>
        <v>243.97333333333333</v>
      </c>
      <c r="AR62" s="53">
        <f t="shared" si="95"/>
        <v>7.18</v>
      </c>
      <c r="AS62" s="53">
        <f t="shared" si="96"/>
        <v>7.18</v>
      </c>
      <c r="AT62" s="54">
        <f t="shared" si="97"/>
        <v>258.33333333333331</v>
      </c>
      <c r="AU62" s="56"/>
      <c r="AV62" s="53">
        <f t="shared" si="98"/>
        <v>243.97333333333333</v>
      </c>
      <c r="AW62" s="53">
        <f t="shared" si="99"/>
        <v>7.18</v>
      </c>
      <c r="AX62" s="53">
        <f t="shared" si="100"/>
        <v>7.18</v>
      </c>
      <c r="AY62" s="54">
        <f t="shared" si="101"/>
        <v>258.33333333333331</v>
      </c>
      <c r="AZ62" s="58">
        <f t="shared" si="102"/>
        <v>1291.6666666666665</v>
      </c>
      <c r="BA62" s="59">
        <f>((AZ62-BB62-BC62-BD62-BE62-BF62)+BI62+BJ62+BK62+BL62+BM62+BN62+BO62)</f>
        <v>2114.2766666666666</v>
      </c>
      <c r="BB62" s="60"/>
      <c r="BC62" s="60"/>
      <c r="BD62" s="60"/>
      <c r="BE62" s="60"/>
      <c r="BF62" s="60"/>
      <c r="BG62" s="61"/>
      <c r="BH62" s="62"/>
      <c r="BI62" s="63">
        <v>250</v>
      </c>
      <c r="BJ62" s="63"/>
      <c r="BK62" s="350"/>
      <c r="BL62" s="64">
        <f>414.28+158.33</f>
        <v>572.61</v>
      </c>
      <c r="BM62" s="65"/>
      <c r="BN62" s="65"/>
      <c r="BO62" s="66"/>
      <c r="BP62" s="67"/>
      <c r="BQ62" s="21"/>
      <c r="BR62" s="48"/>
      <c r="BS62" s="48"/>
      <c r="BT62" s="68"/>
      <c r="BU62" s="1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</row>
    <row r="63" spans="1:214" s="69" customFormat="1" ht="15.75" customHeight="1" thickBot="1" x14ac:dyDescent="0.35">
      <c r="A63" s="1"/>
      <c r="B63" s="353">
        <v>140</v>
      </c>
      <c r="C63" s="34">
        <f t="shared" si="73"/>
        <v>8</v>
      </c>
      <c r="D63" s="375" t="s">
        <v>117</v>
      </c>
      <c r="E63" s="348">
        <v>0</v>
      </c>
      <c r="F63" s="349" t="s">
        <v>129</v>
      </c>
      <c r="G63" s="233">
        <v>1</v>
      </c>
      <c r="H63" s="258"/>
      <c r="I63" s="348">
        <v>0</v>
      </c>
      <c r="J63" s="349" t="s">
        <v>129</v>
      </c>
      <c r="K63" s="348">
        <v>0</v>
      </c>
      <c r="L63" s="349" t="s">
        <v>129</v>
      </c>
      <c r="M63" s="233">
        <v>1</v>
      </c>
      <c r="N63" s="258"/>
      <c r="O63" s="233">
        <v>1</v>
      </c>
      <c r="P63" s="258"/>
      <c r="Q63" s="49">
        <v>1</v>
      </c>
      <c r="R63" s="50">
        <f t="shared" si="74"/>
        <v>1550</v>
      </c>
      <c r="S63" s="51">
        <f t="shared" si="75"/>
        <v>0</v>
      </c>
      <c r="T63" s="11">
        <f t="shared" si="76"/>
        <v>414.28</v>
      </c>
      <c r="U63" s="52">
        <f t="shared" si="103"/>
        <v>0</v>
      </c>
      <c r="V63" s="52">
        <f t="shared" si="77"/>
        <v>0</v>
      </c>
      <c r="W63" s="53">
        <f t="shared" si="105"/>
        <v>0</v>
      </c>
      <c r="X63" s="53">
        <f t="shared" si="79"/>
        <v>0</v>
      </c>
      <c r="Y63" s="53">
        <f t="shared" si="80"/>
        <v>0</v>
      </c>
      <c r="Z63" s="54">
        <f t="shared" si="104"/>
        <v>0</v>
      </c>
      <c r="AA63" s="55"/>
      <c r="AB63" s="53">
        <f t="shared" si="82"/>
        <v>243.97333333333333</v>
      </c>
      <c r="AC63" s="53">
        <f t="shared" si="83"/>
        <v>7.18</v>
      </c>
      <c r="AD63" s="53">
        <f t="shared" si="84"/>
        <v>7.18</v>
      </c>
      <c r="AE63" s="54">
        <f t="shared" si="85"/>
        <v>258.33333333333331</v>
      </c>
      <c r="AF63" s="56"/>
      <c r="AG63" s="53">
        <f t="shared" si="86"/>
        <v>0</v>
      </c>
      <c r="AH63" s="53">
        <f t="shared" si="87"/>
        <v>0</v>
      </c>
      <c r="AI63" s="53">
        <f t="shared" si="88"/>
        <v>0</v>
      </c>
      <c r="AJ63" s="54">
        <f t="shared" si="89"/>
        <v>0</v>
      </c>
      <c r="AK63" s="57"/>
      <c r="AL63" s="53">
        <f t="shared" si="90"/>
        <v>0</v>
      </c>
      <c r="AM63" s="53">
        <f t="shared" si="91"/>
        <v>0</v>
      </c>
      <c r="AN63" s="53">
        <f t="shared" si="92"/>
        <v>0</v>
      </c>
      <c r="AO63" s="54">
        <f t="shared" si="93"/>
        <v>0</v>
      </c>
      <c r="AP63" s="56"/>
      <c r="AQ63" s="53">
        <f t="shared" si="94"/>
        <v>243.97333333333333</v>
      </c>
      <c r="AR63" s="53">
        <f t="shared" si="95"/>
        <v>7.18</v>
      </c>
      <c r="AS63" s="53">
        <f t="shared" si="96"/>
        <v>7.18</v>
      </c>
      <c r="AT63" s="54">
        <f t="shared" si="97"/>
        <v>258.33333333333331</v>
      </c>
      <c r="AU63" s="56"/>
      <c r="AV63" s="53">
        <f t="shared" si="98"/>
        <v>243.97333333333333</v>
      </c>
      <c r="AW63" s="53">
        <f t="shared" si="99"/>
        <v>7.18</v>
      </c>
      <c r="AX63" s="53">
        <f t="shared" si="100"/>
        <v>7.18</v>
      </c>
      <c r="AY63" s="54">
        <f t="shared" si="101"/>
        <v>258.33333333333331</v>
      </c>
      <c r="AZ63" s="58">
        <f t="shared" si="102"/>
        <v>775</v>
      </c>
      <c r="BA63" s="59">
        <v>414.28</v>
      </c>
      <c r="BB63" s="60"/>
      <c r="BC63" s="60"/>
      <c r="BD63" s="60"/>
      <c r="BE63" s="60"/>
      <c r="BF63" s="60"/>
      <c r="BG63" s="61"/>
      <c r="BH63" s="62"/>
      <c r="BI63" s="63"/>
      <c r="BJ63" s="63"/>
      <c r="BK63" s="64"/>
      <c r="BL63" s="64"/>
      <c r="BM63" s="65"/>
      <c r="BN63" s="65"/>
      <c r="BO63" s="66"/>
      <c r="BP63" s="67"/>
      <c r="BQ63" s="21"/>
      <c r="BR63" s="48"/>
      <c r="BS63" s="48"/>
      <c r="BT63" s="68"/>
      <c r="BU63" s="1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</row>
    <row r="64" spans="1:214" s="69" customFormat="1" ht="15.75" customHeight="1" thickBot="1" x14ac:dyDescent="0.35">
      <c r="A64" s="1"/>
      <c r="B64" s="359">
        <v>176</v>
      </c>
      <c r="C64" s="34">
        <f t="shared" si="73"/>
        <v>9</v>
      </c>
      <c r="D64" s="358" t="s">
        <v>162</v>
      </c>
      <c r="E64" s="233">
        <v>1</v>
      </c>
      <c r="F64" s="233"/>
      <c r="G64" s="233">
        <v>1</v>
      </c>
      <c r="H64" s="233"/>
      <c r="I64" s="233">
        <v>1</v>
      </c>
      <c r="J64" s="233"/>
      <c r="K64" s="233">
        <v>1</v>
      </c>
      <c r="L64" s="233"/>
      <c r="M64" s="233">
        <v>1</v>
      </c>
      <c r="N64" s="233"/>
      <c r="O64" s="233">
        <v>1</v>
      </c>
      <c r="P64" s="233"/>
      <c r="Q64" s="233">
        <v>1</v>
      </c>
      <c r="R64" s="50">
        <f t="shared" si="74"/>
        <v>1550</v>
      </c>
      <c r="S64" s="51"/>
      <c r="T64" s="11">
        <f>+BA64</f>
        <v>1949.9999999999998</v>
      </c>
      <c r="U64" s="52">
        <f t="shared" si="103"/>
        <v>0</v>
      </c>
      <c r="V64" s="52" t="str">
        <f t="shared" si="77"/>
        <v>B ASIS</v>
      </c>
      <c r="W64" s="53">
        <f t="shared" si="105"/>
        <v>243.97333333333333</v>
      </c>
      <c r="X64" s="53">
        <f t="shared" si="79"/>
        <v>7.18</v>
      </c>
      <c r="Y64" s="53">
        <f t="shared" si="80"/>
        <v>7.18</v>
      </c>
      <c r="Z64" s="54">
        <f t="shared" si="104"/>
        <v>258.33333333333331</v>
      </c>
      <c r="AA64" s="55"/>
      <c r="AB64" s="53">
        <f t="shared" si="82"/>
        <v>243.97333333333333</v>
      </c>
      <c r="AC64" s="53">
        <f t="shared" si="83"/>
        <v>7.18</v>
      </c>
      <c r="AD64" s="53">
        <f t="shared" si="84"/>
        <v>7.18</v>
      </c>
      <c r="AE64" s="54">
        <f t="shared" si="85"/>
        <v>258.33333333333331</v>
      </c>
      <c r="AF64" s="56"/>
      <c r="AG64" s="53">
        <f t="shared" si="86"/>
        <v>243.97333333333333</v>
      </c>
      <c r="AH64" s="53">
        <f t="shared" si="87"/>
        <v>7.18</v>
      </c>
      <c r="AI64" s="53">
        <f t="shared" si="88"/>
        <v>7.18</v>
      </c>
      <c r="AJ64" s="54">
        <f t="shared" si="89"/>
        <v>258.33333333333331</v>
      </c>
      <c r="AK64" s="57"/>
      <c r="AL64" s="53">
        <f t="shared" si="90"/>
        <v>243.97333333333333</v>
      </c>
      <c r="AM64" s="53">
        <f t="shared" si="91"/>
        <v>7.18</v>
      </c>
      <c r="AN64" s="53">
        <f t="shared" si="92"/>
        <v>7.18</v>
      </c>
      <c r="AO64" s="54">
        <f t="shared" si="93"/>
        <v>258.33333333333331</v>
      </c>
      <c r="AP64" s="56"/>
      <c r="AQ64" s="53">
        <f t="shared" si="94"/>
        <v>243.97333333333333</v>
      </c>
      <c r="AR64" s="53">
        <f t="shared" si="95"/>
        <v>7.18</v>
      </c>
      <c r="AS64" s="53">
        <f t="shared" si="96"/>
        <v>7.18</v>
      </c>
      <c r="AT64" s="54">
        <f t="shared" si="97"/>
        <v>258.33333333333331</v>
      </c>
      <c r="AU64" s="56"/>
      <c r="AV64" s="53">
        <f t="shared" si="98"/>
        <v>243.97333333333333</v>
      </c>
      <c r="AW64" s="53">
        <f t="shared" si="99"/>
        <v>7.18</v>
      </c>
      <c r="AX64" s="53">
        <f t="shared" si="100"/>
        <v>7.18</v>
      </c>
      <c r="AY64" s="54">
        <f t="shared" si="101"/>
        <v>258.33333333333331</v>
      </c>
      <c r="AZ64" s="58">
        <f t="shared" si="102"/>
        <v>1549.9999999999998</v>
      </c>
      <c r="BA64" s="59">
        <f>((AZ64-BB64-BC64-BD64-BE64-BF64)+BI64+BJ64+BK64+BL64+BM64+BN64+BO64)</f>
        <v>1949.9999999999998</v>
      </c>
      <c r="BB64" s="60"/>
      <c r="BC64" s="60"/>
      <c r="BD64" s="60"/>
      <c r="BE64" s="60"/>
      <c r="BF64" s="60"/>
      <c r="BG64" s="61" t="s">
        <v>174</v>
      </c>
      <c r="BH64" s="62"/>
      <c r="BI64" s="63">
        <v>150</v>
      </c>
      <c r="BJ64" s="63">
        <v>250</v>
      </c>
      <c r="BK64" s="64"/>
      <c r="BL64" s="64"/>
      <c r="BM64" s="65"/>
      <c r="BN64" s="65"/>
      <c r="BO64" s="66"/>
      <c r="BP64" s="67"/>
      <c r="BQ64" s="21"/>
      <c r="BR64" s="48"/>
      <c r="BS64" s="48"/>
      <c r="BT64" s="68"/>
      <c r="BU64" s="1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</row>
    <row r="65" spans="1:188" s="69" customFormat="1" ht="17.25" customHeight="1" thickBot="1" x14ac:dyDescent="0.35">
      <c r="A65" s="1"/>
      <c r="B65" s="380">
        <v>53</v>
      </c>
      <c r="C65" s="34">
        <f t="shared" si="73"/>
        <v>10</v>
      </c>
      <c r="D65" s="259" t="s">
        <v>59</v>
      </c>
      <c r="E65" s="233">
        <v>1</v>
      </c>
      <c r="F65" s="233"/>
      <c r="G65" s="233">
        <v>1</v>
      </c>
      <c r="H65" s="233"/>
      <c r="I65" s="233">
        <v>1</v>
      </c>
      <c r="J65" s="233"/>
      <c r="K65" s="233">
        <v>1</v>
      </c>
      <c r="L65" s="233"/>
      <c r="M65" s="233">
        <v>1</v>
      </c>
      <c r="N65" s="233"/>
      <c r="O65" s="233">
        <v>1</v>
      </c>
      <c r="P65" s="233"/>
      <c r="Q65" s="233">
        <v>1</v>
      </c>
      <c r="R65" s="50">
        <f>IF(Q65=1,1600,850)</f>
        <v>1600</v>
      </c>
      <c r="S65" s="51">
        <f>+BH65</f>
        <v>0</v>
      </c>
      <c r="T65" s="11">
        <f>+BA65</f>
        <v>2107.1399999999994</v>
      </c>
      <c r="U65" s="52">
        <f t="shared" si="103"/>
        <v>0</v>
      </c>
      <c r="V65" s="52" t="str">
        <f t="shared" si="77"/>
        <v>BONO+B ASIS+ T EXT</v>
      </c>
      <c r="W65" s="53">
        <f t="shared" si="105"/>
        <v>252.30666666666664</v>
      </c>
      <c r="X65" s="53">
        <f t="shared" si="79"/>
        <v>7.18</v>
      </c>
      <c r="Y65" s="53">
        <f t="shared" si="80"/>
        <v>7.18</v>
      </c>
      <c r="Z65" s="54">
        <f t="shared" si="104"/>
        <v>266.66666666666663</v>
      </c>
      <c r="AA65" s="55"/>
      <c r="AB65" s="53">
        <f t="shared" si="82"/>
        <v>252.30666666666664</v>
      </c>
      <c r="AC65" s="53">
        <f t="shared" si="83"/>
        <v>7.18</v>
      </c>
      <c r="AD65" s="53">
        <f t="shared" si="84"/>
        <v>7.18</v>
      </c>
      <c r="AE65" s="54">
        <f t="shared" si="85"/>
        <v>266.66666666666663</v>
      </c>
      <c r="AF65" s="56"/>
      <c r="AG65" s="53">
        <f t="shared" si="86"/>
        <v>252.30666666666664</v>
      </c>
      <c r="AH65" s="53">
        <f t="shared" si="87"/>
        <v>7.18</v>
      </c>
      <c r="AI65" s="53">
        <f t="shared" si="88"/>
        <v>7.18</v>
      </c>
      <c r="AJ65" s="54">
        <f t="shared" si="89"/>
        <v>266.66666666666663</v>
      </c>
      <c r="AK65" s="57"/>
      <c r="AL65" s="53">
        <f t="shared" si="90"/>
        <v>252.30666666666664</v>
      </c>
      <c r="AM65" s="53">
        <f t="shared" si="91"/>
        <v>7.18</v>
      </c>
      <c r="AN65" s="53">
        <f t="shared" si="92"/>
        <v>7.18</v>
      </c>
      <c r="AO65" s="54">
        <f t="shared" si="93"/>
        <v>266.66666666666663</v>
      </c>
      <c r="AP65" s="56"/>
      <c r="AQ65" s="53">
        <f t="shared" si="94"/>
        <v>252.30666666666664</v>
      </c>
      <c r="AR65" s="53">
        <f t="shared" si="95"/>
        <v>7.18</v>
      </c>
      <c r="AS65" s="53">
        <f t="shared" si="96"/>
        <v>7.18</v>
      </c>
      <c r="AT65" s="54">
        <f t="shared" si="97"/>
        <v>266.66666666666663</v>
      </c>
      <c r="AU65" s="56"/>
      <c r="AV65" s="53">
        <f t="shared" si="98"/>
        <v>252.30666666666664</v>
      </c>
      <c r="AW65" s="53">
        <f t="shared" si="99"/>
        <v>7.18</v>
      </c>
      <c r="AX65" s="53">
        <f t="shared" si="100"/>
        <v>7.18</v>
      </c>
      <c r="AY65" s="54">
        <f t="shared" si="101"/>
        <v>266.66666666666663</v>
      </c>
      <c r="AZ65" s="58">
        <f t="shared" si="102"/>
        <v>1599.9999999999995</v>
      </c>
      <c r="BA65" s="59">
        <f>((AZ65-BB65-BC65-BD65-BE65-BF65)+BI65+BJ65+BK65+BL65+BM65+BN65+BO65)</f>
        <v>2107.1399999999994</v>
      </c>
      <c r="BB65" s="60"/>
      <c r="BC65" s="60"/>
      <c r="BD65" s="60"/>
      <c r="BE65" s="60"/>
      <c r="BF65" s="60"/>
      <c r="BG65" s="61" t="s">
        <v>175</v>
      </c>
      <c r="BH65" s="62"/>
      <c r="BI65" s="63">
        <v>300</v>
      </c>
      <c r="BJ65" s="63">
        <v>150</v>
      </c>
      <c r="BK65" s="64">
        <v>57.14</v>
      </c>
      <c r="BL65" s="64"/>
      <c r="BM65" s="65"/>
      <c r="BN65" s="65"/>
      <c r="BO65" s="66"/>
      <c r="BP65" s="67"/>
      <c r="BQ65" s="21"/>
      <c r="BR65" s="48"/>
      <c r="BS65" s="48"/>
      <c r="BT65" s="68"/>
      <c r="BU65" s="1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</row>
    <row r="66" spans="1:188" s="69" customFormat="1" ht="15.75" customHeight="1" thickBot="1" x14ac:dyDescent="0.35">
      <c r="A66" s="1"/>
      <c r="B66" s="370">
        <v>0</v>
      </c>
      <c r="C66" s="34">
        <f t="shared" ref="C66:C67" si="106">+C65+1</f>
        <v>11</v>
      </c>
      <c r="D66" s="369" t="s">
        <v>146</v>
      </c>
      <c r="E66" s="366">
        <v>0</v>
      </c>
      <c r="F66" s="367" t="s">
        <v>166</v>
      </c>
      <c r="G66" s="366">
        <v>0</v>
      </c>
      <c r="H66" s="367" t="s">
        <v>166</v>
      </c>
      <c r="I66" s="366">
        <v>0</v>
      </c>
      <c r="J66" s="367" t="s">
        <v>166</v>
      </c>
      <c r="K66" s="366">
        <v>0</v>
      </c>
      <c r="L66" s="367" t="s">
        <v>166</v>
      </c>
      <c r="M66" s="366">
        <v>0</v>
      </c>
      <c r="N66" s="367" t="s">
        <v>166</v>
      </c>
      <c r="O66" s="366">
        <v>0</v>
      </c>
      <c r="P66" s="367" t="s">
        <v>166</v>
      </c>
      <c r="Q66" s="366">
        <v>0</v>
      </c>
      <c r="R66" s="368">
        <v>0</v>
      </c>
      <c r="S66" s="51">
        <f t="shared" ref="S66" si="107">+BH66</f>
        <v>0</v>
      </c>
      <c r="T66" s="11">
        <f t="shared" ref="T66" si="108">+BA66</f>
        <v>0</v>
      </c>
      <c r="U66" s="52">
        <f t="shared" si="103"/>
        <v>0</v>
      </c>
      <c r="V66" s="52">
        <f t="shared" si="77"/>
        <v>0</v>
      </c>
      <c r="W66" s="53">
        <f t="shared" si="105"/>
        <v>0</v>
      </c>
      <c r="X66" s="53">
        <f t="shared" si="79"/>
        <v>0</v>
      </c>
      <c r="Y66" s="53"/>
      <c r="Z66" s="54">
        <f t="shared" si="104"/>
        <v>0</v>
      </c>
      <c r="AA66" s="55"/>
      <c r="AB66" s="53">
        <f t="shared" si="82"/>
        <v>0</v>
      </c>
      <c r="AC66" s="53"/>
      <c r="AD66" s="53"/>
      <c r="AE66" s="54"/>
      <c r="AF66" s="56"/>
      <c r="AG66" s="53">
        <f t="shared" si="86"/>
        <v>0</v>
      </c>
      <c r="AH66" s="53">
        <f t="shared" si="87"/>
        <v>0</v>
      </c>
      <c r="AI66" s="53">
        <f t="shared" si="88"/>
        <v>0</v>
      </c>
      <c r="AJ66" s="54">
        <f t="shared" si="89"/>
        <v>0</v>
      </c>
      <c r="AK66" s="57"/>
      <c r="AL66" s="53">
        <f t="shared" si="90"/>
        <v>0</v>
      </c>
      <c r="AM66" s="53">
        <f t="shared" si="91"/>
        <v>0</v>
      </c>
      <c r="AN66" s="53"/>
      <c r="AO66" s="54"/>
      <c r="AP66" s="56"/>
      <c r="AQ66" s="53">
        <f t="shared" si="94"/>
        <v>0</v>
      </c>
      <c r="AR66" s="53">
        <f t="shared" si="95"/>
        <v>0</v>
      </c>
      <c r="AS66" s="53">
        <f t="shared" si="96"/>
        <v>0</v>
      </c>
      <c r="AT66" s="54">
        <f t="shared" si="97"/>
        <v>0</v>
      </c>
      <c r="AU66" s="56"/>
      <c r="AV66" s="53">
        <f t="shared" si="98"/>
        <v>0</v>
      </c>
      <c r="AW66" s="53">
        <f t="shared" si="99"/>
        <v>0</v>
      </c>
      <c r="AX66" s="53">
        <f t="shared" si="100"/>
        <v>0</v>
      </c>
      <c r="AY66" s="54">
        <f t="shared" si="101"/>
        <v>0</v>
      </c>
      <c r="AZ66" s="58">
        <v>0</v>
      </c>
      <c r="BA66" s="59"/>
      <c r="BB66" s="60"/>
      <c r="BC66" s="60"/>
      <c r="BD66" s="60"/>
      <c r="BE66" s="60"/>
      <c r="BF66" s="60"/>
      <c r="BG66" s="61"/>
      <c r="BH66" s="62"/>
      <c r="BI66" s="63"/>
      <c r="BJ66" s="63"/>
      <c r="BK66" s="350"/>
      <c r="BL66" s="64"/>
      <c r="BM66" s="65"/>
      <c r="BN66" s="65"/>
      <c r="BO66" s="66"/>
      <c r="BP66" s="67"/>
      <c r="BQ66" s="21"/>
      <c r="BR66" s="48"/>
      <c r="BS66" s="48"/>
      <c r="BT66" s="68"/>
      <c r="BU66" s="1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</row>
    <row r="67" spans="1:188" s="69" customFormat="1" ht="15.75" customHeight="1" thickBot="1" x14ac:dyDescent="0.35">
      <c r="A67" s="1"/>
      <c r="B67" s="370">
        <v>161</v>
      </c>
      <c r="C67" s="34">
        <f t="shared" si="106"/>
        <v>12</v>
      </c>
      <c r="D67" s="369" t="s">
        <v>143</v>
      </c>
      <c r="E67" s="366">
        <v>0</v>
      </c>
      <c r="F67" s="367" t="s">
        <v>166</v>
      </c>
      <c r="G67" s="366">
        <v>0</v>
      </c>
      <c r="H67" s="367" t="s">
        <v>166</v>
      </c>
      <c r="I67" s="366">
        <v>0</v>
      </c>
      <c r="J67" s="367" t="s">
        <v>166</v>
      </c>
      <c r="K67" s="366">
        <v>0</v>
      </c>
      <c r="L67" s="367" t="s">
        <v>166</v>
      </c>
      <c r="M67" s="366">
        <v>0</v>
      </c>
      <c r="N67" s="367" t="s">
        <v>166</v>
      </c>
      <c r="O67" s="366">
        <v>0</v>
      </c>
      <c r="P67" s="367" t="s">
        <v>166</v>
      </c>
      <c r="Q67" s="366">
        <v>0</v>
      </c>
      <c r="R67" s="368">
        <v>0</v>
      </c>
      <c r="S67" s="51">
        <f t="shared" ref="S67" si="109">+BH67</f>
        <v>0</v>
      </c>
      <c r="T67" s="11">
        <f t="shared" ref="T67" si="110">+BA67</f>
        <v>0</v>
      </c>
      <c r="U67" s="52">
        <f t="shared" ref="U67" si="111">+BP67</f>
        <v>0</v>
      </c>
      <c r="V67" s="52">
        <f t="shared" ref="V67" si="112">+BG67</f>
        <v>0</v>
      </c>
      <c r="W67" s="53">
        <f t="shared" si="105"/>
        <v>0</v>
      </c>
      <c r="X67" s="53">
        <f t="shared" si="79"/>
        <v>0</v>
      </c>
      <c r="Y67" s="53">
        <f t="shared" ref="Y67" si="113">$Y$2*E67*Q67</f>
        <v>0</v>
      </c>
      <c r="Z67" s="54">
        <f t="shared" ref="Z67" si="114">Y67+X67+W67</f>
        <v>0</v>
      </c>
      <c r="AA67" s="55"/>
      <c r="AB67" s="53">
        <f t="shared" ref="AB67" si="115">(R67-86.16)/6*G67</f>
        <v>0</v>
      </c>
      <c r="AC67" s="53">
        <f t="shared" ref="AC67" si="116">$Y$2*G67*Q67</f>
        <v>0</v>
      </c>
      <c r="AD67" s="53">
        <f t="shared" ref="AD67" si="117">$Y$2*G67*Q67</f>
        <v>0</v>
      </c>
      <c r="AE67" s="54">
        <f t="shared" ref="AE67" si="118">AD67+AC67+AB67</f>
        <v>0</v>
      </c>
      <c r="AF67" s="56"/>
      <c r="AG67" s="53">
        <f t="shared" ref="AG67" si="119">(R67-86.16)/6*I67</f>
        <v>0</v>
      </c>
      <c r="AH67" s="53">
        <f t="shared" ref="AH67" si="120">$Y$2*I67*Q67</f>
        <v>0</v>
      </c>
      <c r="AI67" s="53">
        <f t="shared" ref="AI67" si="121">$Y$2*I67*Q67</f>
        <v>0</v>
      </c>
      <c r="AJ67" s="54">
        <f t="shared" ref="AJ67" si="122">AI67+AH67+AG67</f>
        <v>0</v>
      </c>
      <c r="AK67" s="57"/>
      <c r="AL67" s="53">
        <f t="shared" si="90"/>
        <v>0</v>
      </c>
      <c r="AM67" s="53">
        <f t="shared" ref="AM67" si="123">$Y$2*K67*Q67</f>
        <v>0</v>
      </c>
      <c r="AN67" s="53">
        <f t="shared" ref="AN67" si="124">$Y$2*K67*Q67</f>
        <v>0</v>
      </c>
      <c r="AO67" s="54">
        <f t="shared" ref="AO67" si="125">AN67+AM67+AL67</f>
        <v>0</v>
      </c>
      <c r="AP67" s="56"/>
      <c r="AQ67" s="53">
        <f t="shared" ref="AQ67" si="126">(R67-86.16)/6*M67</f>
        <v>0</v>
      </c>
      <c r="AR67" s="53">
        <f t="shared" ref="AR67" si="127">$Y$2*M67*Q67</f>
        <v>0</v>
      </c>
      <c r="AS67" s="53">
        <f t="shared" ref="AS67" si="128">$Y$2*M67*Q67</f>
        <v>0</v>
      </c>
      <c r="AT67" s="54">
        <f t="shared" ref="AT67" si="129">AS67+AR67+AQ67</f>
        <v>0</v>
      </c>
      <c r="AU67" s="56"/>
      <c r="AV67" s="53">
        <f t="shared" si="98"/>
        <v>0</v>
      </c>
      <c r="AW67" s="53">
        <f t="shared" ref="AW67" si="130">$Y$2*O67*Q67</f>
        <v>0</v>
      </c>
      <c r="AX67" s="53">
        <f t="shared" ref="AX67" si="131">$Y$2*O67*Q67</f>
        <v>0</v>
      </c>
      <c r="AY67" s="54">
        <f t="shared" ref="AY67" si="132">AX67+AW67+AV67</f>
        <v>0</v>
      </c>
      <c r="AZ67" s="58">
        <f t="shared" ref="AZ67" si="133">+AY67+AT67+AO67++AJ67+AE67+Z67</f>
        <v>0</v>
      </c>
      <c r="BA67" s="59">
        <v>0</v>
      </c>
      <c r="BB67" s="60"/>
      <c r="BC67" s="60"/>
      <c r="BD67" s="60"/>
      <c r="BE67" s="60"/>
      <c r="BF67" s="60"/>
      <c r="BG67" s="61"/>
      <c r="BH67" s="62"/>
      <c r="BI67" s="63"/>
      <c r="BJ67" s="63"/>
      <c r="BK67" s="64"/>
      <c r="BL67" s="64"/>
      <c r="BM67" s="65"/>
      <c r="BN67" s="65"/>
      <c r="BO67" s="66"/>
      <c r="BP67" s="67"/>
      <c r="BQ67" s="21"/>
      <c r="BR67" s="48"/>
      <c r="BS67" s="48"/>
      <c r="BT67" s="68"/>
      <c r="BU67" s="1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</row>
    <row r="68" spans="1:188" ht="15.75" customHeight="1" thickBot="1" x14ac:dyDescent="0.35">
      <c r="A68" s="1">
        <v>472</v>
      </c>
      <c r="B68" s="78"/>
      <c r="C68" s="79"/>
      <c r="D68" s="21"/>
      <c r="E68" s="80">
        <f>SUM(E56:E67)</f>
        <v>8</v>
      </c>
      <c r="F68" s="80"/>
      <c r="G68" s="80">
        <f>SUM(G56:G67)</f>
        <v>10</v>
      </c>
      <c r="H68" s="80"/>
      <c r="I68" s="80">
        <f>SUM(I56:I67)</f>
        <v>9</v>
      </c>
      <c r="J68" s="81"/>
      <c r="K68" s="80">
        <f>SUM(K56:K67)</f>
        <v>9</v>
      </c>
      <c r="L68" s="81"/>
      <c r="M68" s="80">
        <f>SUM(M56:M67)</f>
        <v>9</v>
      </c>
      <c r="N68" s="81"/>
      <c r="O68" s="80">
        <f>SUM(O56:O67)</f>
        <v>9</v>
      </c>
      <c r="P68" s="80"/>
      <c r="Q68" s="8"/>
      <c r="R68" s="82"/>
      <c r="S68" s="51"/>
      <c r="T68" s="11"/>
      <c r="U68" s="52"/>
      <c r="V68" s="52"/>
      <c r="W68" s="53"/>
      <c r="X68" s="53"/>
      <c r="Y68" s="53"/>
      <c r="Z68" s="54"/>
      <c r="AA68" s="55"/>
      <c r="AB68" s="53"/>
      <c r="AC68" s="53"/>
      <c r="AD68" s="53"/>
      <c r="AE68" s="54"/>
      <c r="AF68" s="56"/>
      <c r="AG68" s="53"/>
      <c r="AH68" s="53"/>
      <c r="AI68" s="53"/>
      <c r="AJ68" s="54"/>
      <c r="AK68" s="57"/>
      <c r="AL68" s="53"/>
      <c r="AM68" s="53"/>
      <c r="AN68" s="53"/>
      <c r="AO68" s="54"/>
      <c r="AP68" s="56"/>
      <c r="AQ68" s="53"/>
      <c r="AR68" s="53"/>
      <c r="AS68" s="53"/>
      <c r="AT68" s="54"/>
      <c r="AU68" s="56"/>
      <c r="AV68" s="53"/>
      <c r="AW68" s="53"/>
      <c r="AX68" s="53"/>
      <c r="AY68" s="54"/>
      <c r="AZ68" s="58"/>
      <c r="BA68" s="59"/>
      <c r="BG68" s="83"/>
      <c r="BL68" s="64"/>
      <c r="BO68" s="67"/>
      <c r="BP68" s="67"/>
      <c r="BQ68" s="21"/>
      <c r="BR68" s="84"/>
      <c r="BS68" s="84"/>
      <c r="BU68" s="1">
        <v>472</v>
      </c>
    </row>
    <row r="69" spans="1:188" ht="15.75" customHeight="1" thickBot="1" x14ac:dyDescent="0.45">
      <c r="A69" s="1">
        <v>473</v>
      </c>
      <c r="C69" s="79"/>
      <c r="D69" s="21"/>
      <c r="E69" s="8"/>
      <c r="F69" s="85"/>
      <c r="G69" s="8"/>
      <c r="H69" s="22"/>
      <c r="I69" s="8"/>
      <c r="J69" s="22"/>
      <c r="K69" s="8"/>
      <c r="L69" s="22"/>
      <c r="M69" s="8"/>
      <c r="N69" s="22"/>
      <c r="O69" s="8"/>
      <c r="P69" s="22"/>
      <c r="Q69" s="8"/>
      <c r="R69" s="82"/>
      <c r="S69" s="51"/>
      <c r="T69" s="11"/>
      <c r="U69" s="52"/>
      <c r="V69" s="52"/>
      <c r="W69" s="53"/>
      <c r="X69" s="53"/>
      <c r="Y69" s="53"/>
      <c r="Z69" s="54"/>
      <c r="AA69" s="55"/>
      <c r="AB69" s="53"/>
      <c r="AC69" s="53"/>
      <c r="AD69" s="53"/>
      <c r="AE69" s="54"/>
      <c r="AF69" s="56"/>
      <c r="AG69" s="53"/>
      <c r="AH69" s="53"/>
      <c r="AI69" s="53"/>
      <c r="AJ69" s="54"/>
      <c r="AK69" s="57"/>
      <c r="AL69" s="53"/>
      <c r="AM69" s="53"/>
      <c r="AN69" s="53"/>
      <c r="AO69" s="54"/>
      <c r="AP69" s="56"/>
      <c r="AQ69" s="53"/>
      <c r="AR69" s="53"/>
      <c r="AS69" s="53"/>
      <c r="AT69" s="54"/>
      <c r="AU69" s="56"/>
      <c r="AV69" s="53"/>
      <c r="AW69" s="53"/>
      <c r="AX69" s="53"/>
      <c r="AY69" s="54"/>
      <c r="AZ69" s="58"/>
      <c r="BA69" s="59"/>
      <c r="BG69" s="83"/>
      <c r="BO69" s="86"/>
      <c r="BP69" s="87"/>
      <c r="BQ69" s="21"/>
      <c r="BT69" s="68"/>
      <c r="BU69" s="1">
        <v>473</v>
      </c>
    </row>
    <row r="70" spans="1:188" ht="15.75" customHeight="1" thickBot="1" x14ac:dyDescent="0.35">
      <c r="A70" s="1">
        <v>474</v>
      </c>
      <c r="B70" s="88" t="s">
        <v>26</v>
      </c>
      <c r="C70" s="89" t="s">
        <v>27</v>
      </c>
      <c r="D70" s="90"/>
      <c r="E70" s="8"/>
      <c r="F70" s="91"/>
      <c r="G70" s="42" t="s">
        <v>8</v>
      </c>
      <c r="H70" s="42"/>
      <c r="I70" s="42" t="s">
        <v>9</v>
      </c>
      <c r="J70" s="42"/>
      <c r="K70" s="42" t="s">
        <v>9</v>
      </c>
      <c r="L70" s="42"/>
      <c r="M70" s="42" t="s">
        <v>10</v>
      </c>
      <c r="N70" s="42"/>
      <c r="O70" s="42" t="s">
        <v>11</v>
      </c>
      <c r="P70" s="42"/>
      <c r="Q70" s="42" t="s">
        <v>12</v>
      </c>
      <c r="R70" s="42"/>
      <c r="S70" s="9"/>
      <c r="T70" s="11"/>
      <c r="U70" s="11"/>
      <c r="V70" s="11"/>
      <c r="W70" s="12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59"/>
      <c r="BO70" s="92"/>
      <c r="BP70" s="92"/>
      <c r="BQ70" s="21"/>
      <c r="BR70" s="21"/>
      <c r="BS70" s="21"/>
      <c r="BT70" s="68"/>
      <c r="BU70" s="1">
        <v>474</v>
      </c>
    </row>
    <row r="71" spans="1:188" ht="20.25" customHeight="1" x14ac:dyDescent="0.3">
      <c r="A71" s="1">
        <v>475</v>
      </c>
      <c r="B71" s="21">
        <f>E68</f>
        <v>8</v>
      </c>
      <c r="C71" s="93">
        <f>G75</f>
        <v>8</v>
      </c>
      <c r="D71" s="94">
        <f>+B71-C71</f>
        <v>0</v>
      </c>
      <c r="E71" s="95"/>
      <c r="F71" s="96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8" t="s">
        <v>28</v>
      </c>
      <c r="S71" s="10"/>
      <c r="T71" s="10"/>
      <c r="U71" s="335"/>
      <c r="V71" s="40"/>
      <c r="W71" s="42"/>
      <c r="X71" s="9"/>
      <c r="Y71" s="9"/>
      <c r="Z71" s="9"/>
      <c r="AA71" s="9"/>
      <c r="AB71" s="42"/>
      <c r="AC71" s="9"/>
      <c r="AD71" s="9"/>
      <c r="AE71" s="9"/>
      <c r="AF71" s="9"/>
      <c r="AG71" s="42"/>
      <c r="AH71" s="9"/>
      <c r="AI71" s="9"/>
      <c r="AJ71" s="9"/>
      <c r="AK71" s="9"/>
      <c r="AL71" s="9"/>
      <c r="AM71" s="9"/>
      <c r="AN71" s="9"/>
      <c r="AO71" s="9"/>
      <c r="AP71" s="9"/>
      <c r="AQ71" s="42"/>
      <c r="AR71" s="9"/>
      <c r="AS71" s="9"/>
      <c r="AT71" s="9"/>
      <c r="AU71" s="9"/>
      <c r="AV71" s="42"/>
      <c r="AW71" s="9"/>
      <c r="AX71" s="9"/>
      <c r="AY71" s="9"/>
      <c r="AZ71" s="99"/>
      <c r="BA71" s="59"/>
      <c r="BE71" s="100"/>
      <c r="BO71" s="101"/>
      <c r="BP71" s="92"/>
      <c r="BQ71" s="21"/>
      <c r="BR71" s="21"/>
      <c r="BS71" s="21"/>
      <c r="BT71" s="68"/>
      <c r="BU71" s="1">
        <v>475</v>
      </c>
    </row>
    <row r="72" spans="1:188" ht="20.25" customHeight="1" x14ac:dyDescent="0.3">
      <c r="A72" s="1">
        <v>476</v>
      </c>
      <c r="B72" s="21">
        <f>G68</f>
        <v>10</v>
      </c>
      <c r="C72" s="93">
        <f>I75</f>
        <v>10</v>
      </c>
      <c r="D72" s="94">
        <f t="shared" ref="D72:D76" si="134">+B72-C72</f>
        <v>0</v>
      </c>
      <c r="E72" s="102" t="s">
        <v>29</v>
      </c>
      <c r="F72" s="103"/>
      <c r="G72" s="104">
        <v>1</v>
      </c>
      <c r="H72" s="105"/>
      <c r="I72" s="104">
        <v>1</v>
      </c>
      <c r="J72" s="105"/>
      <c r="K72" s="104">
        <v>1</v>
      </c>
      <c r="L72" s="105"/>
      <c r="M72" s="104">
        <v>1</v>
      </c>
      <c r="N72" s="105"/>
      <c r="O72" s="104">
        <v>1</v>
      </c>
      <c r="P72" s="105"/>
      <c r="Q72" s="104">
        <v>1</v>
      </c>
      <c r="R72" s="106">
        <f>AVERAGE(G72,I72,K72,M72,O72,Q72)</f>
        <v>1</v>
      </c>
      <c r="S72" s="10"/>
      <c r="T72" s="11"/>
      <c r="U72" s="94"/>
      <c r="V72" s="40"/>
      <c r="W72" s="42"/>
      <c r="X72" s="9"/>
      <c r="Y72" s="9"/>
      <c r="Z72" s="9"/>
      <c r="AA72" s="9"/>
      <c r="AB72" s="42"/>
      <c r="AC72" s="9"/>
      <c r="AD72" s="9"/>
      <c r="AE72" s="9"/>
      <c r="AF72" s="9"/>
      <c r="AG72" s="42"/>
      <c r="AH72" s="9"/>
      <c r="AI72" s="9"/>
      <c r="AJ72" s="9"/>
      <c r="AK72" s="9"/>
      <c r="AL72" s="9"/>
      <c r="AM72" s="9"/>
      <c r="AN72" s="9"/>
      <c r="AO72" s="9"/>
      <c r="AP72" s="9"/>
      <c r="AQ72" s="42"/>
      <c r="AR72" s="9"/>
      <c r="AS72" s="9"/>
      <c r="AT72" s="9"/>
      <c r="AU72" s="9"/>
      <c r="AV72" s="42"/>
      <c r="AW72" s="9"/>
      <c r="AX72" s="9"/>
      <c r="AY72" s="9"/>
      <c r="AZ72" s="99"/>
      <c r="BA72" s="59"/>
      <c r="BE72" s="100"/>
      <c r="BO72" s="101"/>
      <c r="BP72" s="92"/>
      <c r="BQ72" s="21"/>
      <c r="BR72" s="21"/>
      <c r="BS72" s="21"/>
      <c r="BT72" s="68"/>
      <c r="BU72" s="1">
        <v>476</v>
      </c>
    </row>
    <row r="73" spans="1:188" ht="20.25" customHeight="1" x14ac:dyDescent="0.3">
      <c r="A73" s="1">
        <v>477</v>
      </c>
      <c r="B73" s="21">
        <f>I68</f>
        <v>9</v>
      </c>
      <c r="C73" s="93">
        <f>K75</f>
        <v>9</v>
      </c>
      <c r="D73" s="94">
        <f t="shared" si="134"/>
        <v>0</v>
      </c>
      <c r="E73" s="102" t="s">
        <v>30</v>
      </c>
      <c r="F73" s="103"/>
      <c r="G73" s="104">
        <v>1</v>
      </c>
      <c r="H73" s="105"/>
      <c r="I73" s="104">
        <v>1</v>
      </c>
      <c r="J73" s="105"/>
      <c r="K73" s="104">
        <v>1</v>
      </c>
      <c r="L73" s="105"/>
      <c r="M73" s="104">
        <v>1</v>
      </c>
      <c r="N73" s="105"/>
      <c r="O73" s="104">
        <v>1</v>
      </c>
      <c r="P73" s="105"/>
      <c r="Q73" s="104">
        <v>1</v>
      </c>
      <c r="R73" s="106">
        <f t="shared" ref="R73:R75" si="135">AVERAGE(G73,I73,K73,M73,O73,Q73)</f>
        <v>1</v>
      </c>
      <c r="S73" s="10"/>
      <c r="T73" s="11"/>
      <c r="U73" s="94"/>
      <c r="V73" s="40"/>
      <c r="W73" s="42"/>
      <c r="X73" s="9"/>
      <c r="Y73" s="9"/>
      <c r="Z73" s="9"/>
      <c r="AA73" s="9"/>
      <c r="AB73" s="42"/>
      <c r="AC73" s="9"/>
      <c r="AD73" s="9"/>
      <c r="AE73" s="9"/>
      <c r="AF73" s="9"/>
      <c r="AG73" s="42"/>
      <c r="AH73" s="9"/>
      <c r="AI73" s="9"/>
      <c r="AJ73" s="9"/>
      <c r="AK73" s="9"/>
      <c r="AL73" s="9"/>
      <c r="AM73" s="9"/>
      <c r="AN73" s="9"/>
      <c r="AO73" s="9"/>
      <c r="AP73" s="9"/>
      <c r="AQ73" s="42"/>
      <c r="AR73" s="9"/>
      <c r="AS73" s="9"/>
      <c r="AT73" s="9"/>
      <c r="AU73" s="9"/>
      <c r="AV73" s="42"/>
      <c r="AW73" s="9"/>
      <c r="AX73" s="9"/>
      <c r="AY73" s="9"/>
      <c r="AZ73" s="99"/>
      <c r="BA73" s="59"/>
      <c r="BE73" s="100"/>
      <c r="BO73" s="101"/>
      <c r="BP73" s="92"/>
      <c r="BQ73" s="21"/>
      <c r="BR73" s="21"/>
      <c r="BS73" s="21"/>
      <c r="BT73" s="68"/>
      <c r="BU73" s="1">
        <v>477</v>
      </c>
    </row>
    <row r="74" spans="1:188" ht="20.25" customHeight="1" thickBot="1" x14ac:dyDescent="0.35">
      <c r="A74" s="1">
        <v>478</v>
      </c>
      <c r="B74" s="21">
        <f>K68</f>
        <v>9</v>
      </c>
      <c r="C74" s="93">
        <f>M75</f>
        <v>9</v>
      </c>
      <c r="D74" s="94">
        <f t="shared" si="134"/>
        <v>0</v>
      </c>
      <c r="E74" s="102" t="s">
        <v>32</v>
      </c>
      <c r="F74" s="103"/>
      <c r="G74" s="104">
        <v>6</v>
      </c>
      <c r="H74" s="105"/>
      <c r="I74" s="104">
        <v>8</v>
      </c>
      <c r="J74" s="105"/>
      <c r="K74" s="104">
        <v>7</v>
      </c>
      <c r="L74" s="105"/>
      <c r="M74" s="104">
        <v>7</v>
      </c>
      <c r="N74" s="105"/>
      <c r="O74" s="104">
        <v>7</v>
      </c>
      <c r="P74" s="105"/>
      <c r="Q74" s="104">
        <v>7</v>
      </c>
      <c r="R74" s="106">
        <f t="shared" si="135"/>
        <v>7</v>
      </c>
      <c r="S74" s="10"/>
      <c r="T74" s="11"/>
      <c r="U74" s="94"/>
      <c r="V74" s="40"/>
      <c r="W74" s="42"/>
      <c r="X74" s="9"/>
      <c r="Y74" s="9"/>
      <c r="Z74" s="9"/>
      <c r="AA74" s="9"/>
      <c r="AB74" s="42"/>
      <c r="AC74" s="9"/>
      <c r="AD74" s="9"/>
      <c r="AE74" s="9"/>
      <c r="AF74" s="9"/>
      <c r="AG74" s="42"/>
      <c r="AH74" s="9"/>
      <c r="AI74" s="9"/>
      <c r="AJ74" s="9"/>
      <c r="AK74" s="9"/>
      <c r="AL74" s="9"/>
      <c r="AM74" s="9"/>
      <c r="AN74" s="9"/>
      <c r="AO74" s="9"/>
      <c r="AP74" s="9"/>
      <c r="AQ74" s="42"/>
      <c r="AR74" s="9"/>
      <c r="AS74" s="9"/>
      <c r="AT74" s="9"/>
      <c r="AU74" s="9"/>
      <c r="AV74" s="42"/>
      <c r="AW74" s="9"/>
      <c r="AX74" s="9"/>
      <c r="AY74" s="9"/>
      <c r="AZ74" s="99"/>
      <c r="BA74" s="59"/>
      <c r="BE74" s="100"/>
      <c r="BO74" s="101"/>
      <c r="BP74" s="92"/>
      <c r="BQ74" s="21"/>
      <c r="BR74" s="21"/>
      <c r="BS74" s="21"/>
      <c r="BT74" s="68"/>
      <c r="BU74" s="1">
        <v>478</v>
      </c>
    </row>
    <row r="75" spans="1:188" ht="20.25" customHeight="1" thickBot="1" x14ac:dyDescent="0.35">
      <c r="A75" s="1">
        <v>479</v>
      </c>
      <c r="B75" s="21">
        <f>M68</f>
        <v>9</v>
      </c>
      <c r="C75" s="93">
        <f>O75</f>
        <v>9</v>
      </c>
      <c r="D75" s="94">
        <f t="shared" si="134"/>
        <v>0</v>
      </c>
      <c r="E75" s="108"/>
      <c r="F75" s="109"/>
      <c r="G75" s="110">
        <f>SUM(G72:G74)</f>
        <v>8</v>
      </c>
      <c r="H75" s="110"/>
      <c r="I75" s="110">
        <f>SUM(I72:I74)</f>
        <v>10</v>
      </c>
      <c r="J75" s="110"/>
      <c r="K75" s="110">
        <f>SUM(K72:K74)</f>
        <v>9</v>
      </c>
      <c r="L75" s="110"/>
      <c r="M75" s="110">
        <f>SUM(M72:M74)</f>
        <v>9</v>
      </c>
      <c r="N75" s="110"/>
      <c r="O75" s="110">
        <f>SUM(O72:O74)</f>
        <v>9</v>
      </c>
      <c r="P75" s="110"/>
      <c r="Q75" s="110">
        <f>SUM(Q68:Q74)</f>
        <v>9</v>
      </c>
      <c r="R75" s="106">
        <f t="shared" si="135"/>
        <v>9</v>
      </c>
      <c r="S75" s="10"/>
      <c r="T75" s="11"/>
      <c r="U75" s="94"/>
      <c r="V75" s="40"/>
      <c r="W75" s="42"/>
      <c r="X75" s="9"/>
      <c r="Y75" s="9"/>
      <c r="Z75" s="9"/>
      <c r="AA75" s="9"/>
      <c r="AB75" s="42"/>
      <c r="AC75" s="9"/>
      <c r="AD75" s="9"/>
      <c r="AE75" s="9"/>
      <c r="AF75" s="9"/>
      <c r="AG75" s="42"/>
      <c r="AH75" s="9"/>
      <c r="AI75" s="9"/>
      <c r="AJ75" s="9"/>
      <c r="AK75" s="9"/>
      <c r="AL75" s="9"/>
      <c r="AM75" s="9"/>
      <c r="AN75" s="9"/>
      <c r="AO75" s="9"/>
      <c r="AP75" s="9"/>
      <c r="AQ75" s="42"/>
      <c r="AR75" s="9"/>
      <c r="AS75" s="9"/>
      <c r="AT75" s="9"/>
      <c r="AU75" s="9"/>
      <c r="AV75" s="42"/>
      <c r="AW75" s="9"/>
      <c r="AX75" s="9"/>
      <c r="AY75" s="9"/>
      <c r="AZ75" s="99"/>
      <c r="BA75" s="59"/>
      <c r="BE75" s="100"/>
      <c r="BO75" s="101"/>
      <c r="BP75" s="92"/>
      <c r="BQ75" s="21"/>
      <c r="BR75" s="21"/>
      <c r="BS75" s="21"/>
      <c r="BT75" s="68"/>
      <c r="BU75" s="1">
        <v>479</v>
      </c>
    </row>
    <row r="76" spans="1:188" ht="20.25" customHeight="1" x14ac:dyDescent="0.3">
      <c r="A76" s="1">
        <v>480</v>
      </c>
      <c r="B76" s="21">
        <f>O68</f>
        <v>9</v>
      </c>
      <c r="C76" s="93">
        <f>Q75</f>
        <v>9</v>
      </c>
      <c r="D76" s="94">
        <f t="shared" si="134"/>
        <v>0</v>
      </c>
      <c r="E76" s="112"/>
      <c r="F76" s="113"/>
      <c r="G76" s="112"/>
      <c r="H76" s="114"/>
      <c r="I76" s="112"/>
      <c r="J76" s="114"/>
      <c r="K76" s="112"/>
      <c r="L76" s="114"/>
      <c r="M76" s="112"/>
      <c r="N76" s="114"/>
      <c r="O76" s="112"/>
      <c r="P76" s="114"/>
      <c r="Q76" s="112"/>
      <c r="R76" s="115"/>
      <c r="S76" s="10"/>
      <c r="T76" s="128">
        <f>SUM(R72:R74)</f>
        <v>9</v>
      </c>
      <c r="U76" s="94"/>
      <c r="V76" s="40"/>
      <c r="W76" s="42"/>
      <c r="X76" s="9"/>
      <c r="Y76" s="9"/>
      <c r="Z76" s="9"/>
      <c r="AA76" s="9"/>
      <c r="AB76" s="42"/>
      <c r="AC76" s="9"/>
      <c r="AD76" s="9"/>
      <c r="AE76" s="9"/>
      <c r="AF76" s="9"/>
      <c r="AG76" s="42"/>
      <c r="AH76" s="9"/>
      <c r="AI76" s="9"/>
      <c r="AJ76" s="9"/>
      <c r="AK76" s="9"/>
      <c r="AL76" s="9"/>
      <c r="AM76" s="9"/>
      <c r="AN76" s="9"/>
      <c r="AO76" s="9"/>
      <c r="AP76" s="9"/>
      <c r="AQ76" s="42"/>
      <c r="AR76" s="9"/>
      <c r="AS76" s="9"/>
      <c r="AT76" s="9"/>
      <c r="AU76" s="9"/>
      <c r="AV76" s="42"/>
      <c r="AW76" s="9"/>
      <c r="AX76" s="9"/>
      <c r="AY76" s="9"/>
      <c r="AZ76" s="99"/>
      <c r="BA76" s="59"/>
      <c r="BE76" s="100"/>
      <c r="BO76" s="101"/>
      <c r="BP76" s="92"/>
      <c r="BQ76" s="21"/>
      <c r="BR76" s="21"/>
      <c r="BS76" s="21"/>
      <c r="BT76" s="68"/>
      <c r="BU76" s="1">
        <v>480</v>
      </c>
    </row>
    <row r="77" spans="1:188" ht="20.25" customHeight="1" x14ac:dyDescent="0.3">
      <c r="A77" s="1"/>
      <c r="B77" s="21"/>
      <c r="C77" s="93"/>
      <c r="D77" s="94"/>
      <c r="E77" s="112"/>
      <c r="F77" s="113"/>
      <c r="G77" s="112"/>
      <c r="H77" s="114"/>
      <c r="I77" s="112"/>
      <c r="J77" s="114"/>
      <c r="K77" s="112"/>
      <c r="L77" s="114"/>
      <c r="M77" s="112"/>
      <c r="N77" s="114"/>
      <c r="O77" s="112"/>
      <c r="P77" s="114"/>
      <c r="Q77" s="112"/>
      <c r="R77" s="115"/>
      <c r="S77" s="10"/>
      <c r="T77" s="128"/>
      <c r="U77" s="94"/>
      <c r="V77" s="40"/>
      <c r="W77" s="42"/>
      <c r="X77" s="9"/>
      <c r="Y77" s="9"/>
      <c r="Z77" s="9"/>
      <c r="AA77" s="9"/>
      <c r="AB77" s="42"/>
      <c r="AC77" s="9"/>
      <c r="AD77" s="9"/>
      <c r="AE77" s="9"/>
      <c r="AF77" s="9"/>
      <c r="AG77" s="42"/>
      <c r="AH77" s="9"/>
      <c r="AI77" s="9"/>
      <c r="AJ77" s="9"/>
      <c r="AK77" s="9"/>
      <c r="AL77" s="9"/>
      <c r="AM77" s="9"/>
      <c r="AN77" s="9"/>
      <c r="AO77" s="9"/>
      <c r="AP77" s="9"/>
      <c r="AQ77" s="42"/>
      <c r="AR77" s="9"/>
      <c r="AS77" s="9"/>
      <c r="AT77" s="9"/>
      <c r="AU77" s="9"/>
      <c r="AV77" s="42"/>
      <c r="AW77" s="9"/>
      <c r="AX77" s="9"/>
      <c r="AY77" s="9"/>
      <c r="AZ77" s="99"/>
      <c r="BA77" s="59"/>
      <c r="BE77" s="100"/>
      <c r="BO77" s="101"/>
      <c r="BP77" s="92"/>
      <c r="BQ77" s="21"/>
      <c r="BR77" s="21"/>
      <c r="BS77" s="21"/>
      <c r="BT77" s="68"/>
      <c r="BU77" s="1"/>
    </row>
    <row r="78" spans="1:188" ht="20.25" customHeight="1" thickBot="1" x14ac:dyDescent="0.35">
      <c r="A78" s="1">
        <v>482</v>
      </c>
      <c r="B78" s="22"/>
      <c r="C78" s="22"/>
      <c r="D78" s="22"/>
      <c r="E78" s="112"/>
      <c r="F78" s="113"/>
      <c r="G78" s="112"/>
      <c r="H78" s="114"/>
      <c r="I78" s="112"/>
      <c r="J78" s="114"/>
      <c r="K78" s="112"/>
      <c r="L78" s="114"/>
      <c r="M78" s="112"/>
      <c r="N78" s="114"/>
      <c r="O78" s="112"/>
      <c r="P78" s="114"/>
      <c r="Q78" s="112"/>
      <c r="R78" s="115"/>
      <c r="S78" s="10"/>
      <c r="T78" s="11"/>
      <c r="U78" s="94"/>
      <c r="V78" s="40"/>
      <c r="W78" s="42"/>
      <c r="X78" s="9"/>
      <c r="Y78" s="9"/>
      <c r="Z78" s="9"/>
      <c r="AA78" s="9"/>
      <c r="AB78" s="42"/>
      <c r="AC78" s="9"/>
      <c r="AD78" s="9"/>
      <c r="AE78" s="9"/>
      <c r="AF78" s="9"/>
      <c r="AG78" s="42"/>
      <c r="AH78" s="9"/>
      <c r="AI78" s="9"/>
      <c r="AJ78" s="9"/>
      <c r="AK78" s="9"/>
      <c r="AL78" s="9"/>
      <c r="AM78" s="9"/>
      <c r="AN78" s="9"/>
      <c r="AO78" s="9"/>
      <c r="AP78" s="9"/>
      <c r="AQ78" s="42"/>
      <c r="AR78" s="9"/>
      <c r="AS78" s="9"/>
      <c r="AT78" s="9"/>
      <c r="AU78" s="9"/>
      <c r="AV78" s="42"/>
      <c r="AW78" s="9"/>
      <c r="AX78" s="9"/>
      <c r="AY78" s="9"/>
      <c r="AZ78" s="99"/>
      <c r="BA78" s="59"/>
      <c r="BE78" s="100"/>
      <c r="BO78" s="101"/>
      <c r="BP78" s="92"/>
      <c r="BQ78" s="21"/>
      <c r="BR78" s="21"/>
      <c r="BS78" s="21"/>
      <c r="BT78" s="68"/>
      <c r="BU78" s="1">
        <v>482</v>
      </c>
    </row>
    <row r="79" spans="1:188" ht="28.5" customHeight="1" thickBot="1" x14ac:dyDescent="0.45">
      <c r="A79" s="1">
        <v>483</v>
      </c>
      <c r="B79" s="817" t="s">
        <v>44</v>
      </c>
      <c r="C79" s="818"/>
      <c r="D79" s="818" t="s">
        <v>35</v>
      </c>
      <c r="E79" s="818"/>
      <c r="F79" s="818"/>
      <c r="G79" s="818"/>
      <c r="H79" s="818"/>
      <c r="I79" s="818"/>
      <c r="J79" s="818"/>
      <c r="K79" s="818"/>
      <c r="L79" s="818"/>
      <c r="M79" s="818"/>
      <c r="N79" s="818"/>
      <c r="O79" s="818"/>
      <c r="P79" s="818"/>
      <c r="Q79" s="818"/>
      <c r="R79" s="23" t="str">
        <f>$V2</f>
        <v>DEL 08 AL 14 ENERO 24</v>
      </c>
      <c r="S79" s="51"/>
      <c r="T79" s="11"/>
      <c r="U79" s="11"/>
      <c r="V79" s="52"/>
      <c r="W79" s="53"/>
      <c r="X79" s="53"/>
      <c r="Y79" s="53"/>
      <c r="Z79" s="54"/>
      <c r="AA79" s="55"/>
      <c r="AB79" s="53"/>
      <c r="AC79" s="53"/>
      <c r="AD79" s="53"/>
      <c r="AE79" s="54"/>
      <c r="AF79" s="56"/>
      <c r="AG79" s="53"/>
      <c r="AH79" s="53"/>
      <c r="AI79" s="53"/>
      <c r="AJ79" s="54"/>
      <c r="AK79" s="57"/>
      <c r="AL79" s="53"/>
      <c r="AM79" s="53"/>
      <c r="AN79" s="53"/>
      <c r="AO79" s="54"/>
      <c r="AP79" s="56"/>
      <c r="AQ79" s="53"/>
      <c r="AR79" s="53"/>
      <c r="AS79" s="53"/>
      <c r="AT79" s="54"/>
      <c r="AU79" s="56"/>
      <c r="AV79" s="53"/>
      <c r="AW79" s="53"/>
      <c r="AX79" s="53"/>
      <c r="AY79" s="54"/>
      <c r="AZ79" s="58"/>
      <c r="BA79" s="59"/>
      <c r="BG79" s="83"/>
      <c r="BO79" s="116"/>
      <c r="BP79" s="67"/>
      <c r="BQ79" s="21"/>
      <c r="BR79" s="74"/>
      <c r="BS79" s="74"/>
      <c r="BT79" s="68"/>
      <c r="BU79" s="1">
        <v>483</v>
      </c>
    </row>
    <row r="80" spans="1:188" ht="14.25" customHeight="1" thickBot="1" x14ac:dyDescent="0.35">
      <c r="A80" s="1">
        <v>484</v>
      </c>
      <c r="B80" s="117"/>
      <c r="C80" s="118"/>
      <c r="D80" s="119"/>
      <c r="E80" s="120" t="s">
        <v>8</v>
      </c>
      <c r="F80" s="121"/>
      <c r="G80" s="120" t="s">
        <v>9</v>
      </c>
      <c r="H80" s="122"/>
      <c r="I80" s="120" t="s">
        <v>9</v>
      </c>
      <c r="J80" s="122"/>
      <c r="K80" s="120" t="s">
        <v>10</v>
      </c>
      <c r="L80" s="122"/>
      <c r="M80" s="340" t="s">
        <v>11</v>
      </c>
      <c r="N80" s="273"/>
      <c r="O80" s="340" t="s">
        <v>12</v>
      </c>
      <c r="P80" s="120"/>
      <c r="Q80" s="122"/>
      <c r="R80" s="123"/>
      <c r="S80" s="51"/>
      <c r="T80" s="11"/>
      <c r="U80" s="52"/>
      <c r="V80" s="52"/>
      <c r="W80" s="53"/>
      <c r="X80" s="53"/>
      <c r="Y80" s="53"/>
      <c r="Z80" s="54"/>
      <c r="AA80" s="55"/>
      <c r="AB80" s="53"/>
      <c r="AC80" s="53"/>
      <c r="AD80" s="53"/>
      <c r="AE80" s="54"/>
      <c r="AF80" s="56"/>
      <c r="AG80" s="53"/>
      <c r="AH80" s="53"/>
      <c r="AI80" s="53"/>
      <c r="AJ80" s="54"/>
      <c r="AK80" s="57"/>
      <c r="AL80" s="53"/>
      <c r="AM80" s="53"/>
      <c r="AN80" s="53"/>
      <c r="AO80" s="54"/>
      <c r="AP80" s="56"/>
      <c r="AQ80" s="53"/>
      <c r="AR80" s="53"/>
      <c r="AS80" s="53"/>
      <c r="AT80" s="54"/>
      <c r="AU80" s="56"/>
      <c r="AV80" s="53"/>
      <c r="AW80" s="53"/>
      <c r="AX80" s="53"/>
      <c r="AY80" s="54"/>
      <c r="AZ80" s="58"/>
      <c r="BA80" s="59"/>
      <c r="BB80" s="124"/>
      <c r="BC80" s="124"/>
      <c r="BD80" s="124"/>
      <c r="BE80" s="124"/>
      <c r="BF80" s="124"/>
      <c r="BG80" s="124"/>
      <c r="BH80" s="124"/>
      <c r="BJ80" s="19"/>
      <c r="BK80" s="19"/>
      <c r="BL80" s="19"/>
      <c r="BM80" s="19"/>
      <c r="BN80" s="124"/>
      <c r="BO80" s="125"/>
      <c r="BP80" s="126"/>
      <c r="BQ80" s="21"/>
      <c r="BR80" s="68"/>
      <c r="BS80" s="68"/>
      <c r="BT80" s="68"/>
      <c r="BU80" s="1">
        <v>484</v>
      </c>
    </row>
    <row r="81" spans="1:214" ht="15" customHeight="1" thickBot="1" x14ac:dyDescent="0.35">
      <c r="A81" s="1"/>
      <c r="B81" s="275">
        <v>71</v>
      </c>
      <c r="C81" s="34">
        <f t="shared" ref="C81:C100" si="136">C80+1</f>
        <v>1</v>
      </c>
      <c r="D81" s="274" t="s">
        <v>87</v>
      </c>
      <c r="E81" s="233">
        <v>1</v>
      </c>
      <c r="F81" s="233"/>
      <c r="G81" s="233">
        <v>1</v>
      </c>
      <c r="H81" s="233"/>
      <c r="I81" s="233">
        <v>1</v>
      </c>
      <c r="J81" s="233"/>
      <c r="K81" s="360">
        <v>0</v>
      </c>
      <c r="L81" s="360" t="s">
        <v>165</v>
      </c>
      <c r="M81" s="233">
        <v>1</v>
      </c>
      <c r="N81" s="233"/>
      <c r="O81" s="233">
        <v>1</v>
      </c>
      <c r="P81" s="233"/>
      <c r="Q81" s="233">
        <v>1</v>
      </c>
      <c r="R81" s="339">
        <v>2000</v>
      </c>
      <c r="S81" s="51">
        <f t="shared" ref="S81:S99" si="137">+BH81</f>
        <v>0</v>
      </c>
      <c r="T81" s="11">
        <f t="shared" ref="T81:T100" si="138">+BA81</f>
        <v>1714</v>
      </c>
      <c r="U81" s="52">
        <f t="shared" ref="U81:U99" si="139">+BP81</f>
        <v>0</v>
      </c>
      <c r="V81" s="52">
        <f t="shared" ref="V81:V99" si="140">+BG81</f>
        <v>0</v>
      </c>
      <c r="W81" s="53">
        <f t="shared" ref="W81:W100" si="141">(R81-86.16)/6*E81</f>
        <v>318.9733333333333</v>
      </c>
      <c r="X81" s="53">
        <f t="shared" ref="X81:X100" si="142">$Y$2*E81*Q81</f>
        <v>7.18</v>
      </c>
      <c r="Y81" s="53">
        <f t="shared" ref="Y81:Y100" si="143">$Y$2*E81*Q81</f>
        <v>7.18</v>
      </c>
      <c r="Z81" s="54">
        <f t="shared" ref="Z81:Z100" si="144">Y81+X81+W81</f>
        <v>333.33333333333331</v>
      </c>
      <c r="AA81" s="55"/>
      <c r="AB81" s="53">
        <f t="shared" ref="AB81:AB100" si="145">(R81-86.16)/6*G81</f>
        <v>318.9733333333333</v>
      </c>
      <c r="AC81" s="53">
        <f t="shared" ref="AC81:AC100" si="146">$Y$2*G81*Q81</f>
        <v>7.18</v>
      </c>
      <c r="AD81" s="53">
        <f t="shared" ref="AD81:AD100" si="147">$Y$2*G81*Q81</f>
        <v>7.18</v>
      </c>
      <c r="AE81" s="54">
        <f t="shared" ref="AE81:AE100" si="148">AD81+AC81+AB81</f>
        <v>333.33333333333331</v>
      </c>
      <c r="AF81" s="56"/>
      <c r="AG81" s="53">
        <f t="shared" ref="AG81:AG100" si="149">(R81-86.16)/6*I81</f>
        <v>318.9733333333333</v>
      </c>
      <c r="AH81" s="53">
        <f t="shared" ref="AH81:AH100" si="150">$Y$2*I81*Q81</f>
        <v>7.18</v>
      </c>
      <c r="AI81" s="53">
        <f t="shared" ref="AI81:AI101" si="151">$Y$2*I81*Q81</f>
        <v>7.18</v>
      </c>
      <c r="AJ81" s="54">
        <f t="shared" ref="AJ81:AJ100" si="152">AI81+AH81+AG81</f>
        <v>333.33333333333331</v>
      </c>
      <c r="AK81" s="57"/>
      <c r="AL81" s="53">
        <f t="shared" ref="AL81:AL100" si="153">(R81-86.16)/6*K81</f>
        <v>0</v>
      </c>
      <c r="AM81" s="53">
        <f t="shared" ref="AM81:AM100" si="154">$Y$2*K81*Q81</f>
        <v>0</v>
      </c>
      <c r="AN81" s="53">
        <f t="shared" ref="AN81:AN100" si="155">$Y$2*K81*Q81</f>
        <v>0</v>
      </c>
      <c r="AO81" s="54">
        <f t="shared" ref="AO81:AO100" si="156">AN81+AM81+AL81</f>
        <v>0</v>
      </c>
      <c r="AP81" s="56"/>
      <c r="AQ81" s="53">
        <f t="shared" ref="AQ81:AQ100" si="157">(R81-86.16)/6*M81</f>
        <v>318.9733333333333</v>
      </c>
      <c r="AR81" s="53">
        <f t="shared" ref="AR81:AR100" si="158">$Y$2*M81*Q81</f>
        <v>7.18</v>
      </c>
      <c r="AS81" s="53">
        <f t="shared" ref="AS81:AS100" si="159">$Y$2*M81*Q81</f>
        <v>7.18</v>
      </c>
      <c r="AT81" s="54">
        <f t="shared" ref="AT81:AT101" si="160">AS81+AR81+AQ81</f>
        <v>333.33333333333331</v>
      </c>
      <c r="AU81" s="56"/>
      <c r="AV81" s="53">
        <f t="shared" ref="AV81:AV100" si="161">(R81-86.16)/6*O81</f>
        <v>318.9733333333333</v>
      </c>
      <c r="AW81" s="53">
        <f t="shared" ref="AW81:AW100" si="162">$Y$2*O81*Q81</f>
        <v>7.18</v>
      </c>
      <c r="AX81" s="53">
        <f t="shared" ref="AX81:AX100" si="163">$Y$2*O81*Q81</f>
        <v>7.18</v>
      </c>
      <c r="AY81" s="54">
        <f t="shared" ref="AY81:AY100" si="164">AX81+AW81+AV81</f>
        <v>333.33333333333331</v>
      </c>
      <c r="AZ81" s="58">
        <f>+AY81+AT81+AO81++AJ81+AE81+Z81</f>
        <v>1666.6666666666665</v>
      </c>
      <c r="BA81" s="59">
        <v>1714</v>
      </c>
      <c r="BB81" s="60"/>
      <c r="BC81" s="60"/>
      <c r="BD81" s="60"/>
      <c r="BE81" s="60"/>
      <c r="BF81" s="60"/>
      <c r="BG81" s="61"/>
      <c r="BH81" s="62"/>
      <c r="BI81" s="63"/>
      <c r="BJ81" s="63"/>
      <c r="BK81" s="63"/>
      <c r="BL81" s="63"/>
      <c r="BM81" s="19"/>
      <c r="BN81" s="124"/>
      <c r="BO81" s="125"/>
      <c r="BP81" s="126"/>
      <c r="BQ81" s="21"/>
      <c r="BR81" s="68"/>
      <c r="BS81" s="68"/>
      <c r="BT81" s="68"/>
      <c r="BU81" s="1"/>
    </row>
    <row r="82" spans="1:214" ht="16.5" customHeight="1" thickBot="1" x14ac:dyDescent="0.35">
      <c r="A82" s="1"/>
      <c r="B82" s="374">
        <v>147</v>
      </c>
      <c r="C82" s="34">
        <f t="shared" si="136"/>
        <v>2</v>
      </c>
      <c r="D82" s="343" t="s">
        <v>123</v>
      </c>
      <c r="E82" s="233">
        <v>1</v>
      </c>
      <c r="F82" s="233"/>
      <c r="G82" s="233">
        <v>1</v>
      </c>
      <c r="H82" s="233"/>
      <c r="I82" s="233">
        <v>1</v>
      </c>
      <c r="J82" s="233"/>
      <c r="K82" s="233">
        <v>1</v>
      </c>
      <c r="L82" s="233"/>
      <c r="M82" s="233">
        <v>1</v>
      </c>
      <c r="N82" s="233"/>
      <c r="O82" s="233">
        <v>1</v>
      </c>
      <c r="P82" s="233"/>
      <c r="Q82" s="233">
        <v>1</v>
      </c>
      <c r="R82" s="50">
        <f t="shared" ref="R82:R84" si="165">IF(Q82=1,1550,850)</f>
        <v>1550</v>
      </c>
      <c r="S82" s="51">
        <f t="shared" ref="S82" si="166">+BH82</f>
        <v>0</v>
      </c>
      <c r="T82" s="11">
        <f t="shared" ref="T82" si="167">+BA82</f>
        <v>1999.9999999999998</v>
      </c>
      <c r="U82" s="52">
        <f t="shared" ref="U82" si="168">+BP82</f>
        <v>0</v>
      </c>
      <c r="V82" s="52" t="str">
        <f t="shared" ref="V82" si="169">+BG82</f>
        <v>BONO+B ASIS</v>
      </c>
      <c r="W82" s="53">
        <f t="shared" si="141"/>
        <v>243.97333333333333</v>
      </c>
      <c r="X82" s="53">
        <f t="shared" si="142"/>
        <v>7.18</v>
      </c>
      <c r="Y82" s="53">
        <f t="shared" si="143"/>
        <v>7.18</v>
      </c>
      <c r="Z82" s="54">
        <f t="shared" si="144"/>
        <v>258.33333333333331</v>
      </c>
      <c r="AA82" s="55"/>
      <c r="AB82" s="53">
        <f t="shared" si="145"/>
        <v>243.97333333333333</v>
      </c>
      <c r="AC82" s="53">
        <f t="shared" si="146"/>
        <v>7.18</v>
      </c>
      <c r="AD82" s="53">
        <f t="shared" si="147"/>
        <v>7.18</v>
      </c>
      <c r="AE82" s="54">
        <f t="shared" si="148"/>
        <v>258.33333333333331</v>
      </c>
      <c r="AF82" s="56"/>
      <c r="AG82" s="53">
        <f t="shared" si="149"/>
        <v>243.97333333333333</v>
      </c>
      <c r="AH82" s="53">
        <f t="shared" si="150"/>
        <v>7.18</v>
      </c>
      <c r="AI82" s="53">
        <f t="shared" si="151"/>
        <v>7.18</v>
      </c>
      <c r="AJ82" s="54">
        <f t="shared" si="152"/>
        <v>258.33333333333331</v>
      </c>
      <c r="AK82" s="57"/>
      <c r="AL82" s="53">
        <f t="shared" si="153"/>
        <v>243.97333333333333</v>
      </c>
      <c r="AM82" s="53">
        <f t="shared" si="154"/>
        <v>7.18</v>
      </c>
      <c r="AN82" s="53">
        <f t="shared" si="155"/>
        <v>7.18</v>
      </c>
      <c r="AO82" s="54">
        <f t="shared" si="156"/>
        <v>258.33333333333331</v>
      </c>
      <c r="AP82" s="56"/>
      <c r="AQ82" s="53">
        <f t="shared" si="157"/>
        <v>243.97333333333333</v>
      </c>
      <c r="AR82" s="53">
        <f t="shared" si="158"/>
        <v>7.18</v>
      </c>
      <c r="AS82" s="53">
        <f t="shared" si="159"/>
        <v>7.18</v>
      </c>
      <c r="AT82" s="54">
        <f t="shared" si="160"/>
        <v>258.33333333333331</v>
      </c>
      <c r="AU82" s="56"/>
      <c r="AV82" s="53">
        <f t="shared" si="161"/>
        <v>243.97333333333333</v>
      </c>
      <c r="AW82" s="53">
        <f t="shared" si="162"/>
        <v>7.18</v>
      </c>
      <c r="AX82" s="53">
        <f t="shared" si="163"/>
        <v>7.18</v>
      </c>
      <c r="AY82" s="54">
        <f t="shared" si="164"/>
        <v>258.33333333333331</v>
      </c>
      <c r="AZ82" s="58">
        <f t="shared" ref="AZ82:AZ100" si="170">+AY82+AT82+AO82++AJ82+AE82+Z82</f>
        <v>1549.9999999999998</v>
      </c>
      <c r="BA82" s="59">
        <f>((AZ82-BB82-BC82-BD82-BE82-BF82)+BI82+BJ82+BK82+BL82+BM82+BN82+BO82)</f>
        <v>1999.9999999999998</v>
      </c>
      <c r="BB82" s="60"/>
      <c r="BC82" s="60"/>
      <c r="BD82" s="60"/>
      <c r="BE82" s="60"/>
      <c r="BF82" s="60"/>
      <c r="BG82" s="61" t="s">
        <v>133</v>
      </c>
      <c r="BH82" s="62"/>
      <c r="BI82" s="63">
        <v>300</v>
      </c>
      <c r="BJ82" s="63">
        <v>150</v>
      </c>
      <c r="BK82" s="63"/>
      <c r="BL82" s="63"/>
      <c r="BM82" s="19"/>
      <c r="BN82" s="124"/>
      <c r="BO82" s="125"/>
      <c r="BP82" s="126"/>
      <c r="BQ82" s="21"/>
      <c r="BR82" s="68"/>
      <c r="BS82" s="68"/>
      <c r="BT82" s="68"/>
      <c r="BU82" s="1"/>
    </row>
    <row r="83" spans="1:214" ht="14.25" customHeight="1" thickBot="1" x14ac:dyDescent="0.35">
      <c r="A83" s="1"/>
      <c r="B83" s="374">
        <v>127</v>
      </c>
      <c r="C83" s="34">
        <f t="shared" si="136"/>
        <v>3</v>
      </c>
      <c r="D83" s="375" t="s">
        <v>114</v>
      </c>
      <c r="E83" s="233">
        <v>1</v>
      </c>
      <c r="F83" s="233"/>
      <c r="G83" s="233">
        <v>1</v>
      </c>
      <c r="H83" s="233"/>
      <c r="I83" s="233">
        <v>1</v>
      </c>
      <c r="J83" s="233"/>
      <c r="K83" s="233">
        <v>1</v>
      </c>
      <c r="L83" s="233"/>
      <c r="M83" s="233">
        <v>1</v>
      </c>
      <c r="N83" s="233"/>
      <c r="O83" s="233">
        <v>1</v>
      </c>
      <c r="P83" s="233"/>
      <c r="Q83" s="233">
        <v>1</v>
      </c>
      <c r="R83" s="50">
        <f t="shared" si="165"/>
        <v>1550</v>
      </c>
      <c r="S83" s="51">
        <f t="shared" si="137"/>
        <v>0</v>
      </c>
      <c r="T83" s="11">
        <f t="shared" si="138"/>
        <v>1799.9999999999998</v>
      </c>
      <c r="U83" s="52">
        <f t="shared" si="139"/>
        <v>0</v>
      </c>
      <c r="V83" s="52" t="str">
        <f t="shared" si="140"/>
        <v>BONO</v>
      </c>
      <c r="W83" s="53">
        <f t="shared" si="141"/>
        <v>243.97333333333333</v>
      </c>
      <c r="X83" s="53">
        <f t="shared" si="142"/>
        <v>7.18</v>
      </c>
      <c r="Y83" s="53">
        <f t="shared" si="143"/>
        <v>7.18</v>
      </c>
      <c r="Z83" s="54">
        <f t="shared" si="144"/>
        <v>258.33333333333331</v>
      </c>
      <c r="AA83" s="55"/>
      <c r="AB83" s="53">
        <f t="shared" si="145"/>
        <v>243.97333333333333</v>
      </c>
      <c r="AC83" s="53">
        <f t="shared" si="146"/>
        <v>7.18</v>
      </c>
      <c r="AD83" s="53">
        <f t="shared" si="147"/>
        <v>7.18</v>
      </c>
      <c r="AE83" s="54">
        <f t="shared" si="148"/>
        <v>258.33333333333331</v>
      </c>
      <c r="AF83" s="56"/>
      <c r="AG83" s="53">
        <f t="shared" si="149"/>
        <v>243.97333333333333</v>
      </c>
      <c r="AH83" s="53">
        <f t="shared" si="150"/>
        <v>7.18</v>
      </c>
      <c r="AI83" s="53">
        <f t="shared" si="151"/>
        <v>7.18</v>
      </c>
      <c r="AJ83" s="54">
        <f t="shared" si="152"/>
        <v>258.33333333333331</v>
      </c>
      <c r="AK83" s="57"/>
      <c r="AL83" s="53">
        <f t="shared" si="153"/>
        <v>243.97333333333333</v>
      </c>
      <c r="AM83" s="53">
        <f t="shared" si="154"/>
        <v>7.18</v>
      </c>
      <c r="AN83" s="53">
        <f t="shared" si="155"/>
        <v>7.18</v>
      </c>
      <c r="AO83" s="54">
        <f t="shared" si="156"/>
        <v>258.33333333333331</v>
      </c>
      <c r="AP83" s="56"/>
      <c r="AQ83" s="53">
        <f t="shared" si="157"/>
        <v>243.97333333333333</v>
      </c>
      <c r="AR83" s="53">
        <f t="shared" si="158"/>
        <v>7.18</v>
      </c>
      <c r="AS83" s="53">
        <f t="shared" si="159"/>
        <v>7.18</v>
      </c>
      <c r="AT83" s="54">
        <f t="shared" si="160"/>
        <v>258.33333333333331</v>
      </c>
      <c r="AU83" s="56"/>
      <c r="AV83" s="53">
        <f t="shared" si="161"/>
        <v>243.97333333333333</v>
      </c>
      <c r="AW83" s="53">
        <f t="shared" si="162"/>
        <v>7.18</v>
      </c>
      <c r="AX83" s="53">
        <f t="shared" si="163"/>
        <v>7.18</v>
      </c>
      <c r="AY83" s="54">
        <f t="shared" si="164"/>
        <v>258.33333333333331</v>
      </c>
      <c r="AZ83" s="58">
        <f t="shared" si="170"/>
        <v>1549.9999999999998</v>
      </c>
      <c r="BA83" s="59">
        <f>((AZ83-BB83-BC83-BD83-BE83-BF83)+BI83+BJ83+BK83+BL83+BM83+BN83+BO83)</f>
        <v>1799.9999999999998</v>
      </c>
      <c r="BB83" s="60"/>
      <c r="BC83" s="60"/>
      <c r="BD83" s="60"/>
      <c r="BE83" s="60"/>
      <c r="BF83" s="60"/>
      <c r="BG83" s="61" t="s">
        <v>7</v>
      </c>
      <c r="BH83" s="62"/>
      <c r="BI83" s="63">
        <v>250</v>
      </c>
      <c r="BJ83" s="63">
        <v>0</v>
      </c>
      <c r="BK83" s="63"/>
      <c r="BL83" s="63"/>
      <c r="BM83" s="19"/>
      <c r="BN83" s="124"/>
      <c r="BO83" s="125"/>
      <c r="BP83" s="126"/>
      <c r="BQ83" s="21"/>
      <c r="BR83" s="68"/>
      <c r="BS83" s="68"/>
      <c r="BT83" s="68"/>
      <c r="BU83" s="1"/>
    </row>
    <row r="84" spans="1:214" ht="14.25" customHeight="1" thickBot="1" x14ac:dyDescent="0.35">
      <c r="A84" s="1"/>
      <c r="B84" s="374">
        <v>69</v>
      </c>
      <c r="C84" s="34">
        <f t="shared" si="136"/>
        <v>4</v>
      </c>
      <c r="D84" s="375" t="s">
        <v>88</v>
      </c>
      <c r="E84" s="233">
        <v>1</v>
      </c>
      <c r="F84" s="233"/>
      <c r="G84" s="233">
        <v>1</v>
      </c>
      <c r="H84" s="233"/>
      <c r="I84" s="233">
        <v>1</v>
      </c>
      <c r="J84" s="233"/>
      <c r="K84" s="233">
        <v>1</v>
      </c>
      <c r="L84" s="233"/>
      <c r="M84" s="233">
        <v>1</v>
      </c>
      <c r="N84" s="233"/>
      <c r="O84" s="233">
        <v>1</v>
      </c>
      <c r="P84" s="233"/>
      <c r="Q84" s="233">
        <v>1</v>
      </c>
      <c r="R84" s="50">
        <f t="shared" si="165"/>
        <v>1550</v>
      </c>
      <c r="S84" s="51">
        <f t="shared" si="137"/>
        <v>0</v>
      </c>
      <c r="T84" s="11">
        <f t="shared" si="138"/>
        <v>1799.9999999999998</v>
      </c>
      <c r="U84" s="52">
        <f t="shared" si="139"/>
        <v>0</v>
      </c>
      <c r="V84" s="52" t="str">
        <f t="shared" si="140"/>
        <v>BONO</v>
      </c>
      <c r="W84" s="53">
        <f t="shared" si="141"/>
        <v>243.97333333333333</v>
      </c>
      <c r="X84" s="53">
        <f t="shared" si="142"/>
        <v>7.18</v>
      </c>
      <c r="Y84" s="53">
        <f t="shared" si="143"/>
        <v>7.18</v>
      </c>
      <c r="Z84" s="54">
        <f t="shared" si="144"/>
        <v>258.33333333333331</v>
      </c>
      <c r="AA84" s="55"/>
      <c r="AB84" s="53">
        <f t="shared" si="145"/>
        <v>243.97333333333333</v>
      </c>
      <c r="AC84" s="53">
        <f t="shared" si="146"/>
        <v>7.18</v>
      </c>
      <c r="AD84" s="53">
        <f t="shared" si="147"/>
        <v>7.18</v>
      </c>
      <c r="AE84" s="54">
        <f t="shared" si="148"/>
        <v>258.33333333333331</v>
      </c>
      <c r="AF84" s="56"/>
      <c r="AG84" s="53">
        <f t="shared" si="149"/>
        <v>243.97333333333333</v>
      </c>
      <c r="AH84" s="53">
        <f t="shared" si="150"/>
        <v>7.18</v>
      </c>
      <c r="AI84" s="53">
        <f t="shared" si="151"/>
        <v>7.18</v>
      </c>
      <c r="AJ84" s="54">
        <f t="shared" si="152"/>
        <v>258.33333333333331</v>
      </c>
      <c r="AK84" s="57"/>
      <c r="AL84" s="53">
        <f t="shared" si="153"/>
        <v>243.97333333333333</v>
      </c>
      <c r="AM84" s="53">
        <f t="shared" si="154"/>
        <v>7.18</v>
      </c>
      <c r="AN84" s="53">
        <f t="shared" si="155"/>
        <v>7.18</v>
      </c>
      <c r="AO84" s="54">
        <f t="shared" si="156"/>
        <v>258.33333333333331</v>
      </c>
      <c r="AP84" s="56"/>
      <c r="AQ84" s="53">
        <f t="shared" si="157"/>
        <v>243.97333333333333</v>
      </c>
      <c r="AR84" s="53">
        <f t="shared" si="158"/>
        <v>7.18</v>
      </c>
      <c r="AS84" s="53">
        <f t="shared" si="159"/>
        <v>7.18</v>
      </c>
      <c r="AT84" s="54">
        <f t="shared" si="160"/>
        <v>258.33333333333331</v>
      </c>
      <c r="AU84" s="56"/>
      <c r="AV84" s="53">
        <f t="shared" si="161"/>
        <v>243.97333333333333</v>
      </c>
      <c r="AW84" s="53">
        <f t="shared" si="162"/>
        <v>7.18</v>
      </c>
      <c r="AX84" s="53">
        <f t="shared" si="163"/>
        <v>7.18</v>
      </c>
      <c r="AY84" s="54">
        <f t="shared" si="164"/>
        <v>258.33333333333331</v>
      </c>
      <c r="AZ84" s="58">
        <f t="shared" si="170"/>
        <v>1549.9999999999998</v>
      </c>
      <c r="BA84" s="59">
        <f>((AZ84-BB84-BC84-BD84-BE84-BF84)+BI84+BJ84+BK84+BL84+BM84+BN84+BO84)</f>
        <v>1799.9999999999998</v>
      </c>
      <c r="BB84" s="60"/>
      <c r="BC84" s="60"/>
      <c r="BD84" s="60"/>
      <c r="BE84" s="60"/>
      <c r="BF84" s="60"/>
      <c r="BG84" s="61" t="s">
        <v>7</v>
      </c>
      <c r="BH84" s="62"/>
      <c r="BI84" s="63">
        <v>250</v>
      </c>
      <c r="BJ84" s="63"/>
      <c r="BK84" s="63"/>
      <c r="BL84" s="63"/>
      <c r="BM84" s="19"/>
      <c r="BN84" s="124"/>
      <c r="BO84" s="125"/>
      <c r="BP84" s="126"/>
      <c r="BQ84" s="21"/>
      <c r="BR84" s="68"/>
      <c r="BS84" s="68"/>
      <c r="BT84" s="68"/>
      <c r="BU84" s="1"/>
    </row>
    <row r="85" spans="1:214" ht="15.75" customHeight="1" thickBot="1" x14ac:dyDescent="0.35">
      <c r="A85" s="1"/>
      <c r="B85" s="275">
        <v>107</v>
      </c>
      <c r="C85" s="34">
        <f t="shared" si="136"/>
        <v>5</v>
      </c>
      <c r="D85" s="274" t="s">
        <v>103</v>
      </c>
      <c r="E85" s="233">
        <v>1</v>
      </c>
      <c r="F85" s="233"/>
      <c r="G85" s="233">
        <v>1</v>
      </c>
      <c r="H85" s="233"/>
      <c r="I85" s="233">
        <v>1</v>
      </c>
      <c r="J85" s="233"/>
      <c r="K85" s="233">
        <v>1</v>
      </c>
      <c r="L85" s="233"/>
      <c r="M85" s="233">
        <v>1</v>
      </c>
      <c r="N85" s="233"/>
      <c r="O85" s="233">
        <v>1</v>
      </c>
      <c r="P85" s="233"/>
      <c r="Q85" s="233">
        <v>1</v>
      </c>
      <c r="R85" s="339">
        <v>2000</v>
      </c>
      <c r="S85" s="51">
        <f t="shared" si="137"/>
        <v>0</v>
      </c>
      <c r="T85" s="11">
        <f t="shared" si="138"/>
        <v>2500</v>
      </c>
      <c r="U85" s="52">
        <f t="shared" si="139"/>
        <v>0</v>
      </c>
      <c r="V85" s="52" t="str">
        <f t="shared" si="140"/>
        <v>BONO+B ASIS</v>
      </c>
      <c r="W85" s="53">
        <f t="shared" si="141"/>
        <v>318.9733333333333</v>
      </c>
      <c r="X85" s="53">
        <f t="shared" si="142"/>
        <v>7.18</v>
      </c>
      <c r="Y85" s="53">
        <f t="shared" si="143"/>
        <v>7.18</v>
      </c>
      <c r="Z85" s="54">
        <f t="shared" si="144"/>
        <v>333.33333333333331</v>
      </c>
      <c r="AA85" s="55"/>
      <c r="AB85" s="53">
        <f t="shared" si="145"/>
        <v>318.9733333333333</v>
      </c>
      <c r="AC85" s="53">
        <f t="shared" si="146"/>
        <v>7.18</v>
      </c>
      <c r="AD85" s="53">
        <f t="shared" si="147"/>
        <v>7.18</v>
      </c>
      <c r="AE85" s="54">
        <f t="shared" si="148"/>
        <v>333.33333333333331</v>
      </c>
      <c r="AF85" s="56"/>
      <c r="AG85" s="53">
        <f t="shared" si="149"/>
        <v>318.9733333333333</v>
      </c>
      <c r="AH85" s="53">
        <f t="shared" si="150"/>
        <v>7.18</v>
      </c>
      <c r="AI85" s="53">
        <f t="shared" si="151"/>
        <v>7.18</v>
      </c>
      <c r="AJ85" s="54">
        <f t="shared" si="152"/>
        <v>333.33333333333331</v>
      </c>
      <c r="AK85" s="57"/>
      <c r="AL85" s="53">
        <f t="shared" si="153"/>
        <v>318.9733333333333</v>
      </c>
      <c r="AM85" s="53">
        <f t="shared" si="154"/>
        <v>7.18</v>
      </c>
      <c r="AN85" s="53">
        <f t="shared" si="155"/>
        <v>7.18</v>
      </c>
      <c r="AO85" s="54">
        <f t="shared" si="156"/>
        <v>333.33333333333331</v>
      </c>
      <c r="AP85" s="56"/>
      <c r="AQ85" s="53">
        <f t="shared" si="157"/>
        <v>318.9733333333333</v>
      </c>
      <c r="AR85" s="53">
        <f t="shared" si="158"/>
        <v>7.18</v>
      </c>
      <c r="AS85" s="53">
        <f t="shared" si="159"/>
        <v>7.18</v>
      </c>
      <c r="AT85" s="54">
        <f t="shared" si="160"/>
        <v>333.33333333333331</v>
      </c>
      <c r="AU85" s="56"/>
      <c r="AV85" s="53">
        <f t="shared" si="161"/>
        <v>318.9733333333333</v>
      </c>
      <c r="AW85" s="53">
        <f t="shared" si="162"/>
        <v>7.18</v>
      </c>
      <c r="AX85" s="53">
        <f t="shared" si="163"/>
        <v>7.18</v>
      </c>
      <c r="AY85" s="54">
        <f t="shared" si="164"/>
        <v>333.33333333333331</v>
      </c>
      <c r="AZ85" s="58">
        <f t="shared" si="170"/>
        <v>1999.9999999999998</v>
      </c>
      <c r="BA85" s="59">
        <f>((AZ85-BB85-BC85-BD85-BE85-BF85)+BI85+BJ85+BK85+BL85+BM85+BN85+BO85)</f>
        <v>2500</v>
      </c>
      <c r="BB85" s="60"/>
      <c r="BC85" s="60"/>
      <c r="BD85" s="60"/>
      <c r="BE85" s="60"/>
      <c r="BF85" s="60"/>
      <c r="BG85" s="61" t="s">
        <v>133</v>
      </c>
      <c r="BH85" s="62"/>
      <c r="BI85" s="63">
        <v>350</v>
      </c>
      <c r="BJ85" s="63">
        <v>150</v>
      </c>
      <c r="BK85" s="64"/>
      <c r="BL85" s="63"/>
      <c r="BM85" s="65"/>
      <c r="BN85" s="65"/>
      <c r="BO85" s="66"/>
      <c r="BP85" s="67"/>
      <c r="BQ85" s="21"/>
      <c r="BR85" s="48"/>
      <c r="BS85" s="48"/>
      <c r="BT85" s="68"/>
      <c r="BU85" s="1"/>
      <c r="GG85" s="69"/>
      <c r="GH85" s="69"/>
      <c r="GI85" s="69"/>
      <c r="GJ85" s="69"/>
      <c r="GK85" s="69"/>
      <c r="GL85" s="69"/>
      <c r="GM85" s="69"/>
      <c r="GN85" s="69"/>
      <c r="GO85" s="69"/>
      <c r="GP85" s="69"/>
      <c r="GQ85" s="69"/>
      <c r="GR85" s="69"/>
      <c r="GS85" s="69"/>
      <c r="GT85" s="69"/>
      <c r="GU85" s="69"/>
      <c r="GV85" s="69"/>
      <c r="GW85" s="69"/>
      <c r="GX85" s="69"/>
      <c r="GY85" s="69"/>
      <c r="GZ85" s="69"/>
      <c r="HA85" s="69"/>
      <c r="HB85" s="69"/>
      <c r="HC85" s="69"/>
      <c r="HD85" s="69"/>
      <c r="HE85" s="69"/>
      <c r="HF85" s="69"/>
    </row>
    <row r="86" spans="1:214" s="69" customFormat="1" ht="15.75" customHeight="1" thickBot="1" x14ac:dyDescent="0.35">
      <c r="A86" s="1">
        <v>421</v>
      </c>
      <c r="B86" s="275">
        <v>63</v>
      </c>
      <c r="C86" s="34">
        <f t="shared" si="136"/>
        <v>6</v>
      </c>
      <c r="D86" s="274" t="s">
        <v>45</v>
      </c>
      <c r="E86" s="233">
        <v>1</v>
      </c>
      <c r="F86" s="233"/>
      <c r="G86" s="233">
        <v>1</v>
      </c>
      <c r="H86" s="233"/>
      <c r="I86" s="233">
        <v>1</v>
      </c>
      <c r="J86" s="233"/>
      <c r="K86" s="233">
        <v>1</v>
      </c>
      <c r="L86" s="233"/>
      <c r="M86" s="233">
        <v>1</v>
      </c>
      <c r="N86" s="233"/>
      <c r="O86" s="233">
        <v>1</v>
      </c>
      <c r="P86" s="233"/>
      <c r="Q86" s="233">
        <v>1</v>
      </c>
      <c r="R86" s="339">
        <v>7000</v>
      </c>
      <c r="S86" s="51">
        <f t="shared" si="137"/>
        <v>0</v>
      </c>
      <c r="T86" s="11">
        <f t="shared" si="138"/>
        <v>10500</v>
      </c>
      <c r="U86" s="52">
        <f t="shared" si="139"/>
        <v>0</v>
      </c>
      <c r="V86" s="52" t="str">
        <f t="shared" si="140"/>
        <v>PV2A 2/2</v>
      </c>
      <c r="W86" s="53">
        <f t="shared" si="141"/>
        <v>1152.3066666666666</v>
      </c>
      <c r="X86" s="53">
        <f t="shared" si="142"/>
        <v>7.18</v>
      </c>
      <c r="Y86" s="53">
        <f t="shared" si="143"/>
        <v>7.18</v>
      </c>
      <c r="Z86" s="54">
        <f t="shared" si="144"/>
        <v>1166.6666666666665</v>
      </c>
      <c r="AA86" s="55"/>
      <c r="AB86" s="53">
        <f t="shared" si="145"/>
        <v>1152.3066666666666</v>
      </c>
      <c r="AC86" s="53">
        <f t="shared" si="146"/>
        <v>7.18</v>
      </c>
      <c r="AD86" s="53">
        <f t="shared" si="147"/>
        <v>7.18</v>
      </c>
      <c r="AE86" s="54">
        <f t="shared" si="148"/>
        <v>1166.6666666666665</v>
      </c>
      <c r="AF86" s="56"/>
      <c r="AG86" s="53">
        <f t="shared" si="149"/>
        <v>1152.3066666666666</v>
      </c>
      <c r="AH86" s="53">
        <f t="shared" si="150"/>
        <v>7.18</v>
      </c>
      <c r="AI86" s="53">
        <f t="shared" si="151"/>
        <v>7.18</v>
      </c>
      <c r="AJ86" s="54">
        <f t="shared" si="152"/>
        <v>1166.6666666666665</v>
      </c>
      <c r="AK86" s="57"/>
      <c r="AL86" s="53">
        <f t="shared" si="153"/>
        <v>1152.3066666666666</v>
      </c>
      <c r="AM86" s="53">
        <f t="shared" si="154"/>
        <v>7.18</v>
      </c>
      <c r="AN86" s="53">
        <f t="shared" si="155"/>
        <v>7.18</v>
      </c>
      <c r="AO86" s="54">
        <f t="shared" si="156"/>
        <v>1166.6666666666665</v>
      </c>
      <c r="AP86" s="56"/>
      <c r="AQ86" s="53">
        <f t="shared" si="157"/>
        <v>1152.3066666666666</v>
      </c>
      <c r="AR86" s="53">
        <f t="shared" si="158"/>
        <v>7.18</v>
      </c>
      <c r="AS86" s="53">
        <f t="shared" si="159"/>
        <v>7.18</v>
      </c>
      <c r="AT86" s="54">
        <f t="shared" si="160"/>
        <v>1166.6666666666665</v>
      </c>
      <c r="AU86" s="56"/>
      <c r="AV86" s="53">
        <f t="shared" si="161"/>
        <v>1152.3066666666666</v>
      </c>
      <c r="AW86" s="53">
        <f t="shared" si="162"/>
        <v>7.18</v>
      </c>
      <c r="AX86" s="53">
        <f t="shared" si="163"/>
        <v>7.18</v>
      </c>
      <c r="AY86" s="54">
        <f t="shared" si="164"/>
        <v>1166.6666666666665</v>
      </c>
      <c r="AZ86" s="58">
        <f t="shared" si="170"/>
        <v>6999.9999999999982</v>
      </c>
      <c r="BA86" s="345">
        <f>7000+BI86+BJ86+BK86+BL86+BM86</f>
        <v>10500</v>
      </c>
      <c r="BB86" s="60"/>
      <c r="BC86" s="60"/>
      <c r="BD86" s="60"/>
      <c r="BE86" s="60"/>
      <c r="BF86" s="60"/>
      <c r="BG86" s="131" t="s">
        <v>176</v>
      </c>
      <c r="BH86" s="17"/>
      <c r="BI86" s="64"/>
      <c r="BJ86" s="18"/>
      <c r="BK86" s="65"/>
      <c r="BL86" s="63"/>
      <c r="BM86" s="65">
        <v>3500</v>
      </c>
      <c r="BN86" s="65"/>
      <c r="BO86" s="66"/>
      <c r="BP86" s="67"/>
      <c r="BQ86" s="21"/>
      <c r="BR86" s="48"/>
      <c r="BS86" s="48"/>
      <c r="BT86" s="68"/>
      <c r="BU86" s="1">
        <v>421</v>
      </c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</row>
    <row r="87" spans="1:214" s="69" customFormat="1" ht="15.75" customHeight="1" thickBot="1" x14ac:dyDescent="0.35">
      <c r="A87" s="1"/>
      <c r="B87" s="275">
        <v>94</v>
      </c>
      <c r="C87" s="34">
        <f t="shared" si="136"/>
        <v>7</v>
      </c>
      <c r="D87" s="274" t="s">
        <v>96</v>
      </c>
      <c r="E87" s="233">
        <v>1</v>
      </c>
      <c r="F87" s="233"/>
      <c r="G87" s="233">
        <v>1</v>
      </c>
      <c r="H87" s="233"/>
      <c r="I87" s="233">
        <v>1</v>
      </c>
      <c r="J87" s="233"/>
      <c r="K87" s="233">
        <v>1</v>
      </c>
      <c r="L87" s="233"/>
      <c r="M87" s="233">
        <v>1</v>
      </c>
      <c r="N87" s="233"/>
      <c r="O87" s="233">
        <v>1</v>
      </c>
      <c r="P87" s="233"/>
      <c r="Q87" s="233">
        <v>1</v>
      </c>
      <c r="R87" s="339">
        <v>2000</v>
      </c>
      <c r="S87" s="51">
        <f t="shared" si="137"/>
        <v>0</v>
      </c>
      <c r="T87" s="11">
        <f t="shared" si="138"/>
        <v>2600</v>
      </c>
      <c r="U87" s="52">
        <f t="shared" si="139"/>
        <v>0</v>
      </c>
      <c r="V87" s="52" t="str">
        <f t="shared" si="140"/>
        <v>BONO+B ASIS</v>
      </c>
      <c r="W87" s="53">
        <f t="shared" si="141"/>
        <v>318.9733333333333</v>
      </c>
      <c r="X87" s="53">
        <f t="shared" si="142"/>
        <v>7.18</v>
      </c>
      <c r="Y87" s="53">
        <f t="shared" si="143"/>
        <v>7.18</v>
      </c>
      <c r="Z87" s="54">
        <f t="shared" si="144"/>
        <v>333.33333333333331</v>
      </c>
      <c r="AA87" s="55"/>
      <c r="AB87" s="53">
        <f t="shared" si="145"/>
        <v>318.9733333333333</v>
      </c>
      <c r="AC87" s="53">
        <f t="shared" si="146"/>
        <v>7.18</v>
      </c>
      <c r="AD87" s="53">
        <f t="shared" si="147"/>
        <v>7.18</v>
      </c>
      <c r="AE87" s="54">
        <f t="shared" si="148"/>
        <v>333.33333333333331</v>
      </c>
      <c r="AF87" s="56"/>
      <c r="AG87" s="53">
        <f t="shared" si="149"/>
        <v>318.9733333333333</v>
      </c>
      <c r="AH87" s="53">
        <f t="shared" si="150"/>
        <v>7.18</v>
      </c>
      <c r="AI87" s="53">
        <f t="shared" si="151"/>
        <v>7.18</v>
      </c>
      <c r="AJ87" s="54">
        <f t="shared" si="152"/>
        <v>333.33333333333331</v>
      </c>
      <c r="AK87" s="57"/>
      <c r="AL87" s="53">
        <f t="shared" si="153"/>
        <v>318.9733333333333</v>
      </c>
      <c r="AM87" s="53">
        <f t="shared" si="154"/>
        <v>7.18</v>
      </c>
      <c r="AN87" s="53">
        <f t="shared" si="155"/>
        <v>7.18</v>
      </c>
      <c r="AO87" s="54">
        <f t="shared" si="156"/>
        <v>333.33333333333331</v>
      </c>
      <c r="AP87" s="56"/>
      <c r="AQ87" s="53">
        <f t="shared" si="157"/>
        <v>318.9733333333333</v>
      </c>
      <c r="AR87" s="53">
        <f t="shared" si="158"/>
        <v>7.18</v>
      </c>
      <c r="AS87" s="53">
        <f t="shared" si="159"/>
        <v>7.18</v>
      </c>
      <c r="AT87" s="54">
        <f t="shared" si="160"/>
        <v>333.33333333333331</v>
      </c>
      <c r="AU87" s="56"/>
      <c r="AV87" s="53">
        <f t="shared" si="161"/>
        <v>318.9733333333333</v>
      </c>
      <c r="AW87" s="53">
        <f t="shared" si="162"/>
        <v>7.18</v>
      </c>
      <c r="AX87" s="53">
        <f t="shared" si="163"/>
        <v>7.18</v>
      </c>
      <c r="AY87" s="54">
        <f t="shared" si="164"/>
        <v>333.33333333333331</v>
      </c>
      <c r="AZ87" s="58">
        <f t="shared" si="170"/>
        <v>1999.9999999999998</v>
      </c>
      <c r="BA87" s="59">
        <f>((AZ87-BB87-BC87-BD87-BE87-BF87)+BI87+BJ87+BK87+BL87+BM87+BN87+BO87)</f>
        <v>2600</v>
      </c>
      <c r="BB87" s="60"/>
      <c r="BC87" s="60"/>
      <c r="BD87" s="60"/>
      <c r="BE87" s="60"/>
      <c r="BF87" s="60"/>
      <c r="BG87" s="61" t="s">
        <v>133</v>
      </c>
      <c r="BH87" s="17"/>
      <c r="BI87" s="64">
        <v>350</v>
      </c>
      <c r="BJ87" s="18">
        <v>250</v>
      </c>
      <c r="BK87" s="63"/>
      <c r="BL87" s="63"/>
      <c r="BM87" s="65"/>
      <c r="BN87" s="65"/>
      <c r="BO87" s="66"/>
      <c r="BP87" s="67"/>
      <c r="BQ87" s="21"/>
      <c r="BR87" s="48"/>
      <c r="BS87" s="48"/>
      <c r="BT87" s="68"/>
      <c r="BU87" s="1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</row>
    <row r="88" spans="1:214" s="69" customFormat="1" ht="15.75" customHeight="1" thickBot="1" x14ac:dyDescent="0.35">
      <c r="A88" s="1"/>
      <c r="B88" s="374">
        <v>167</v>
      </c>
      <c r="C88" s="34">
        <f t="shared" si="136"/>
        <v>8</v>
      </c>
      <c r="D88" s="375" t="s">
        <v>152</v>
      </c>
      <c r="E88" s="233">
        <v>1</v>
      </c>
      <c r="F88" s="233"/>
      <c r="G88" s="233">
        <v>1</v>
      </c>
      <c r="H88" s="233"/>
      <c r="I88" s="233">
        <v>1</v>
      </c>
      <c r="J88" s="233"/>
      <c r="K88" s="233">
        <v>1</v>
      </c>
      <c r="L88" s="233"/>
      <c r="M88" s="233">
        <v>1</v>
      </c>
      <c r="N88" s="233"/>
      <c r="O88" s="233">
        <v>1</v>
      </c>
      <c r="P88" s="233"/>
      <c r="Q88" s="233">
        <v>1</v>
      </c>
      <c r="R88" s="50">
        <f t="shared" ref="R88:R99" si="171">IF(Q88=1,1550,850)</f>
        <v>1550</v>
      </c>
      <c r="S88" s="51">
        <f t="shared" si="137"/>
        <v>0</v>
      </c>
      <c r="T88" s="11">
        <f t="shared" si="138"/>
        <v>1799.9999999999998</v>
      </c>
      <c r="U88" s="52">
        <f t="shared" si="139"/>
        <v>0</v>
      </c>
      <c r="V88" s="52" t="str">
        <f t="shared" si="140"/>
        <v>B ASIS</v>
      </c>
      <c r="W88" s="53">
        <f t="shared" si="141"/>
        <v>243.97333333333333</v>
      </c>
      <c r="X88" s="53">
        <f t="shared" si="142"/>
        <v>7.18</v>
      </c>
      <c r="Y88" s="53">
        <f t="shared" si="143"/>
        <v>7.18</v>
      </c>
      <c r="Z88" s="54">
        <f t="shared" si="144"/>
        <v>258.33333333333331</v>
      </c>
      <c r="AA88" s="55"/>
      <c r="AB88" s="53">
        <f t="shared" si="145"/>
        <v>243.97333333333333</v>
      </c>
      <c r="AC88" s="53">
        <f t="shared" si="146"/>
        <v>7.18</v>
      </c>
      <c r="AD88" s="53">
        <f t="shared" si="147"/>
        <v>7.18</v>
      </c>
      <c r="AE88" s="54">
        <f t="shared" si="148"/>
        <v>258.33333333333331</v>
      </c>
      <c r="AF88" s="56"/>
      <c r="AG88" s="53">
        <f t="shared" si="149"/>
        <v>243.97333333333333</v>
      </c>
      <c r="AH88" s="53">
        <f t="shared" si="150"/>
        <v>7.18</v>
      </c>
      <c r="AI88" s="53">
        <f t="shared" si="151"/>
        <v>7.18</v>
      </c>
      <c r="AJ88" s="54">
        <f t="shared" si="152"/>
        <v>258.33333333333331</v>
      </c>
      <c r="AK88" s="57"/>
      <c r="AL88" s="53">
        <f t="shared" si="153"/>
        <v>243.97333333333333</v>
      </c>
      <c r="AM88" s="53">
        <f t="shared" si="154"/>
        <v>7.18</v>
      </c>
      <c r="AN88" s="53">
        <f t="shared" si="155"/>
        <v>7.18</v>
      </c>
      <c r="AO88" s="54">
        <f t="shared" si="156"/>
        <v>258.33333333333331</v>
      </c>
      <c r="AP88" s="56"/>
      <c r="AQ88" s="53">
        <f t="shared" si="157"/>
        <v>243.97333333333333</v>
      </c>
      <c r="AR88" s="53">
        <f t="shared" si="158"/>
        <v>7.18</v>
      </c>
      <c r="AS88" s="53">
        <f t="shared" si="159"/>
        <v>7.18</v>
      </c>
      <c r="AT88" s="54">
        <f t="shared" si="160"/>
        <v>258.33333333333331</v>
      </c>
      <c r="AU88" s="56"/>
      <c r="AV88" s="53">
        <f t="shared" si="161"/>
        <v>243.97333333333333</v>
      </c>
      <c r="AW88" s="53">
        <f t="shared" si="162"/>
        <v>7.18</v>
      </c>
      <c r="AX88" s="53">
        <f t="shared" si="163"/>
        <v>7.18</v>
      </c>
      <c r="AY88" s="54">
        <f t="shared" si="164"/>
        <v>258.33333333333331</v>
      </c>
      <c r="AZ88" s="58">
        <f t="shared" si="170"/>
        <v>1549.9999999999998</v>
      </c>
      <c r="BA88" s="59">
        <f>((AZ88-BB88-BC88-BD88-BE88-BF88)+BI88+BJ88+BK88+BL88+BM88+BN88+BO88)</f>
        <v>1799.9999999999998</v>
      </c>
      <c r="BB88" s="60"/>
      <c r="BC88" s="60"/>
      <c r="BD88" s="60"/>
      <c r="BE88" s="60"/>
      <c r="BF88" s="60"/>
      <c r="BG88" s="61" t="s">
        <v>174</v>
      </c>
      <c r="BH88" s="17"/>
      <c r="BI88" s="64">
        <v>100</v>
      </c>
      <c r="BJ88" s="18">
        <v>150</v>
      </c>
      <c r="BK88" s="63"/>
      <c r="BL88" s="63"/>
      <c r="BM88" s="65"/>
      <c r="BN88" s="65"/>
      <c r="BO88" s="66"/>
      <c r="BP88" s="67"/>
      <c r="BQ88" s="21"/>
      <c r="BR88" s="48"/>
      <c r="BS88" s="48"/>
      <c r="BT88" s="68"/>
      <c r="BU88" s="1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</row>
    <row r="89" spans="1:214" s="69" customFormat="1" ht="15.75" customHeight="1" thickBot="1" x14ac:dyDescent="0.35">
      <c r="A89" s="1"/>
      <c r="B89" s="374">
        <v>143</v>
      </c>
      <c r="C89" s="34">
        <f t="shared" si="136"/>
        <v>9</v>
      </c>
      <c r="D89" s="343" t="s">
        <v>122</v>
      </c>
      <c r="E89" s="233">
        <v>1</v>
      </c>
      <c r="F89" s="233"/>
      <c r="G89" s="233">
        <v>1</v>
      </c>
      <c r="H89" s="233"/>
      <c r="I89" s="233">
        <v>1</v>
      </c>
      <c r="J89" s="233"/>
      <c r="K89" s="233">
        <v>1</v>
      </c>
      <c r="L89" s="233"/>
      <c r="M89" s="233">
        <v>1</v>
      </c>
      <c r="N89" s="233"/>
      <c r="O89" s="233">
        <v>1</v>
      </c>
      <c r="P89" s="233"/>
      <c r="Q89" s="233">
        <v>1</v>
      </c>
      <c r="R89" s="50">
        <f t="shared" si="171"/>
        <v>1550</v>
      </c>
      <c r="S89" s="51">
        <f t="shared" ref="S89" si="172">+BH89</f>
        <v>0</v>
      </c>
      <c r="T89" s="11">
        <f t="shared" ref="T89" si="173">+BA89</f>
        <v>2107.14</v>
      </c>
      <c r="U89" s="52">
        <f t="shared" ref="U89" si="174">+BP89</f>
        <v>0</v>
      </c>
      <c r="V89" s="52" t="str">
        <f t="shared" ref="V89" si="175">+BG89</f>
        <v>BONO+B ASIS+T EXT</v>
      </c>
      <c r="W89" s="53">
        <f t="shared" si="141"/>
        <v>243.97333333333333</v>
      </c>
      <c r="X89" s="53">
        <f t="shared" si="142"/>
        <v>7.18</v>
      </c>
      <c r="Y89" s="53">
        <f t="shared" si="143"/>
        <v>7.18</v>
      </c>
      <c r="Z89" s="54">
        <f t="shared" si="144"/>
        <v>258.33333333333331</v>
      </c>
      <c r="AA89" s="55"/>
      <c r="AB89" s="53">
        <f t="shared" si="145"/>
        <v>243.97333333333333</v>
      </c>
      <c r="AC89" s="53">
        <f t="shared" si="146"/>
        <v>7.18</v>
      </c>
      <c r="AD89" s="53">
        <f t="shared" si="147"/>
        <v>7.18</v>
      </c>
      <c r="AE89" s="54">
        <f t="shared" si="148"/>
        <v>258.33333333333331</v>
      </c>
      <c r="AF89" s="56"/>
      <c r="AG89" s="53">
        <f t="shared" si="149"/>
        <v>243.97333333333333</v>
      </c>
      <c r="AH89" s="53">
        <f t="shared" si="150"/>
        <v>7.18</v>
      </c>
      <c r="AI89" s="53">
        <f t="shared" si="151"/>
        <v>7.18</v>
      </c>
      <c r="AJ89" s="54">
        <f t="shared" si="152"/>
        <v>258.33333333333331</v>
      </c>
      <c r="AK89" s="57"/>
      <c r="AL89" s="53">
        <f t="shared" si="153"/>
        <v>243.97333333333333</v>
      </c>
      <c r="AM89" s="53">
        <f t="shared" si="154"/>
        <v>7.18</v>
      </c>
      <c r="AN89" s="53">
        <f t="shared" si="155"/>
        <v>7.18</v>
      </c>
      <c r="AO89" s="54">
        <f t="shared" si="156"/>
        <v>258.33333333333331</v>
      </c>
      <c r="AP89" s="56"/>
      <c r="AQ89" s="53">
        <f t="shared" si="157"/>
        <v>243.97333333333333</v>
      </c>
      <c r="AR89" s="53">
        <f t="shared" si="158"/>
        <v>7.18</v>
      </c>
      <c r="AS89" s="53">
        <f t="shared" si="159"/>
        <v>7.18</v>
      </c>
      <c r="AT89" s="54">
        <f t="shared" si="160"/>
        <v>258.33333333333331</v>
      </c>
      <c r="AU89" s="56"/>
      <c r="AV89" s="53">
        <f t="shared" si="161"/>
        <v>243.97333333333333</v>
      </c>
      <c r="AW89" s="53">
        <f t="shared" si="162"/>
        <v>7.18</v>
      </c>
      <c r="AX89" s="53">
        <f t="shared" si="163"/>
        <v>7.18</v>
      </c>
      <c r="AY89" s="54">
        <f t="shared" si="164"/>
        <v>258.33333333333331</v>
      </c>
      <c r="AZ89" s="58">
        <f t="shared" si="170"/>
        <v>1549.9999999999998</v>
      </c>
      <c r="BA89" s="59">
        <f>((AZ89-BB89-BC89-BD89-BE89-BF89)+BI89+BJ89+BK89+BL89+BM89+BN89+BO89)</f>
        <v>2107.14</v>
      </c>
      <c r="BB89" s="60"/>
      <c r="BC89" s="60"/>
      <c r="BD89" s="60"/>
      <c r="BE89" s="60"/>
      <c r="BF89" s="60"/>
      <c r="BG89" s="61" t="s">
        <v>134</v>
      </c>
      <c r="BH89" s="17"/>
      <c r="BI89" s="64">
        <v>250</v>
      </c>
      <c r="BJ89" s="18">
        <v>250</v>
      </c>
      <c r="BK89" s="65">
        <v>57.14</v>
      </c>
      <c r="BL89" s="63"/>
      <c r="BM89" s="65"/>
      <c r="BN89" s="65"/>
      <c r="BO89" s="66"/>
      <c r="BP89" s="67"/>
      <c r="BQ89" s="21"/>
      <c r="BR89" s="48"/>
      <c r="BS89" s="48"/>
      <c r="BT89" s="68"/>
      <c r="BU89" s="1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</row>
    <row r="90" spans="1:214" s="69" customFormat="1" ht="15.75" customHeight="1" thickBot="1" x14ac:dyDescent="0.35">
      <c r="A90" s="1"/>
      <c r="B90" s="374">
        <v>70</v>
      </c>
      <c r="C90" s="34">
        <f t="shared" si="136"/>
        <v>10</v>
      </c>
      <c r="D90" s="375" t="s">
        <v>89</v>
      </c>
      <c r="E90" s="346">
        <v>0</v>
      </c>
      <c r="F90" s="347" t="s">
        <v>18</v>
      </c>
      <c r="G90" s="346">
        <v>0</v>
      </c>
      <c r="H90" s="347" t="s">
        <v>18</v>
      </c>
      <c r="I90" s="346">
        <v>0</v>
      </c>
      <c r="J90" s="347" t="s">
        <v>18</v>
      </c>
      <c r="K90" s="346">
        <v>0</v>
      </c>
      <c r="L90" s="347" t="s">
        <v>18</v>
      </c>
      <c r="M90" s="346">
        <v>0</v>
      </c>
      <c r="N90" s="347" t="s">
        <v>18</v>
      </c>
      <c r="O90" s="346">
        <v>0</v>
      </c>
      <c r="P90" s="347" t="s">
        <v>18</v>
      </c>
      <c r="Q90" s="49">
        <v>0</v>
      </c>
      <c r="R90" s="50">
        <f t="shared" si="171"/>
        <v>850</v>
      </c>
      <c r="S90" s="51">
        <f t="shared" si="137"/>
        <v>0</v>
      </c>
      <c r="T90" s="11">
        <f t="shared" si="138"/>
        <v>0</v>
      </c>
      <c r="U90" s="52">
        <f t="shared" si="139"/>
        <v>0</v>
      </c>
      <c r="V90" s="52">
        <f t="shared" si="140"/>
        <v>0</v>
      </c>
      <c r="W90" s="53">
        <f t="shared" si="141"/>
        <v>0</v>
      </c>
      <c r="X90" s="53">
        <f t="shared" si="142"/>
        <v>0</v>
      </c>
      <c r="Y90" s="53">
        <f t="shared" si="143"/>
        <v>0</v>
      </c>
      <c r="Z90" s="54">
        <f t="shared" si="144"/>
        <v>0</v>
      </c>
      <c r="AA90" s="55"/>
      <c r="AB90" s="53">
        <f t="shared" si="145"/>
        <v>0</v>
      </c>
      <c r="AC90" s="53">
        <f t="shared" si="146"/>
        <v>0</v>
      </c>
      <c r="AD90" s="53">
        <f t="shared" si="147"/>
        <v>0</v>
      </c>
      <c r="AE90" s="54">
        <f t="shared" si="148"/>
        <v>0</v>
      </c>
      <c r="AF90" s="56"/>
      <c r="AG90" s="53">
        <f t="shared" si="149"/>
        <v>0</v>
      </c>
      <c r="AH90" s="53">
        <f t="shared" si="150"/>
        <v>0</v>
      </c>
      <c r="AI90" s="53">
        <f t="shared" si="151"/>
        <v>0</v>
      </c>
      <c r="AJ90" s="54">
        <f t="shared" si="152"/>
        <v>0</v>
      </c>
      <c r="AK90" s="57"/>
      <c r="AL90" s="53">
        <f t="shared" si="153"/>
        <v>0</v>
      </c>
      <c r="AM90" s="53">
        <f t="shared" si="154"/>
        <v>0</v>
      </c>
      <c r="AN90" s="53">
        <f t="shared" si="155"/>
        <v>0</v>
      </c>
      <c r="AO90" s="54">
        <f t="shared" si="156"/>
        <v>0</v>
      </c>
      <c r="AP90" s="56"/>
      <c r="AQ90" s="53">
        <f t="shared" si="157"/>
        <v>0</v>
      </c>
      <c r="AR90" s="53">
        <f t="shared" si="158"/>
        <v>0</v>
      </c>
      <c r="AS90" s="53">
        <f t="shared" si="159"/>
        <v>0</v>
      </c>
      <c r="AT90" s="54">
        <f t="shared" si="160"/>
        <v>0</v>
      </c>
      <c r="AU90" s="56"/>
      <c r="AV90" s="53">
        <f t="shared" si="161"/>
        <v>0</v>
      </c>
      <c r="AW90" s="53">
        <f t="shared" si="162"/>
        <v>0</v>
      </c>
      <c r="AX90" s="53">
        <f t="shared" si="163"/>
        <v>0</v>
      </c>
      <c r="AY90" s="54">
        <f t="shared" si="164"/>
        <v>0</v>
      </c>
      <c r="AZ90" s="58">
        <f t="shared" si="170"/>
        <v>0</v>
      </c>
      <c r="BA90" s="59"/>
      <c r="BB90" s="60"/>
      <c r="BC90" s="60"/>
      <c r="BD90" s="60"/>
      <c r="BE90" s="60"/>
      <c r="BF90" s="60"/>
      <c r="BG90" s="61"/>
      <c r="BH90" s="17"/>
      <c r="BI90" s="64"/>
      <c r="BJ90" s="18"/>
      <c r="BK90" s="65"/>
      <c r="BL90" s="63"/>
      <c r="BM90" s="65"/>
      <c r="BN90" s="65"/>
      <c r="BO90" s="66"/>
      <c r="BP90" s="67"/>
      <c r="BQ90" s="21"/>
      <c r="BR90" s="48"/>
      <c r="BS90" s="48"/>
      <c r="BT90" s="68"/>
      <c r="BU90" s="1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</row>
    <row r="91" spans="1:214" ht="15.75" customHeight="1" thickBot="1" x14ac:dyDescent="0.35">
      <c r="A91" s="1">
        <v>522</v>
      </c>
      <c r="B91" s="374">
        <v>120</v>
      </c>
      <c r="C91" s="34">
        <f t="shared" si="136"/>
        <v>11</v>
      </c>
      <c r="D91" s="343" t="s">
        <v>109</v>
      </c>
      <c r="E91" s="233">
        <v>1</v>
      </c>
      <c r="F91" s="233"/>
      <c r="G91" s="233">
        <v>1</v>
      </c>
      <c r="H91" s="233"/>
      <c r="I91" s="233">
        <v>1</v>
      </c>
      <c r="J91" s="233"/>
      <c r="K91" s="233">
        <v>1</v>
      </c>
      <c r="L91" s="233"/>
      <c r="M91" s="233">
        <v>1</v>
      </c>
      <c r="N91" s="233"/>
      <c r="O91" s="233">
        <v>1</v>
      </c>
      <c r="P91" s="233"/>
      <c r="Q91" s="49">
        <v>1</v>
      </c>
      <c r="R91" s="50">
        <f t="shared" si="171"/>
        <v>1550</v>
      </c>
      <c r="S91" s="51">
        <f t="shared" ref="S91" si="176">+BH91</f>
        <v>0</v>
      </c>
      <c r="T91" s="11">
        <f t="shared" ref="T91" si="177">+BA91</f>
        <v>1949.9999999999998</v>
      </c>
      <c r="U91" s="52">
        <f t="shared" ref="U91" si="178">+BP91</f>
        <v>0</v>
      </c>
      <c r="V91" s="52" t="str">
        <f t="shared" ref="V91" si="179">+BG91</f>
        <v>BONO+B ASIS</v>
      </c>
      <c r="W91" s="53">
        <f t="shared" si="141"/>
        <v>243.97333333333333</v>
      </c>
      <c r="X91" s="53">
        <f t="shared" si="142"/>
        <v>7.18</v>
      </c>
      <c r="Y91" s="53">
        <f t="shared" si="143"/>
        <v>7.18</v>
      </c>
      <c r="Z91" s="54">
        <f t="shared" si="144"/>
        <v>258.33333333333331</v>
      </c>
      <c r="AA91" s="55"/>
      <c r="AB91" s="53">
        <f t="shared" si="145"/>
        <v>243.97333333333333</v>
      </c>
      <c r="AC91" s="53">
        <f t="shared" si="146"/>
        <v>7.18</v>
      </c>
      <c r="AD91" s="53">
        <f t="shared" si="147"/>
        <v>7.18</v>
      </c>
      <c r="AE91" s="54">
        <f t="shared" si="148"/>
        <v>258.33333333333331</v>
      </c>
      <c r="AF91" s="56"/>
      <c r="AG91" s="53">
        <f t="shared" si="149"/>
        <v>243.97333333333333</v>
      </c>
      <c r="AH91" s="53">
        <f t="shared" si="150"/>
        <v>7.18</v>
      </c>
      <c r="AI91" s="53">
        <f t="shared" si="151"/>
        <v>7.18</v>
      </c>
      <c r="AJ91" s="54">
        <f t="shared" si="152"/>
        <v>258.33333333333331</v>
      </c>
      <c r="AK91" s="57"/>
      <c r="AL91" s="53">
        <f t="shared" si="153"/>
        <v>243.97333333333333</v>
      </c>
      <c r="AM91" s="53">
        <f t="shared" si="154"/>
        <v>7.18</v>
      </c>
      <c r="AN91" s="53">
        <f t="shared" si="155"/>
        <v>7.18</v>
      </c>
      <c r="AO91" s="54">
        <f t="shared" si="156"/>
        <v>258.33333333333331</v>
      </c>
      <c r="AP91" s="56"/>
      <c r="AQ91" s="53">
        <f t="shared" si="157"/>
        <v>243.97333333333333</v>
      </c>
      <c r="AR91" s="53">
        <f t="shared" si="158"/>
        <v>7.18</v>
      </c>
      <c r="AS91" s="53">
        <f t="shared" si="159"/>
        <v>7.18</v>
      </c>
      <c r="AT91" s="54">
        <f t="shared" si="160"/>
        <v>258.33333333333331</v>
      </c>
      <c r="AU91" s="56"/>
      <c r="AV91" s="53">
        <f t="shared" si="161"/>
        <v>243.97333333333333</v>
      </c>
      <c r="AW91" s="53">
        <f t="shared" si="162"/>
        <v>7.18</v>
      </c>
      <c r="AX91" s="53">
        <f t="shared" si="163"/>
        <v>7.18</v>
      </c>
      <c r="AY91" s="54">
        <f t="shared" si="164"/>
        <v>258.33333333333331</v>
      </c>
      <c r="AZ91" s="58">
        <f t="shared" si="170"/>
        <v>1549.9999999999998</v>
      </c>
      <c r="BA91" s="59">
        <f>((AZ91-BB91-BC91-BD91-BE91-BF91)+BI91+BJ91+BK91+BL91+BM91+BN91+BO91)</f>
        <v>1949.9999999999998</v>
      </c>
      <c r="BB91" s="60"/>
      <c r="BC91" s="60"/>
      <c r="BD91" s="60"/>
      <c r="BE91" s="60"/>
      <c r="BF91" s="60"/>
      <c r="BG91" s="61" t="s">
        <v>133</v>
      </c>
      <c r="BH91" s="62"/>
      <c r="BI91" s="63">
        <v>250</v>
      </c>
      <c r="BJ91" s="63">
        <v>150</v>
      </c>
      <c r="BK91" s="64"/>
      <c r="BL91" s="63"/>
      <c r="BM91" s="65"/>
      <c r="BN91" s="65"/>
      <c r="BO91" s="66"/>
      <c r="BP91" s="67"/>
      <c r="BQ91" s="21"/>
      <c r="BR91" s="48"/>
      <c r="BS91" s="48"/>
      <c r="BT91" s="68"/>
      <c r="BU91" s="1">
        <v>522</v>
      </c>
      <c r="GG91" s="69"/>
      <c r="GH91" s="69"/>
      <c r="GI91" s="69"/>
      <c r="GJ91" s="69"/>
      <c r="GK91" s="69"/>
      <c r="GL91" s="69"/>
      <c r="GM91" s="69"/>
      <c r="GN91" s="69"/>
      <c r="GO91" s="69"/>
      <c r="GP91" s="69"/>
      <c r="GQ91" s="69"/>
      <c r="GR91" s="69"/>
      <c r="GS91" s="69"/>
      <c r="GT91" s="69"/>
      <c r="GU91" s="69"/>
      <c r="GV91" s="69"/>
      <c r="GW91" s="69"/>
      <c r="GX91" s="69"/>
      <c r="GY91" s="69"/>
      <c r="GZ91" s="69"/>
      <c r="HA91" s="69"/>
      <c r="HB91" s="69"/>
      <c r="HC91" s="69"/>
      <c r="HD91" s="69"/>
      <c r="HE91" s="69"/>
      <c r="HF91" s="69"/>
    </row>
    <row r="92" spans="1:214" ht="15.75" customHeight="1" thickBot="1" x14ac:dyDescent="0.35">
      <c r="A92" s="1"/>
      <c r="B92" s="374">
        <v>142</v>
      </c>
      <c r="C92" s="34">
        <f t="shared" si="136"/>
        <v>12</v>
      </c>
      <c r="D92" s="343" t="s">
        <v>121</v>
      </c>
      <c r="E92" s="233">
        <v>1</v>
      </c>
      <c r="F92" s="233"/>
      <c r="G92" s="233">
        <v>1</v>
      </c>
      <c r="H92" s="233"/>
      <c r="I92" s="233">
        <v>1</v>
      </c>
      <c r="J92" s="233"/>
      <c r="K92" s="233">
        <v>1</v>
      </c>
      <c r="L92" s="233"/>
      <c r="M92" s="233">
        <v>1</v>
      </c>
      <c r="N92" s="233"/>
      <c r="O92" s="233">
        <v>1</v>
      </c>
      <c r="P92" s="233"/>
      <c r="Q92" s="49">
        <v>1</v>
      </c>
      <c r="R92" s="50">
        <f t="shared" si="171"/>
        <v>1550</v>
      </c>
      <c r="S92" s="51">
        <f t="shared" si="137"/>
        <v>0</v>
      </c>
      <c r="T92" s="11">
        <f t="shared" si="138"/>
        <v>1949.9999999999998</v>
      </c>
      <c r="U92" s="52">
        <f t="shared" si="139"/>
        <v>0</v>
      </c>
      <c r="V92" s="52" t="str">
        <f t="shared" si="140"/>
        <v>BONO+B ASIS</v>
      </c>
      <c r="W92" s="53">
        <f t="shared" si="141"/>
        <v>243.97333333333333</v>
      </c>
      <c r="X92" s="53">
        <f t="shared" si="142"/>
        <v>7.18</v>
      </c>
      <c r="Y92" s="53">
        <f t="shared" si="143"/>
        <v>7.18</v>
      </c>
      <c r="Z92" s="54">
        <f t="shared" si="144"/>
        <v>258.33333333333331</v>
      </c>
      <c r="AA92" s="55"/>
      <c r="AB92" s="53">
        <f t="shared" si="145"/>
        <v>243.97333333333333</v>
      </c>
      <c r="AC92" s="53">
        <f t="shared" si="146"/>
        <v>7.18</v>
      </c>
      <c r="AD92" s="53">
        <f t="shared" si="147"/>
        <v>7.18</v>
      </c>
      <c r="AE92" s="54">
        <f t="shared" si="148"/>
        <v>258.33333333333331</v>
      </c>
      <c r="AF92" s="56"/>
      <c r="AG92" s="53">
        <f t="shared" si="149"/>
        <v>243.97333333333333</v>
      </c>
      <c r="AH92" s="53">
        <f t="shared" si="150"/>
        <v>7.18</v>
      </c>
      <c r="AI92" s="53">
        <f t="shared" si="151"/>
        <v>7.18</v>
      </c>
      <c r="AJ92" s="54">
        <f t="shared" si="152"/>
        <v>258.33333333333331</v>
      </c>
      <c r="AK92" s="57"/>
      <c r="AL92" s="53">
        <f t="shared" si="153"/>
        <v>243.97333333333333</v>
      </c>
      <c r="AM92" s="53">
        <f t="shared" si="154"/>
        <v>7.18</v>
      </c>
      <c r="AN92" s="53">
        <f t="shared" si="155"/>
        <v>7.18</v>
      </c>
      <c r="AO92" s="54">
        <f t="shared" si="156"/>
        <v>258.33333333333331</v>
      </c>
      <c r="AP92" s="56"/>
      <c r="AQ92" s="53">
        <f t="shared" si="157"/>
        <v>243.97333333333333</v>
      </c>
      <c r="AR92" s="53">
        <f t="shared" si="158"/>
        <v>7.18</v>
      </c>
      <c r="AS92" s="53">
        <f t="shared" si="159"/>
        <v>7.18</v>
      </c>
      <c r="AT92" s="54">
        <f t="shared" si="160"/>
        <v>258.33333333333331</v>
      </c>
      <c r="AU92" s="56"/>
      <c r="AV92" s="53">
        <f t="shared" si="161"/>
        <v>243.97333333333333</v>
      </c>
      <c r="AW92" s="53">
        <f t="shared" si="162"/>
        <v>7.18</v>
      </c>
      <c r="AX92" s="53">
        <f t="shared" si="163"/>
        <v>7.18</v>
      </c>
      <c r="AY92" s="54">
        <f t="shared" si="164"/>
        <v>258.33333333333331</v>
      </c>
      <c r="AZ92" s="58">
        <f t="shared" si="170"/>
        <v>1549.9999999999998</v>
      </c>
      <c r="BA92" s="59">
        <f t="shared" ref="BA92:BA100" si="180">((AZ92-BB92-BC92-BD92-BE92-BF92)+BI92+BJ92+BK92+BL92+BM92+BN92+BO92)</f>
        <v>1949.9999999999998</v>
      </c>
      <c r="BB92" s="60"/>
      <c r="BC92" s="60"/>
      <c r="BD92" s="60"/>
      <c r="BE92" s="60"/>
      <c r="BF92" s="60"/>
      <c r="BG92" s="61" t="s">
        <v>133</v>
      </c>
      <c r="BH92" s="62"/>
      <c r="BI92" s="63">
        <v>250</v>
      </c>
      <c r="BJ92" s="63">
        <v>150</v>
      </c>
      <c r="BK92" s="64"/>
      <c r="BL92" s="63"/>
      <c r="BM92" s="65"/>
      <c r="BN92" s="65"/>
      <c r="BO92" s="66"/>
      <c r="BP92" s="67"/>
      <c r="BQ92" s="21"/>
      <c r="BR92" s="48"/>
      <c r="BS92" s="48"/>
      <c r="BT92" s="68"/>
      <c r="BU92" s="1"/>
      <c r="GG92" s="69"/>
      <c r="GH92" s="69"/>
      <c r="GI92" s="69"/>
      <c r="GJ92" s="69"/>
      <c r="GK92" s="69"/>
      <c r="GL92" s="69"/>
      <c r="GM92" s="69"/>
      <c r="GN92" s="69"/>
      <c r="GO92" s="69"/>
      <c r="GP92" s="69"/>
      <c r="GQ92" s="69"/>
      <c r="GR92" s="69"/>
      <c r="GS92" s="69"/>
      <c r="GT92" s="69"/>
      <c r="GU92" s="69"/>
      <c r="GV92" s="69"/>
      <c r="GW92" s="69"/>
      <c r="GX92" s="69"/>
      <c r="GY92" s="69"/>
      <c r="GZ92" s="69"/>
      <c r="HA92" s="69"/>
      <c r="HB92" s="69"/>
      <c r="HC92" s="69"/>
      <c r="HD92" s="69"/>
      <c r="HE92" s="69"/>
      <c r="HF92" s="69"/>
    </row>
    <row r="93" spans="1:214" ht="15.75" customHeight="1" thickBot="1" x14ac:dyDescent="0.35">
      <c r="A93" s="1"/>
      <c r="B93" s="275">
        <v>138</v>
      </c>
      <c r="C93" s="34">
        <f t="shared" si="136"/>
        <v>13</v>
      </c>
      <c r="D93" s="343" t="s">
        <v>119</v>
      </c>
      <c r="E93" s="233">
        <v>1</v>
      </c>
      <c r="F93" s="233"/>
      <c r="G93" s="233">
        <v>1</v>
      </c>
      <c r="H93" s="233"/>
      <c r="I93" s="233">
        <v>1</v>
      </c>
      <c r="J93" s="233"/>
      <c r="K93" s="233">
        <v>1</v>
      </c>
      <c r="L93" s="233"/>
      <c r="M93" s="233">
        <v>1</v>
      </c>
      <c r="N93" s="233"/>
      <c r="O93" s="233">
        <v>1</v>
      </c>
      <c r="P93" s="233"/>
      <c r="Q93" s="233">
        <v>1</v>
      </c>
      <c r="R93" s="339">
        <v>2000</v>
      </c>
      <c r="S93" s="51">
        <f t="shared" si="137"/>
        <v>0</v>
      </c>
      <c r="T93" s="11">
        <f t="shared" si="138"/>
        <v>2150</v>
      </c>
      <c r="U93" s="52">
        <f t="shared" si="139"/>
        <v>0</v>
      </c>
      <c r="V93" s="52" t="str">
        <f t="shared" si="140"/>
        <v>B ASIS</v>
      </c>
      <c r="W93" s="53">
        <f t="shared" si="141"/>
        <v>318.9733333333333</v>
      </c>
      <c r="X93" s="53">
        <f t="shared" si="142"/>
        <v>7.18</v>
      </c>
      <c r="Y93" s="53">
        <f t="shared" si="143"/>
        <v>7.18</v>
      </c>
      <c r="Z93" s="54">
        <f t="shared" si="144"/>
        <v>333.33333333333331</v>
      </c>
      <c r="AA93" s="55"/>
      <c r="AB93" s="53">
        <f t="shared" si="145"/>
        <v>318.9733333333333</v>
      </c>
      <c r="AC93" s="53">
        <f t="shared" si="146"/>
        <v>7.18</v>
      </c>
      <c r="AD93" s="53">
        <f t="shared" si="147"/>
        <v>7.18</v>
      </c>
      <c r="AE93" s="54">
        <f t="shared" si="148"/>
        <v>333.33333333333331</v>
      </c>
      <c r="AF93" s="56"/>
      <c r="AG93" s="53">
        <f t="shared" si="149"/>
        <v>318.9733333333333</v>
      </c>
      <c r="AH93" s="53">
        <f t="shared" si="150"/>
        <v>7.18</v>
      </c>
      <c r="AI93" s="53">
        <f t="shared" si="151"/>
        <v>7.18</v>
      </c>
      <c r="AJ93" s="54">
        <f t="shared" si="152"/>
        <v>333.33333333333331</v>
      </c>
      <c r="AK93" s="57"/>
      <c r="AL93" s="53">
        <f t="shared" si="153"/>
        <v>318.9733333333333</v>
      </c>
      <c r="AM93" s="53">
        <f t="shared" si="154"/>
        <v>7.18</v>
      </c>
      <c r="AN93" s="53">
        <f t="shared" si="155"/>
        <v>7.18</v>
      </c>
      <c r="AO93" s="54">
        <f t="shared" si="156"/>
        <v>333.33333333333331</v>
      </c>
      <c r="AP93" s="56"/>
      <c r="AQ93" s="53">
        <f t="shared" si="157"/>
        <v>318.9733333333333</v>
      </c>
      <c r="AR93" s="53">
        <f t="shared" si="158"/>
        <v>7.18</v>
      </c>
      <c r="AS93" s="53">
        <f t="shared" si="159"/>
        <v>7.18</v>
      </c>
      <c r="AT93" s="54">
        <f t="shared" si="160"/>
        <v>333.33333333333331</v>
      </c>
      <c r="AU93" s="56"/>
      <c r="AV93" s="53">
        <f t="shared" si="161"/>
        <v>318.9733333333333</v>
      </c>
      <c r="AW93" s="53">
        <f t="shared" si="162"/>
        <v>7.18</v>
      </c>
      <c r="AX93" s="53">
        <f t="shared" si="163"/>
        <v>7.18</v>
      </c>
      <c r="AY93" s="54">
        <f t="shared" si="164"/>
        <v>333.33333333333331</v>
      </c>
      <c r="AZ93" s="58">
        <f t="shared" si="170"/>
        <v>1999.9999999999998</v>
      </c>
      <c r="BA93" s="59">
        <f t="shared" si="180"/>
        <v>2150</v>
      </c>
      <c r="BB93" s="60"/>
      <c r="BC93" s="60"/>
      <c r="BD93" s="60"/>
      <c r="BE93" s="60"/>
      <c r="BF93" s="60"/>
      <c r="BG93" s="61" t="s">
        <v>174</v>
      </c>
      <c r="BH93" s="62"/>
      <c r="BI93" s="63"/>
      <c r="BJ93" s="63">
        <v>150</v>
      </c>
      <c r="BK93" s="64"/>
      <c r="BL93" s="63"/>
      <c r="BM93" s="65"/>
      <c r="BN93" s="65"/>
      <c r="BO93" s="66"/>
      <c r="BP93" s="67"/>
      <c r="BQ93" s="21"/>
      <c r="BR93" s="48"/>
      <c r="BS93" s="48"/>
      <c r="BT93" s="68"/>
      <c r="BU93" s="1"/>
      <c r="GG93" s="69"/>
      <c r="GH93" s="69"/>
      <c r="GI93" s="69"/>
      <c r="GJ93" s="69"/>
      <c r="GK93" s="69"/>
      <c r="GL93" s="69"/>
      <c r="GM93" s="69"/>
      <c r="GN93" s="69"/>
      <c r="GO93" s="69"/>
      <c r="GP93" s="69"/>
      <c r="GQ93" s="69"/>
      <c r="GR93" s="69"/>
      <c r="GS93" s="69"/>
      <c r="GT93" s="69"/>
      <c r="GU93" s="69"/>
      <c r="GV93" s="69"/>
      <c r="GW93" s="69"/>
      <c r="GX93" s="69"/>
      <c r="GY93" s="69"/>
      <c r="GZ93" s="69"/>
      <c r="HA93" s="69"/>
      <c r="HB93" s="69"/>
      <c r="HC93" s="69"/>
      <c r="HD93" s="69"/>
      <c r="HE93" s="69"/>
      <c r="HF93" s="69"/>
    </row>
    <row r="94" spans="1:214" ht="15.75" customHeight="1" thickBot="1" x14ac:dyDescent="0.35">
      <c r="A94" s="1"/>
      <c r="B94" s="374">
        <v>135</v>
      </c>
      <c r="C94" s="34">
        <f t="shared" si="136"/>
        <v>14</v>
      </c>
      <c r="D94" s="375" t="s">
        <v>116</v>
      </c>
      <c r="E94" s="233">
        <v>1</v>
      </c>
      <c r="F94" s="233"/>
      <c r="G94" s="233">
        <v>1</v>
      </c>
      <c r="H94" s="233"/>
      <c r="I94" s="233">
        <v>1</v>
      </c>
      <c r="J94" s="233"/>
      <c r="K94" s="233">
        <v>1</v>
      </c>
      <c r="L94" s="233"/>
      <c r="M94" s="233">
        <v>1</v>
      </c>
      <c r="N94" s="233"/>
      <c r="O94" s="233">
        <v>1</v>
      </c>
      <c r="P94" s="233"/>
      <c r="Q94" s="233">
        <v>1</v>
      </c>
      <c r="R94" s="50">
        <f t="shared" si="171"/>
        <v>1550</v>
      </c>
      <c r="S94" s="51">
        <f t="shared" si="137"/>
        <v>0</v>
      </c>
      <c r="T94" s="11">
        <f t="shared" si="138"/>
        <v>1949.9999999999998</v>
      </c>
      <c r="U94" s="52">
        <f t="shared" si="139"/>
        <v>0</v>
      </c>
      <c r="V94" s="52" t="str">
        <f t="shared" si="140"/>
        <v>BONO+B ASIS</v>
      </c>
      <c r="W94" s="53">
        <f t="shared" si="141"/>
        <v>243.97333333333333</v>
      </c>
      <c r="X94" s="53">
        <f t="shared" si="142"/>
        <v>7.18</v>
      </c>
      <c r="Y94" s="53">
        <f t="shared" si="143"/>
        <v>7.18</v>
      </c>
      <c r="Z94" s="54">
        <f t="shared" si="144"/>
        <v>258.33333333333331</v>
      </c>
      <c r="AA94" s="55"/>
      <c r="AB94" s="53">
        <f t="shared" si="145"/>
        <v>243.97333333333333</v>
      </c>
      <c r="AC94" s="53">
        <f t="shared" si="146"/>
        <v>7.18</v>
      </c>
      <c r="AD94" s="53">
        <f t="shared" si="147"/>
        <v>7.18</v>
      </c>
      <c r="AE94" s="54">
        <f t="shared" si="148"/>
        <v>258.33333333333331</v>
      </c>
      <c r="AF94" s="56"/>
      <c r="AG94" s="53">
        <f t="shared" si="149"/>
        <v>243.97333333333333</v>
      </c>
      <c r="AH94" s="53">
        <f t="shared" si="150"/>
        <v>7.18</v>
      </c>
      <c r="AI94" s="53">
        <f t="shared" si="151"/>
        <v>7.18</v>
      </c>
      <c r="AJ94" s="54">
        <f t="shared" si="152"/>
        <v>258.33333333333331</v>
      </c>
      <c r="AK94" s="57"/>
      <c r="AL94" s="53">
        <f t="shared" si="153"/>
        <v>243.97333333333333</v>
      </c>
      <c r="AM94" s="53">
        <f t="shared" si="154"/>
        <v>7.18</v>
      </c>
      <c r="AN94" s="53">
        <f t="shared" si="155"/>
        <v>7.18</v>
      </c>
      <c r="AO94" s="54">
        <f t="shared" si="156"/>
        <v>258.33333333333331</v>
      </c>
      <c r="AP94" s="56"/>
      <c r="AQ94" s="53">
        <f t="shared" si="157"/>
        <v>243.97333333333333</v>
      </c>
      <c r="AR94" s="53">
        <f t="shared" si="158"/>
        <v>7.18</v>
      </c>
      <c r="AS94" s="53">
        <f t="shared" si="159"/>
        <v>7.18</v>
      </c>
      <c r="AT94" s="54">
        <f t="shared" si="160"/>
        <v>258.33333333333331</v>
      </c>
      <c r="AU94" s="56"/>
      <c r="AV94" s="53">
        <f t="shared" si="161"/>
        <v>243.97333333333333</v>
      </c>
      <c r="AW94" s="53">
        <f t="shared" si="162"/>
        <v>7.18</v>
      </c>
      <c r="AX94" s="53">
        <f t="shared" si="163"/>
        <v>7.18</v>
      </c>
      <c r="AY94" s="54">
        <f t="shared" si="164"/>
        <v>258.33333333333331</v>
      </c>
      <c r="AZ94" s="58">
        <f t="shared" si="170"/>
        <v>1549.9999999999998</v>
      </c>
      <c r="BA94" s="59">
        <f t="shared" si="180"/>
        <v>1949.9999999999998</v>
      </c>
      <c r="BB94" s="60"/>
      <c r="BC94" s="60"/>
      <c r="BD94" s="60"/>
      <c r="BE94" s="60"/>
      <c r="BF94" s="60"/>
      <c r="BG94" s="61" t="s">
        <v>133</v>
      </c>
      <c r="BH94" s="62"/>
      <c r="BI94" s="63">
        <v>250</v>
      </c>
      <c r="BJ94" s="63">
        <v>150</v>
      </c>
      <c r="BK94" s="64"/>
      <c r="BL94" s="63"/>
      <c r="BM94" s="65"/>
      <c r="BN94" s="65"/>
      <c r="BO94" s="66"/>
      <c r="BP94" s="67"/>
      <c r="BQ94" s="21"/>
      <c r="BR94" s="48"/>
      <c r="BS94" s="48"/>
      <c r="BT94" s="68"/>
      <c r="BU94" s="1"/>
      <c r="GG94" s="69"/>
      <c r="GH94" s="69"/>
      <c r="GI94" s="69"/>
      <c r="GJ94" s="69"/>
      <c r="GK94" s="69"/>
      <c r="GL94" s="69"/>
      <c r="GM94" s="69"/>
      <c r="GN94" s="69"/>
      <c r="GO94" s="69"/>
      <c r="GP94" s="69"/>
      <c r="GQ94" s="69"/>
      <c r="GR94" s="69"/>
      <c r="GS94" s="69"/>
      <c r="GT94" s="69"/>
      <c r="GU94" s="69"/>
      <c r="GV94" s="69"/>
      <c r="GW94" s="69"/>
      <c r="GX94" s="69"/>
      <c r="GY94" s="69"/>
      <c r="GZ94" s="69"/>
      <c r="HA94" s="69"/>
      <c r="HB94" s="69"/>
      <c r="HC94" s="69"/>
      <c r="HD94" s="69"/>
      <c r="HE94" s="69"/>
      <c r="HF94" s="69"/>
    </row>
    <row r="95" spans="1:214" ht="15.75" customHeight="1" thickBot="1" x14ac:dyDescent="0.35">
      <c r="A95" s="1"/>
      <c r="B95" s="374">
        <v>150</v>
      </c>
      <c r="C95" s="34">
        <f t="shared" si="136"/>
        <v>15</v>
      </c>
      <c r="D95" s="375" t="s">
        <v>131</v>
      </c>
      <c r="E95" s="233">
        <v>1</v>
      </c>
      <c r="F95" s="233"/>
      <c r="G95" s="233">
        <v>1</v>
      </c>
      <c r="H95" s="233"/>
      <c r="I95" s="233">
        <v>1</v>
      </c>
      <c r="J95" s="233"/>
      <c r="K95" s="233">
        <v>1</v>
      </c>
      <c r="L95" s="233"/>
      <c r="M95" s="233">
        <v>1</v>
      </c>
      <c r="N95" s="233"/>
      <c r="O95" s="233">
        <v>1</v>
      </c>
      <c r="P95" s="233"/>
      <c r="Q95" s="233">
        <v>1</v>
      </c>
      <c r="R95" s="50">
        <f t="shared" si="171"/>
        <v>1550</v>
      </c>
      <c r="S95" s="51">
        <f t="shared" si="137"/>
        <v>0</v>
      </c>
      <c r="T95" s="11">
        <f t="shared" si="138"/>
        <v>1949.9999999999998</v>
      </c>
      <c r="U95" s="52">
        <f t="shared" si="139"/>
        <v>0</v>
      </c>
      <c r="V95" s="52" t="str">
        <f t="shared" si="140"/>
        <v>BONO+B ASIS</v>
      </c>
      <c r="W95" s="53">
        <f t="shared" si="141"/>
        <v>243.97333333333333</v>
      </c>
      <c r="X95" s="53">
        <f t="shared" si="142"/>
        <v>7.18</v>
      </c>
      <c r="Y95" s="53">
        <f t="shared" si="143"/>
        <v>7.18</v>
      </c>
      <c r="Z95" s="54">
        <f t="shared" si="144"/>
        <v>258.33333333333331</v>
      </c>
      <c r="AA95" s="55"/>
      <c r="AB95" s="53">
        <f t="shared" si="145"/>
        <v>243.97333333333333</v>
      </c>
      <c r="AC95" s="53">
        <f t="shared" si="146"/>
        <v>7.18</v>
      </c>
      <c r="AD95" s="53">
        <f t="shared" si="147"/>
        <v>7.18</v>
      </c>
      <c r="AE95" s="54">
        <f t="shared" si="148"/>
        <v>258.33333333333331</v>
      </c>
      <c r="AF95" s="56"/>
      <c r="AG95" s="53">
        <f t="shared" si="149"/>
        <v>243.97333333333333</v>
      </c>
      <c r="AH95" s="53">
        <f t="shared" si="150"/>
        <v>7.18</v>
      </c>
      <c r="AI95" s="53">
        <f t="shared" si="151"/>
        <v>7.18</v>
      </c>
      <c r="AJ95" s="54">
        <f t="shared" si="152"/>
        <v>258.33333333333331</v>
      </c>
      <c r="AK95" s="57"/>
      <c r="AL95" s="53">
        <f t="shared" si="153"/>
        <v>243.97333333333333</v>
      </c>
      <c r="AM95" s="53">
        <f t="shared" si="154"/>
        <v>7.18</v>
      </c>
      <c r="AN95" s="53">
        <f t="shared" si="155"/>
        <v>7.18</v>
      </c>
      <c r="AO95" s="54">
        <f t="shared" si="156"/>
        <v>258.33333333333331</v>
      </c>
      <c r="AP95" s="56"/>
      <c r="AQ95" s="53">
        <f t="shared" si="157"/>
        <v>243.97333333333333</v>
      </c>
      <c r="AR95" s="53">
        <f t="shared" si="158"/>
        <v>7.18</v>
      </c>
      <c r="AS95" s="53">
        <f t="shared" si="159"/>
        <v>7.18</v>
      </c>
      <c r="AT95" s="54">
        <f t="shared" si="160"/>
        <v>258.33333333333331</v>
      </c>
      <c r="AU95" s="56"/>
      <c r="AV95" s="53">
        <f t="shared" si="161"/>
        <v>243.97333333333333</v>
      </c>
      <c r="AW95" s="53">
        <f t="shared" si="162"/>
        <v>7.18</v>
      </c>
      <c r="AX95" s="53">
        <f t="shared" si="163"/>
        <v>7.18</v>
      </c>
      <c r="AY95" s="54">
        <f t="shared" si="164"/>
        <v>258.33333333333331</v>
      </c>
      <c r="AZ95" s="58">
        <f t="shared" si="170"/>
        <v>1549.9999999999998</v>
      </c>
      <c r="BA95" s="59">
        <f t="shared" si="180"/>
        <v>1949.9999999999998</v>
      </c>
      <c r="BB95" s="60"/>
      <c r="BC95" s="60"/>
      <c r="BD95" s="60"/>
      <c r="BE95" s="60"/>
      <c r="BF95" s="60"/>
      <c r="BG95" s="61" t="s">
        <v>133</v>
      </c>
      <c r="BH95" s="62"/>
      <c r="BI95" s="63">
        <v>250</v>
      </c>
      <c r="BJ95" s="63">
        <v>150</v>
      </c>
      <c r="BK95" s="64"/>
      <c r="BL95" s="63"/>
      <c r="BM95" s="65"/>
      <c r="BN95" s="65"/>
      <c r="BO95" s="66"/>
      <c r="BP95" s="67"/>
      <c r="BQ95" s="21"/>
      <c r="BR95" s="48"/>
      <c r="BS95" s="48"/>
      <c r="BT95" s="68"/>
      <c r="BU95" s="1"/>
      <c r="GG95" s="69"/>
      <c r="GH95" s="69"/>
      <c r="GI95" s="69"/>
      <c r="GJ95" s="69"/>
      <c r="GK95" s="69"/>
      <c r="GL95" s="69"/>
      <c r="GM95" s="69"/>
      <c r="GN95" s="69"/>
      <c r="GO95" s="69"/>
      <c r="GP95" s="69"/>
      <c r="GQ95" s="69"/>
      <c r="GR95" s="69"/>
      <c r="GS95" s="69"/>
      <c r="GT95" s="69"/>
      <c r="GU95" s="69"/>
      <c r="GV95" s="69"/>
      <c r="GW95" s="69"/>
      <c r="GX95" s="69"/>
      <c r="GY95" s="69"/>
      <c r="GZ95" s="69"/>
      <c r="HA95" s="69"/>
      <c r="HB95" s="69"/>
      <c r="HC95" s="69"/>
      <c r="HD95" s="69"/>
      <c r="HE95" s="69"/>
      <c r="HF95" s="69"/>
    </row>
    <row r="96" spans="1:214" ht="15.75" customHeight="1" thickBot="1" x14ac:dyDescent="0.35">
      <c r="A96" s="1"/>
      <c r="B96" s="374">
        <v>145</v>
      </c>
      <c r="C96" s="34">
        <f t="shared" si="136"/>
        <v>16</v>
      </c>
      <c r="D96" s="343" t="s">
        <v>125</v>
      </c>
      <c r="E96" s="233">
        <v>1</v>
      </c>
      <c r="F96" s="233"/>
      <c r="G96" s="233">
        <v>1</v>
      </c>
      <c r="H96" s="233"/>
      <c r="I96" s="233">
        <v>1</v>
      </c>
      <c r="J96" s="233"/>
      <c r="K96" s="233">
        <v>1</v>
      </c>
      <c r="L96" s="233"/>
      <c r="M96" s="233">
        <v>1</v>
      </c>
      <c r="N96" s="233"/>
      <c r="O96" s="233">
        <v>1</v>
      </c>
      <c r="P96" s="233"/>
      <c r="Q96" s="233">
        <v>1</v>
      </c>
      <c r="R96" s="50">
        <f t="shared" si="171"/>
        <v>1550</v>
      </c>
      <c r="S96" s="51">
        <f t="shared" ref="S96:S98" si="181">+BH96</f>
        <v>0</v>
      </c>
      <c r="T96" s="11">
        <f t="shared" si="138"/>
        <v>1949.9999999999998</v>
      </c>
      <c r="U96" s="52">
        <f t="shared" ref="U96" si="182">+BP96</f>
        <v>0</v>
      </c>
      <c r="V96" s="52" t="str">
        <f t="shared" ref="V96" si="183">+BG96</f>
        <v>BONO+B ASIS</v>
      </c>
      <c r="W96" s="53">
        <f t="shared" si="141"/>
        <v>243.97333333333333</v>
      </c>
      <c r="X96" s="53">
        <f t="shared" si="142"/>
        <v>7.18</v>
      </c>
      <c r="Y96" s="53">
        <f t="shared" si="143"/>
        <v>7.18</v>
      </c>
      <c r="Z96" s="54">
        <f t="shared" si="144"/>
        <v>258.33333333333331</v>
      </c>
      <c r="AA96" s="55"/>
      <c r="AB96" s="53">
        <f t="shared" si="145"/>
        <v>243.97333333333333</v>
      </c>
      <c r="AC96" s="53">
        <f t="shared" si="146"/>
        <v>7.18</v>
      </c>
      <c r="AD96" s="53">
        <f t="shared" si="147"/>
        <v>7.18</v>
      </c>
      <c r="AE96" s="54">
        <f t="shared" si="148"/>
        <v>258.33333333333331</v>
      </c>
      <c r="AF96" s="56"/>
      <c r="AG96" s="53">
        <f t="shared" si="149"/>
        <v>243.97333333333333</v>
      </c>
      <c r="AH96" s="53">
        <f t="shared" si="150"/>
        <v>7.18</v>
      </c>
      <c r="AI96" s="53">
        <f t="shared" si="151"/>
        <v>7.18</v>
      </c>
      <c r="AJ96" s="54">
        <f t="shared" si="152"/>
        <v>258.33333333333331</v>
      </c>
      <c r="AK96" s="57"/>
      <c r="AL96" s="53">
        <f t="shared" si="153"/>
        <v>243.97333333333333</v>
      </c>
      <c r="AM96" s="53">
        <f t="shared" si="154"/>
        <v>7.18</v>
      </c>
      <c r="AN96" s="53">
        <f t="shared" si="155"/>
        <v>7.18</v>
      </c>
      <c r="AO96" s="54">
        <f t="shared" si="156"/>
        <v>258.33333333333331</v>
      </c>
      <c r="AP96" s="56"/>
      <c r="AQ96" s="53">
        <f t="shared" si="157"/>
        <v>243.97333333333333</v>
      </c>
      <c r="AR96" s="53">
        <f t="shared" si="158"/>
        <v>7.18</v>
      </c>
      <c r="AS96" s="53">
        <f t="shared" si="159"/>
        <v>7.18</v>
      </c>
      <c r="AT96" s="54">
        <f t="shared" si="160"/>
        <v>258.33333333333331</v>
      </c>
      <c r="AU96" s="56"/>
      <c r="AV96" s="53">
        <f t="shared" si="161"/>
        <v>243.97333333333333</v>
      </c>
      <c r="AW96" s="53">
        <f t="shared" si="162"/>
        <v>7.18</v>
      </c>
      <c r="AX96" s="53">
        <f t="shared" si="163"/>
        <v>7.18</v>
      </c>
      <c r="AY96" s="54">
        <f t="shared" si="164"/>
        <v>258.33333333333331</v>
      </c>
      <c r="AZ96" s="58">
        <f t="shared" si="170"/>
        <v>1549.9999999999998</v>
      </c>
      <c r="BA96" s="59">
        <f t="shared" si="180"/>
        <v>1949.9999999999998</v>
      </c>
      <c r="BB96" s="60"/>
      <c r="BC96" s="60"/>
      <c r="BD96" s="60"/>
      <c r="BE96" s="60"/>
      <c r="BF96" s="60"/>
      <c r="BG96" s="131" t="s">
        <v>133</v>
      </c>
      <c r="BH96" s="62"/>
      <c r="BI96" s="63">
        <v>250</v>
      </c>
      <c r="BJ96" s="63">
        <v>150</v>
      </c>
      <c r="BK96" s="64"/>
      <c r="BL96" s="63"/>
      <c r="BM96" s="65"/>
      <c r="BN96" s="65"/>
      <c r="BO96" s="66"/>
      <c r="BP96" s="67"/>
      <c r="BQ96" s="21"/>
      <c r="BR96" s="48"/>
      <c r="BS96" s="48"/>
      <c r="BT96" s="68"/>
      <c r="BU96" s="1"/>
      <c r="GG96" s="69"/>
      <c r="GH96" s="69"/>
      <c r="GI96" s="69"/>
      <c r="GJ96" s="69"/>
      <c r="GK96" s="69"/>
      <c r="GL96" s="69"/>
      <c r="GM96" s="69"/>
      <c r="GN96" s="69"/>
      <c r="GO96" s="69"/>
      <c r="GP96" s="69"/>
      <c r="GQ96" s="69"/>
      <c r="GR96" s="69"/>
      <c r="GS96" s="69"/>
      <c r="GT96" s="69"/>
      <c r="GU96" s="69"/>
      <c r="GV96" s="69"/>
      <c r="GW96" s="69"/>
      <c r="GX96" s="69"/>
      <c r="GY96" s="69"/>
      <c r="GZ96" s="69"/>
      <c r="HA96" s="69"/>
      <c r="HB96" s="69"/>
      <c r="HC96" s="69"/>
      <c r="HD96" s="69"/>
      <c r="HE96" s="69"/>
      <c r="HF96" s="69"/>
    </row>
    <row r="97" spans="1:188" s="69" customFormat="1" ht="15.75" customHeight="1" thickBot="1" x14ac:dyDescent="0.35">
      <c r="A97" s="1">
        <v>469</v>
      </c>
      <c r="B97" s="132">
        <v>45</v>
      </c>
      <c r="C97" s="34">
        <f t="shared" si="136"/>
        <v>17</v>
      </c>
      <c r="D97" s="274" t="s">
        <v>46</v>
      </c>
      <c r="E97" s="233">
        <v>1</v>
      </c>
      <c r="F97" s="233"/>
      <c r="G97" s="233">
        <v>1</v>
      </c>
      <c r="H97" s="233"/>
      <c r="I97" s="233">
        <v>1</v>
      </c>
      <c r="J97" s="233"/>
      <c r="K97" s="233">
        <v>1</v>
      </c>
      <c r="L97" s="233"/>
      <c r="M97" s="233">
        <v>1</v>
      </c>
      <c r="N97" s="233"/>
      <c r="O97" s="233">
        <v>1</v>
      </c>
      <c r="P97" s="233"/>
      <c r="Q97" s="233">
        <v>1</v>
      </c>
      <c r="R97" s="339">
        <f>IF(Q97=1,3500,600)</f>
        <v>3500</v>
      </c>
      <c r="S97" s="51">
        <f t="shared" si="181"/>
        <v>0</v>
      </c>
      <c r="T97" s="11">
        <f t="shared" si="138"/>
        <v>3500.0000000000005</v>
      </c>
      <c r="U97" s="52">
        <f t="shared" si="139"/>
        <v>0</v>
      </c>
      <c r="V97" s="52">
        <f t="shared" si="140"/>
        <v>0</v>
      </c>
      <c r="W97" s="53">
        <f t="shared" si="141"/>
        <v>568.97333333333336</v>
      </c>
      <c r="X97" s="53">
        <f t="shared" si="142"/>
        <v>7.18</v>
      </c>
      <c r="Y97" s="53">
        <f t="shared" si="143"/>
        <v>7.18</v>
      </c>
      <c r="Z97" s="54">
        <f t="shared" si="144"/>
        <v>583.33333333333337</v>
      </c>
      <c r="AA97" s="55"/>
      <c r="AB97" s="53">
        <f t="shared" si="145"/>
        <v>568.97333333333336</v>
      </c>
      <c r="AC97" s="53">
        <f t="shared" si="146"/>
        <v>7.18</v>
      </c>
      <c r="AD97" s="53">
        <f t="shared" si="147"/>
        <v>7.18</v>
      </c>
      <c r="AE97" s="54">
        <f t="shared" si="148"/>
        <v>583.33333333333337</v>
      </c>
      <c r="AF97" s="56"/>
      <c r="AG97" s="53">
        <f t="shared" si="149"/>
        <v>568.97333333333336</v>
      </c>
      <c r="AH97" s="53">
        <f t="shared" si="150"/>
        <v>7.18</v>
      </c>
      <c r="AI97" s="53">
        <f t="shared" si="151"/>
        <v>7.18</v>
      </c>
      <c r="AJ97" s="54">
        <f t="shared" si="152"/>
        <v>583.33333333333337</v>
      </c>
      <c r="AK97" s="57"/>
      <c r="AL97" s="53">
        <f t="shared" si="153"/>
        <v>568.97333333333336</v>
      </c>
      <c r="AM97" s="53">
        <f t="shared" si="154"/>
        <v>7.18</v>
      </c>
      <c r="AN97" s="53">
        <f t="shared" si="155"/>
        <v>7.18</v>
      </c>
      <c r="AO97" s="54">
        <f t="shared" si="156"/>
        <v>583.33333333333337</v>
      </c>
      <c r="AP97" s="56"/>
      <c r="AQ97" s="53">
        <f t="shared" si="157"/>
        <v>568.97333333333336</v>
      </c>
      <c r="AR97" s="53">
        <f t="shared" si="158"/>
        <v>7.18</v>
      </c>
      <c r="AS97" s="53">
        <f t="shared" si="159"/>
        <v>7.18</v>
      </c>
      <c r="AT97" s="54">
        <f t="shared" si="160"/>
        <v>583.33333333333337</v>
      </c>
      <c r="AU97" s="56"/>
      <c r="AV97" s="53">
        <f t="shared" si="161"/>
        <v>568.97333333333336</v>
      </c>
      <c r="AW97" s="53">
        <f t="shared" si="162"/>
        <v>7.18</v>
      </c>
      <c r="AX97" s="53">
        <f t="shared" si="163"/>
        <v>7.18</v>
      </c>
      <c r="AY97" s="54">
        <f t="shared" si="164"/>
        <v>583.33333333333337</v>
      </c>
      <c r="AZ97" s="58">
        <f t="shared" si="170"/>
        <v>3500.0000000000005</v>
      </c>
      <c r="BA97" s="59">
        <f t="shared" si="180"/>
        <v>3500.0000000000005</v>
      </c>
      <c r="BB97" s="60"/>
      <c r="BC97" s="60"/>
      <c r="BD97" s="60"/>
      <c r="BE97" s="60"/>
      <c r="BF97" s="60"/>
      <c r="BG97" s="131"/>
      <c r="BH97" s="62"/>
      <c r="BI97" s="63"/>
      <c r="BJ97" s="63"/>
      <c r="BK97" s="65"/>
      <c r="BL97" s="63"/>
      <c r="BM97" s="65"/>
      <c r="BN97" s="65"/>
      <c r="BO97" s="66"/>
      <c r="BP97" s="67"/>
      <c r="BQ97" s="21"/>
      <c r="BR97" s="74"/>
      <c r="BS97" s="48"/>
      <c r="BT97" s="68"/>
      <c r="BU97" s="1">
        <v>469</v>
      </c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</row>
    <row r="98" spans="1:188" s="69" customFormat="1" ht="15.75" customHeight="1" thickBot="1" x14ac:dyDescent="0.35">
      <c r="A98" s="1"/>
      <c r="B98" s="359">
        <v>179</v>
      </c>
      <c r="C98" s="34">
        <f t="shared" si="136"/>
        <v>18</v>
      </c>
      <c r="D98" s="358" t="s">
        <v>181</v>
      </c>
      <c r="E98" s="233">
        <v>1</v>
      </c>
      <c r="F98" s="233"/>
      <c r="G98" s="233">
        <v>1</v>
      </c>
      <c r="H98" s="233"/>
      <c r="I98" s="233">
        <v>1</v>
      </c>
      <c r="J98" s="233"/>
      <c r="K98" s="233">
        <v>1</v>
      </c>
      <c r="L98" s="233"/>
      <c r="M98" s="233">
        <v>1</v>
      </c>
      <c r="N98" s="233"/>
      <c r="O98" s="233">
        <v>1</v>
      </c>
      <c r="P98" s="233"/>
      <c r="Q98" s="233">
        <v>1</v>
      </c>
      <c r="R98" s="50">
        <f t="shared" si="171"/>
        <v>1550</v>
      </c>
      <c r="S98" s="51">
        <f t="shared" si="181"/>
        <v>0</v>
      </c>
      <c r="T98" s="11">
        <f t="shared" si="138"/>
        <v>1849.9999999999998</v>
      </c>
      <c r="U98" s="52">
        <f t="shared" si="139"/>
        <v>0</v>
      </c>
      <c r="V98" s="52">
        <f t="shared" si="140"/>
        <v>0</v>
      </c>
      <c r="W98" s="53">
        <f t="shared" si="141"/>
        <v>243.97333333333333</v>
      </c>
      <c r="X98" s="53">
        <f t="shared" si="142"/>
        <v>7.18</v>
      </c>
      <c r="Y98" s="53">
        <f t="shared" si="143"/>
        <v>7.18</v>
      </c>
      <c r="Z98" s="54">
        <f t="shared" si="144"/>
        <v>258.33333333333331</v>
      </c>
      <c r="AA98" s="55"/>
      <c r="AB98" s="53">
        <f t="shared" si="145"/>
        <v>243.97333333333333</v>
      </c>
      <c r="AC98" s="53">
        <f t="shared" si="146"/>
        <v>7.18</v>
      </c>
      <c r="AD98" s="53">
        <f t="shared" si="147"/>
        <v>7.18</v>
      </c>
      <c r="AE98" s="54">
        <f t="shared" si="148"/>
        <v>258.33333333333331</v>
      </c>
      <c r="AF98" s="56"/>
      <c r="AG98" s="53">
        <f t="shared" si="149"/>
        <v>243.97333333333333</v>
      </c>
      <c r="AH98" s="53">
        <f t="shared" si="150"/>
        <v>7.18</v>
      </c>
      <c r="AI98" s="53">
        <f t="shared" si="151"/>
        <v>7.18</v>
      </c>
      <c r="AJ98" s="54">
        <f t="shared" si="152"/>
        <v>258.33333333333331</v>
      </c>
      <c r="AK98" s="57"/>
      <c r="AL98" s="53">
        <f t="shared" si="153"/>
        <v>243.97333333333333</v>
      </c>
      <c r="AM98" s="53">
        <f t="shared" si="154"/>
        <v>7.18</v>
      </c>
      <c r="AN98" s="53">
        <f t="shared" si="155"/>
        <v>7.18</v>
      </c>
      <c r="AO98" s="54">
        <f t="shared" si="156"/>
        <v>258.33333333333331</v>
      </c>
      <c r="AP98" s="56"/>
      <c r="AQ98" s="53">
        <f t="shared" si="157"/>
        <v>243.97333333333333</v>
      </c>
      <c r="AR98" s="53">
        <f t="shared" si="158"/>
        <v>7.18</v>
      </c>
      <c r="AS98" s="53">
        <f t="shared" si="159"/>
        <v>7.18</v>
      </c>
      <c r="AT98" s="54">
        <f t="shared" si="160"/>
        <v>258.33333333333331</v>
      </c>
      <c r="AU98" s="56"/>
      <c r="AV98" s="53">
        <f t="shared" si="161"/>
        <v>243.97333333333333</v>
      </c>
      <c r="AW98" s="53">
        <f t="shared" si="162"/>
        <v>7.18</v>
      </c>
      <c r="AX98" s="53">
        <f t="shared" si="163"/>
        <v>7.18</v>
      </c>
      <c r="AY98" s="54">
        <f t="shared" si="164"/>
        <v>258.33333333333331</v>
      </c>
      <c r="AZ98" s="58">
        <f>+AY98+AT98+AO98++AJ98+AE98+Z98</f>
        <v>1549.9999999999998</v>
      </c>
      <c r="BA98" s="59">
        <f t="shared" si="180"/>
        <v>1849.9999999999998</v>
      </c>
      <c r="BB98" s="60"/>
      <c r="BC98" s="60"/>
      <c r="BD98" s="60"/>
      <c r="BE98" s="60"/>
      <c r="BF98" s="60"/>
      <c r="BG98" s="131"/>
      <c r="BH98" s="62"/>
      <c r="BI98" s="63">
        <v>150</v>
      </c>
      <c r="BJ98" s="63">
        <v>150</v>
      </c>
      <c r="BK98" s="65"/>
      <c r="BL98" s="63"/>
      <c r="BM98" s="65"/>
      <c r="BN98" s="65"/>
      <c r="BO98" s="66"/>
      <c r="BP98" s="67"/>
      <c r="BQ98" s="21"/>
      <c r="BR98" s="74"/>
      <c r="BS98" s="48"/>
      <c r="BT98" s="68"/>
      <c r="BU98" s="1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</row>
    <row r="99" spans="1:188" s="69" customFormat="1" ht="15.75" customHeight="1" thickBot="1" x14ac:dyDescent="0.35">
      <c r="A99" s="1"/>
      <c r="B99" s="374">
        <v>111</v>
      </c>
      <c r="C99" s="34">
        <f t="shared" si="136"/>
        <v>19</v>
      </c>
      <c r="D99" s="375" t="s">
        <v>106</v>
      </c>
      <c r="E99" s="233">
        <v>1</v>
      </c>
      <c r="F99" s="233"/>
      <c r="G99" s="233">
        <v>1</v>
      </c>
      <c r="H99" s="233"/>
      <c r="I99" s="233">
        <v>1</v>
      </c>
      <c r="J99" s="233"/>
      <c r="K99" s="233">
        <v>1</v>
      </c>
      <c r="L99" s="233"/>
      <c r="M99" s="233">
        <v>1</v>
      </c>
      <c r="N99" s="233"/>
      <c r="O99" s="233">
        <v>1</v>
      </c>
      <c r="P99" s="233"/>
      <c r="Q99" s="233">
        <v>1</v>
      </c>
      <c r="R99" s="50">
        <f t="shared" si="171"/>
        <v>1550</v>
      </c>
      <c r="S99" s="51">
        <f t="shared" si="137"/>
        <v>0</v>
      </c>
      <c r="T99" s="11">
        <f t="shared" si="138"/>
        <v>1949.9999999999998</v>
      </c>
      <c r="U99" s="52">
        <f t="shared" si="139"/>
        <v>0</v>
      </c>
      <c r="V99" s="52" t="str">
        <f t="shared" si="140"/>
        <v>BONO+B ASIS</v>
      </c>
      <c r="W99" s="53">
        <f t="shared" si="141"/>
        <v>243.97333333333333</v>
      </c>
      <c r="X99" s="53">
        <f t="shared" si="142"/>
        <v>7.18</v>
      </c>
      <c r="Y99" s="53">
        <f t="shared" si="143"/>
        <v>7.18</v>
      </c>
      <c r="Z99" s="54">
        <f t="shared" si="144"/>
        <v>258.33333333333331</v>
      </c>
      <c r="AA99" s="55"/>
      <c r="AB99" s="53">
        <f t="shared" si="145"/>
        <v>243.97333333333333</v>
      </c>
      <c r="AC99" s="53">
        <f t="shared" si="146"/>
        <v>7.18</v>
      </c>
      <c r="AD99" s="53">
        <f t="shared" si="147"/>
        <v>7.18</v>
      </c>
      <c r="AE99" s="54">
        <f t="shared" si="148"/>
        <v>258.33333333333331</v>
      </c>
      <c r="AF99" s="56"/>
      <c r="AG99" s="53">
        <f t="shared" si="149"/>
        <v>243.97333333333333</v>
      </c>
      <c r="AH99" s="53">
        <f t="shared" si="150"/>
        <v>7.18</v>
      </c>
      <c r="AI99" s="53">
        <f t="shared" si="151"/>
        <v>7.18</v>
      </c>
      <c r="AJ99" s="54">
        <f t="shared" si="152"/>
        <v>258.33333333333331</v>
      </c>
      <c r="AK99" s="57"/>
      <c r="AL99" s="53">
        <f t="shared" si="153"/>
        <v>243.97333333333333</v>
      </c>
      <c r="AM99" s="53">
        <f t="shared" si="154"/>
        <v>7.18</v>
      </c>
      <c r="AN99" s="53">
        <f t="shared" si="155"/>
        <v>7.18</v>
      </c>
      <c r="AO99" s="54">
        <f t="shared" si="156"/>
        <v>258.33333333333331</v>
      </c>
      <c r="AP99" s="56"/>
      <c r="AQ99" s="53">
        <f t="shared" si="157"/>
        <v>243.97333333333333</v>
      </c>
      <c r="AR99" s="53">
        <f t="shared" si="158"/>
        <v>7.18</v>
      </c>
      <c r="AS99" s="53">
        <f t="shared" si="159"/>
        <v>7.18</v>
      </c>
      <c r="AT99" s="54">
        <f t="shared" si="160"/>
        <v>258.33333333333331</v>
      </c>
      <c r="AU99" s="56"/>
      <c r="AV99" s="53">
        <f t="shared" si="161"/>
        <v>243.97333333333333</v>
      </c>
      <c r="AW99" s="53">
        <f t="shared" si="162"/>
        <v>7.18</v>
      </c>
      <c r="AX99" s="53">
        <f t="shared" si="163"/>
        <v>7.18</v>
      </c>
      <c r="AY99" s="54">
        <f t="shared" si="164"/>
        <v>258.33333333333331</v>
      </c>
      <c r="AZ99" s="58">
        <f t="shared" si="170"/>
        <v>1549.9999999999998</v>
      </c>
      <c r="BA99" s="59">
        <f t="shared" si="180"/>
        <v>1949.9999999999998</v>
      </c>
      <c r="BB99" s="60"/>
      <c r="BC99" s="60"/>
      <c r="BD99" s="60"/>
      <c r="BE99" s="60"/>
      <c r="BF99" s="60"/>
      <c r="BG99" s="131" t="s">
        <v>133</v>
      </c>
      <c r="BH99" s="62"/>
      <c r="BI99" s="63">
        <v>250</v>
      </c>
      <c r="BJ99" s="63">
        <v>150</v>
      </c>
      <c r="BK99" s="64"/>
      <c r="BL99" s="63"/>
      <c r="BM99" s="65"/>
      <c r="BN99" s="65"/>
      <c r="BO99" s="66"/>
      <c r="BP99" s="67"/>
      <c r="BQ99" s="21"/>
      <c r="BR99" s="48"/>
      <c r="BS99" s="48"/>
      <c r="BT99" s="68"/>
      <c r="BU99" s="1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</row>
    <row r="100" spans="1:188" s="69" customFormat="1" ht="15.75" customHeight="1" thickBot="1" x14ac:dyDescent="0.35">
      <c r="A100" s="1"/>
      <c r="B100" s="359">
        <v>173</v>
      </c>
      <c r="C100" s="34">
        <f t="shared" si="136"/>
        <v>20</v>
      </c>
      <c r="D100" s="274" t="s">
        <v>159</v>
      </c>
      <c r="E100" s="233">
        <v>1</v>
      </c>
      <c r="F100" s="377" t="s">
        <v>148</v>
      </c>
      <c r="G100" s="233">
        <v>1</v>
      </c>
      <c r="H100" s="233"/>
      <c r="I100" s="233">
        <v>1</v>
      </c>
      <c r="J100" s="233"/>
      <c r="K100" s="233">
        <v>1</v>
      </c>
      <c r="L100" s="233"/>
      <c r="M100" s="233">
        <v>1</v>
      </c>
      <c r="N100" s="233"/>
      <c r="O100" s="233">
        <v>1</v>
      </c>
      <c r="P100" s="233"/>
      <c r="Q100" s="233">
        <v>1</v>
      </c>
      <c r="R100" s="339">
        <v>2000</v>
      </c>
      <c r="S100" s="51">
        <f t="shared" ref="S100" si="184">+BH100</f>
        <v>0</v>
      </c>
      <c r="T100" s="11">
        <f t="shared" si="138"/>
        <v>2150</v>
      </c>
      <c r="U100" s="52">
        <f t="shared" ref="U100" si="185">+BP100</f>
        <v>0</v>
      </c>
      <c r="V100" s="52" t="str">
        <f t="shared" ref="V100" si="186">+BG100</f>
        <v>B ASIS</v>
      </c>
      <c r="W100" s="53">
        <f t="shared" si="141"/>
        <v>318.9733333333333</v>
      </c>
      <c r="X100" s="53">
        <f t="shared" si="142"/>
        <v>7.18</v>
      </c>
      <c r="Y100" s="53">
        <f t="shared" si="143"/>
        <v>7.18</v>
      </c>
      <c r="Z100" s="54">
        <f t="shared" si="144"/>
        <v>333.33333333333331</v>
      </c>
      <c r="AA100" s="55"/>
      <c r="AB100" s="53">
        <f t="shared" si="145"/>
        <v>318.9733333333333</v>
      </c>
      <c r="AC100" s="53">
        <f t="shared" si="146"/>
        <v>7.18</v>
      </c>
      <c r="AD100" s="53">
        <f t="shared" si="147"/>
        <v>7.18</v>
      </c>
      <c r="AE100" s="54">
        <f t="shared" si="148"/>
        <v>333.33333333333331</v>
      </c>
      <c r="AF100" s="56"/>
      <c r="AG100" s="53">
        <f t="shared" si="149"/>
        <v>318.9733333333333</v>
      </c>
      <c r="AH100" s="53">
        <f t="shared" si="150"/>
        <v>7.18</v>
      </c>
      <c r="AI100" s="53">
        <f t="shared" si="151"/>
        <v>7.18</v>
      </c>
      <c r="AJ100" s="54">
        <f t="shared" si="152"/>
        <v>333.33333333333331</v>
      </c>
      <c r="AK100" s="57"/>
      <c r="AL100" s="53">
        <f t="shared" si="153"/>
        <v>318.9733333333333</v>
      </c>
      <c r="AM100" s="53">
        <f t="shared" si="154"/>
        <v>7.18</v>
      </c>
      <c r="AN100" s="53">
        <f t="shared" si="155"/>
        <v>7.18</v>
      </c>
      <c r="AO100" s="54">
        <f t="shared" si="156"/>
        <v>333.33333333333331</v>
      </c>
      <c r="AP100" s="56"/>
      <c r="AQ100" s="53">
        <f t="shared" si="157"/>
        <v>318.9733333333333</v>
      </c>
      <c r="AR100" s="53">
        <f t="shared" si="158"/>
        <v>7.18</v>
      </c>
      <c r="AS100" s="53">
        <f t="shared" si="159"/>
        <v>7.18</v>
      </c>
      <c r="AT100" s="54">
        <f t="shared" si="160"/>
        <v>333.33333333333331</v>
      </c>
      <c r="AU100" s="56"/>
      <c r="AV100" s="53">
        <f t="shared" si="161"/>
        <v>318.9733333333333</v>
      </c>
      <c r="AW100" s="53">
        <f t="shared" si="162"/>
        <v>7.18</v>
      </c>
      <c r="AX100" s="53">
        <f t="shared" si="163"/>
        <v>7.18</v>
      </c>
      <c r="AY100" s="54">
        <f t="shared" si="164"/>
        <v>333.33333333333331</v>
      </c>
      <c r="AZ100" s="58">
        <f t="shared" si="170"/>
        <v>1999.9999999999998</v>
      </c>
      <c r="BA100" s="59">
        <f t="shared" si="180"/>
        <v>2150</v>
      </c>
      <c r="BB100" s="60"/>
      <c r="BC100" s="60"/>
      <c r="BD100" s="60"/>
      <c r="BE100" s="60"/>
      <c r="BF100" s="60"/>
      <c r="BG100" s="131" t="s">
        <v>174</v>
      </c>
      <c r="BH100" s="62"/>
      <c r="BI100" s="63"/>
      <c r="BJ100" s="63">
        <v>150</v>
      </c>
      <c r="BK100" s="64"/>
      <c r="BL100" s="63"/>
      <c r="BM100" s="65"/>
      <c r="BN100" s="65"/>
      <c r="BO100" s="66"/>
      <c r="BP100" s="67"/>
      <c r="BQ100" s="21"/>
      <c r="BR100" s="48"/>
      <c r="BS100" s="48"/>
      <c r="BT100" s="68"/>
      <c r="BU100" s="1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</row>
    <row r="101" spans="1:188" ht="15.75" customHeight="1" thickBot="1" x14ac:dyDescent="0.35">
      <c r="A101" s="1">
        <v>489</v>
      </c>
      <c r="B101" s="78"/>
      <c r="C101" s="79"/>
      <c r="D101" s="21"/>
      <c r="E101" s="80">
        <f>SUM(E81:E100)</f>
        <v>19</v>
      </c>
      <c r="F101" s="80"/>
      <c r="G101" s="80">
        <f>SUM(G81:G100)</f>
        <v>19</v>
      </c>
      <c r="H101" s="80"/>
      <c r="I101" s="80">
        <f>SUM(I81:I100)</f>
        <v>19</v>
      </c>
      <c r="J101" s="81"/>
      <c r="K101" s="80">
        <f>SUM(K81:K100)</f>
        <v>18</v>
      </c>
      <c r="L101" s="81"/>
      <c r="M101" s="80">
        <f>SUM(M81:M100)</f>
        <v>19</v>
      </c>
      <c r="N101" s="81"/>
      <c r="O101" s="80">
        <f>SUM(O81:O100)</f>
        <v>19</v>
      </c>
      <c r="P101" s="80"/>
      <c r="Q101" s="8"/>
      <c r="R101" s="82"/>
      <c r="S101" s="51"/>
      <c r="T101" s="11"/>
      <c r="U101" s="52"/>
      <c r="V101" s="52"/>
      <c r="W101" s="53"/>
      <c r="X101" s="53"/>
      <c r="Y101" s="53"/>
      <c r="Z101" s="54"/>
      <c r="AA101" s="55"/>
      <c r="AB101" s="53"/>
      <c r="AC101" s="53"/>
      <c r="AD101" s="53"/>
      <c r="AE101" s="54"/>
      <c r="AF101" s="56"/>
      <c r="AG101" s="53"/>
      <c r="AH101" s="53"/>
      <c r="AI101" s="53">
        <f t="shared" si="151"/>
        <v>0</v>
      </c>
      <c r="AJ101" s="54"/>
      <c r="AK101" s="57"/>
      <c r="AL101" s="53"/>
      <c r="AM101" s="53"/>
      <c r="AN101" s="53"/>
      <c r="AO101" s="54"/>
      <c r="AP101" s="56"/>
      <c r="AQ101" s="53"/>
      <c r="AR101" s="53"/>
      <c r="AS101" s="53"/>
      <c r="AT101" s="54">
        <f t="shared" si="160"/>
        <v>0</v>
      </c>
      <c r="AU101" s="56"/>
      <c r="AV101" s="53"/>
      <c r="AW101" s="53"/>
      <c r="AX101" s="53"/>
      <c r="AY101" s="54"/>
      <c r="AZ101" s="58"/>
      <c r="BA101" s="59"/>
      <c r="BG101" s="83"/>
      <c r="BL101" s="64"/>
      <c r="BO101" s="67"/>
      <c r="BP101" s="67"/>
      <c r="BQ101" s="21"/>
      <c r="BR101" s="84"/>
      <c r="BS101" s="84"/>
      <c r="BU101" s="1">
        <v>489</v>
      </c>
    </row>
    <row r="102" spans="1:188" ht="15.75" customHeight="1" x14ac:dyDescent="0.3">
      <c r="A102" s="1"/>
      <c r="B102" s="78"/>
      <c r="C102" s="79"/>
      <c r="D102" s="21"/>
      <c r="E102" s="80"/>
      <c r="F102" s="80"/>
      <c r="G102" s="80"/>
      <c r="H102" s="80"/>
      <c r="I102" s="80"/>
      <c r="J102" s="81"/>
      <c r="K102" s="80"/>
      <c r="L102" s="81"/>
      <c r="M102" s="80"/>
      <c r="N102" s="81"/>
      <c r="O102" s="80"/>
      <c r="P102" s="80"/>
      <c r="Q102" s="8"/>
      <c r="R102" s="82"/>
      <c r="S102" s="51"/>
      <c r="T102" s="11"/>
      <c r="U102" s="52"/>
      <c r="V102" s="52"/>
      <c r="W102" s="9"/>
      <c r="X102" s="9"/>
      <c r="Y102" s="9"/>
      <c r="Z102" s="9"/>
      <c r="AA102" s="42"/>
      <c r="AB102" s="9"/>
      <c r="AC102" s="9"/>
      <c r="AD102" s="9"/>
      <c r="AE102" s="9"/>
      <c r="AF102" s="42"/>
      <c r="AG102" s="9"/>
      <c r="AH102" s="9"/>
      <c r="AI102" s="9"/>
      <c r="AJ102" s="9"/>
      <c r="AK102" s="9"/>
      <c r="AL102" s="9"/>
      <c r="AM102" s="9"/>
      <c r="AN102" s="9"/>
      <c r="AO102" s="9"/>
      <c r="AP102" s="42"/>
      <c r="AQ102" s="9"/>
      <c r="AR102" s="9"/>
      <c r="AS102" s="9"/>
      <c r="AT102" s="9"/>
      <c r="AU102" s="42"/>
      <c r="AV102" s="9"/>
      <c r="AW102" s="9"/>
      <c r="AX102" s="9"/>
      <c r="AY102" s="9"/>
      <c r="AZ102" s="58"/>
      <c r="BA102" s="59"/>
      <c r="BG102" s="83"/>
      <c r="BL102" s="64"/>
      <c r="BO102" s="67"/>
      <c r="BP102" s="67"/>
      <c r="BQ102" s="21"/>
      <c r="BR102" s="84"/>
      <c r="BS102" s="84"/>
      <c r="BU102" s="1"/>
    </row>
    <row r="103" spans="1:188" ht="15.75" customHeight="1" thickBot="1" x14ac:dyDescent="0.35">
      <c r="A103" s="1">
        <v>490</v>
      </c>
      <c r="B103" s="88" t="s">
        <v>26</v>
      </c>
      <c r="C103" s="89" t="s">
        <v>27</v>
      </c>
      <c r="D103" s="90"/>
      <c r="E103" s="8"/>
      <c r="F103" s="91"/>
      <c r="G103" s="42" t="s">
        <v>8</v>
      </c>
      <c r="H103" s="42"/>
      <c r="I103" s="42" t="s">
        <v>9</v>
      </c>
      <c r="J103" s="42"/>
      <c r="K103" s="42" t="s">
        <v>9</v>
      </c>
      <c r="L103" s="42"/>
      <c r="M103" s="42" t="s">
        <v>10</v>
      </c>
      <c r="N103" s="42"/>
      <c r="O103" s="42" t="s">
        <v>11</v>
      </c>
      <c r="P103" s="42"/>
      <c r="Q103" s="42" t="s">
        <v>12</v>
      </c>
      <c r="R103" s="42"/>
      <c r="S103" s="9"/>
      <c r="T103" s="11"/>
      <c r="U103" s="11"/>
      <c r="V103" s="11"/>
      <c r="W103" s="12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59"/>
      <c r="BO103" s="92"/>
      <c r="BP103" s="92"/>
      <c r="BQ103" s="21"/>
      <c r="BR103" s="21"/>
      <c r="BS103" s="21"/>
      <c r="BT103" s="68"/>
      <c r="BU103" s="1">
        <v>490</v>
      </c>
    </row>
    <row r="104" spans="1:188" ht="20.25" customHeight="1" thickBot="1" x14ac:dyDescent="0.35">
      <c r="A104" s="1">
        <v>491</v>
      </c>
      <c r="B104" s="21">
        <f>E100</f>
        <v>1</v>
      </c>
      <c r="C104" s="93">
        <f>G109</f>
        <v>19</v>
      </c>
      <c r="D104" s="94">
        <f t="shared" ref="D104:D111" si="187">+B104-C104</f>
        <v>-18</v>
      </c>
      <c r="E104" s="95"/>
      <c r="F104" s="96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8" t="s">
        <v>28</v>
      </c>
      <c r="S104" s="10"/>
      <c r="T104" s="10"/>
      <c r="U104" s="94"/>
      <c r="V104" s="40"/>
      <c r="W104" s="42"/>
      <c r="X104" s="9"/>
      <c r="Y104" s="9"/>
      <c r="Z104" s="9"/>
      <c r="AA104" s="9"/>
      <c r="AB104" s="42"/>
      <c r="AC104" s="9"/>
      <c r="AD104" s="9"/>
      <c r="AE104" s="9"/>
      <c r="AF104" s="9"/>
      <c r="AG104" s="42"/>
      <c r="AH104" s="9"/>
      <c r="AI104" s="9"/>
      <c r="AJ104" s="9"/>
      <c r="AK104" s="9"/>
      <c r="AL104" s="9"/>
      <c r="AM104" s="9"/>
      <c r="AN104" s="9"/>
      <c r="AO104" s="9"/>
      <c r="AP104" s="9"/>
      <c r="AQ104" s="42"/>
      <c r="AR104" s="9"/>
      <c r="AS104" s="9"/>
      <c r="AT104" s="9"/>
      <c r="AU104" s="9"/>
      <c r="AV104" s="42"/>
      <c r="AW104" s="9"/>
      <c r="AX104" s="9"/>
      <c r="AY104" s="9"/>
      <c r="AZ104" s="99"/>
      <c r="BA104" s="59"/>
      <c r="BE104" s="100"/>
      <c r="BO104" s="101"/>
      <c r="BP104" s="92"/>
      <c r="BQ104" s="21"/>
      <c r="BR104" s="21"/>
      <c r="BS104" s="21"/>
      <c r="BT104" s="68"/>
      <c r="BU104" s="1">
        <v>491</v>
      </c>
    </row>
    <row r="105" spans="1:188" ht="20.25" customHeight="1" thickBot="1" x14ac:dyDescent="0.35">
      <c r="A105" s="1">
        <v>492</v>
      </c>
      <c r="B105" s="21">
        <f>G100</f>
        <v>1</v>
      </c>
      <c r="C105" s="93">
        <f>I109</f>
        <v>19</v>
      </c>
      <c r="D105" s="94">
        <f t="shared" si="187"/>
        <v>-18</v>
      </c>
      <c r="E105" s="102" t="s">
        <v>32</v>
      </c>
      <c r="F105" s="103"/>
      <c r="G105" s="104">
        <v>12</v>
      </c>
      <c r="H105" s="105"/>
      <c r="I105" s="104">
        <v>12</v>
      </c>
      <c r="J105" s="105"/>
      <c r="K105" s="104">
        <v>12</v>
      </c>
      <c r="L105" s="105"/>
      <c r="M105" s="104">
        <v>12</v>
      </c>
      <c r="N105" s="105"/>
      <c r="O105" s="104">
        <v>12</v>
      </c>
      <c r="P105" s="105"/>
      <c r="Q105" s="104">
        <v>12</v>
      </c>
      <c r="R105" s="111">
        <f t="shared" ref="R105:R108" si="188">AVERAGE(G105,I105,K105,M105,O105,Q105)</f>
        <v>12</v>
      </c>
      <c r="S105" s="10"/>
      <c r="T105" s="11"/>
      <c r="U105" s="94"/>
      <c r="V105" s="40"/>
      <c r="W105" s="42"/>
      <c r="X105" s="9"/>
      <c r="Y105" s="9"/>
      <c r="Z105" s="9"/>
      <c r="AA105" s="9"/>
      <c r="AB105" s="42"/>
      <c r="AC105" s="9"/>
      <c r="AD105" s="9"/>
      <c r="AE105" s="9"/>
      <c r="AF105" s="9"/>
      <c r="AG105" s="42"/>
      <c r="AH105" s="9"/>
      <c r="AI105" s="9"/>
      <c r="AJ105" s="9"/>
      <c r="AK105" s="9"/>
      <c r="AL105" s="9"/>
      <c r="AM105" s="9"/>
      <c r="AN105" s="9"/>
      <c r="AO105" s="9"/>
      <c r="AP105" s="9"/>
      <c r="AQ105" s="42"/>
      <c r="AR105" s="9"/>
      <c r="AS105" s="9"/>
      <c r="AT105" s="9"/>
      <c r="AU105" s="9"/>
      <c r="AV105" s="42"/>
      <c r="AW105" s="9"/>
      <c r="AX105" s="9"/>
      <c r="AY105" s="9"/>
      <c r="AZ105" s="99"/>
      <c r="BA105" s="59"/>
      <c r="BE105" s="100"/>
      <c r="BO105" s="101"/>
      <c r="BP105" s="92"/>
      <c r="BQ105" s="21"/>
      <c r="BR105" s="21"/>
      <c r="BS105" s="21"/>
      <c r="BT105" s="68"/>
      <c r="BU105" s="1">
        <v>492</v>
      </c>
    </row>
    <row r="106" spans="1:188" ht="20.25" customHeight="1" thickBot="1" x14ac:dyDescent="0.35">
      <c r="A106" s="1"/>
      <c r="B106" s="21"/>
      <c r="C106" s="93"/>
      <c r="D106" s="94"/>
      <c r="E106" s="102" t="s">
        <v>22</v>
      </c>
      <c r="F106" s="103"/>
      <c r="G106" s="104">
        <v>0</v>
      </c>
      <c r="H106" s="105"/>
      <c r="I106" s="104">
        <v>0</v>
      </c>
      <c r="J106" s="105"/>
      <c r="K106" s="104">
        <v>0</v>
      </c>
      <c r="L106" s="105"/>
      <c r="M106" s="104">
        <v>0</v>
      </c>
      <c r="N106" s="105"/>
      <c r="O106" s="104">
        <v>0</v>
      </c>
      <c r="P106" s="105"/>
      <c r="Q106" s="104">
        <v>0</v>
      </c>
      <c r="R106" s="111">
        <f t="shared" si="188"/>
        <v>0</v>
      </c>
      <c r="S106" s="10"/>
      <c r="T106" s="11"/>
      <c r="U106" s="94"/>
      <c r="V106" s="40"/>
      <c r="W106" s="42"/>
      <c r="X106" s="9"/>
      <c r="Y106" s="9"/>
      <c r="Z106" s="9"/>
      <c r="AA106" s="9"/>
      <c r="AB106" s="42"/>
      <c r="AC106" s="9"/>
      <c r="AD106" s="9"/>
      <c r="AE106" s="9"/>
      <c r="AF106" s="9"/>
      <c r="AG106" s="42"/>
      <c r="AH106" s="9"/>
      <c r="AI106" s="9"/>
      <c r="AJ106" s="9"/>
      <c r="AK106" s="9"/>
      <c r="AL106" s="9"/>
      <c r="AM106" s="9"/>
      <c r="AN106" s="9"/>
      <c r="AO106" s="9"/>
      <c r="AP106" s="9"/>
      <c r="AQ106" s="42"/>
      <c r="AR106" s="9"/>
      <c r="AS106" s="9"/>
      <c r="AT106" s="9"/>
      <c r="AU106" s="9"/>
      <c r="AV106" s="42"/>
      <c r="AW106" s="9"/>
      <c r="AX106" s="9"/>
      <c r="AY106" s="9"/>
      <c r="AZ106" s="99"/>
      <c r="BA106" s="59"/>
      <c r="BE106" s="100"/>
      <c r="BO106" s="101"/>
      <c r="BP106" s="92"/>
      <c r="BQ106" s="21"/>
      <c r="BR106" s="21"/>
      <c r="BS106" s="21"/>
      <c r="BT106" s="68"/>
      <c r="BU106" s="1"/>
    </row>
    <row r="107" spans="1:188" ht="20.25" customHeight="1" thickBot="1" x14ac:dyDescent="0.35">
      <c r="A107" s="1"/>
      <c r="B107" s="21"/>
      <c r="C107" s="93"/>
      <c r="D107" s="94"/>
      <c r="E107" s="102" t="s">
        <v>92</v>
      </c>
      <c r="F107" s="103"/>
      <c r="G107" s="104">
        <v>0</v>
      </c>
      <c r="H107" s="105"/>
      <c r="I107" s="104">
        <v>0</v>
      </c>
      <c r="J107" s="105"/>
      <c r="K107" s="104">
        <v>0</v>
      </c>
      <c r="L107" s="105"/>
      <c r="M107" s="104">
        <v>0</v>
      </c>
      <c r="N107" s="105"/>
      <c r="O107" s="104">
        <v>0</v>
      </c>
      <c r="P107" s="105"/>
      <c r="Q107" s="104">
        <v>0</v>
      </c>
      <c r="R107" s="111">
        <f t="shared" si="188"/>
        <v>0</v>
      </c>
      <c r="S107" s="10"/>
      <c r="T107" s="11"/>
      <c r="U107" s="94"/>
      <c r="V107" s="40"/>
      <c r="W107" s="42"/>
      <c r="X107" s="9"/>
      <c r="Y107" s="9"/>
      <c r="Z107" s="9"/>
      <c r="AA107" s="9"/>
      <c r="AB107" s="42"/>
      <c r="AC107" s="9"/>
      <c r="AD107" s="9"/>
      <c r="AE107" s="9"/>
      <c r="AF107" s="9"/>
      <c r="AG107" s="42"/>
      <c r="AH107" s="9"/>
      <c r="AI107" s="9"/>
      <c r="AJ107" s="9"/>
      <c r="AK107" s="9"/>
      <c r="AL107" s="9"/>
      <c r="AM107" s="9"/>
      <c r="AN107" s="9"/>
      <c r="AO107" s="9"/>
      <c r="AP107" s="9"/>
      <c r="AQ107" s="42"/>
      <c r="AR107" s="9"/>
      <c r="AS107" s="9"/>
      <c r="AT107" s="9"/>
      <c r="AU107" s="9"/>
      <c r="AV107" s="42"/>
      <c r="AW107" s="9"/>
      <c r="AX107" s="9"/>
      <c r="AY107" s="9"/>
      <c r="AZ107" s="99"/>
      <c r="BA107" s="59"/>
      <c r="BE107" s="100"/>
      <c r="BO107" s="101"/>
      <c r="BP107" s="92"/>
      <c r="BQ107" s="21"/>
      <c r="BR107" s="21"/>
      <c r="BS107" s="21"/>
      <c r="BT107" s="68"/>
      <c r="BU107" s="1"/>
    </row>
    <row r="108" spans="1:188" ht="20.25" customHeight="1" thickBot="1" x14ac:dyDescent="0.35">
      <c r="A108" s="1">
        <v>492</v>
      </c>
      <c r="B108" s="21">
        <f>I100</f>
        <v>1</v>
      </c>
      <c r="C108" s="93">
        <f>K109</f>
        <v>19</v>
      </c>
      <c r="D108" s="94">
        <f t="shared" si="187"/>
        <v>-18</v>
      </c>
      <c r="E108" s="102" t="s">
        <v>30</v>
      </c>
      <c r="F108" s="103"/>
      <c r="G108" s="104">
        <v>7</v>
      </c>
      <c r="H108" s="105"/>
      <c r="I108" s="104">
        <v>7</v>
      </c>
      <c r="J108" s="105"/>
      <c r="K108" s="104">
        <v>7</v>
      </c>
      <c r="L108" s="105"/>
      <c r="M108" s="104">
        <v>6</v>
      </c>
      <c r="N108" s="105"/>
      <c r="O108" s="104">
        <v>7</v>
      </c>
      <c r="P108" s="105"/>
      <c r="Q108" s="104">
        <v>7</v>
      </c>
      <c r="R108" s="111">
        <f t="shared" si="188"/>
        <v>6.833333333333333</v>
      </c>
      <c r="S108" s="10"/>
      <c r="T108" s="11"/>
      <c r="U108" s="94"/>
      <c r="V108" s="40"/>
      <c r="W108" s="42"/>
      <c r="X108" s="9"/>
      <c r="Y108" s="9"/>
      <c r="Z108" s="9"/>
      <c r="AA108" s="9"/>
      <c r="AB108" s="42"/>
      <c r="AC108" s="9"/>
      <c r="AD108" s="9"/>
      <c r="AE108" s="9"/>
      <c r="AF108" s="9"/>
      <c r="AG108" s="42"/>
      <c r="AH108" s="9"/>
      <c r="AI108" s="9"/>
      <c r="AJ108" s="9"/>
      <c r="AK108" s="9"/>
      <c r="AL108" s="9"/>
      <c r="AM108" s="9"/>
      <c r="AN108" s="9"/>
      <c r="AO108" s="9"/>
      <c r="AP108" s="9"/>
      <c r="AQ108" s="42"/>
      <c r="AR108" s="9"/>
      <c r="AS108" s="9"/>
      <c r="AT108" s="9"/>
      <c r="AU108" s="9"/>
      <c r="AV108" s="42"/>
      <c r="AW108" s="9"/>
      <c r="AX108" s="9"/>
      <c r="AY108" s="9"/>
      <c r="AZ108" s="99"/>
      <c r="BA108" s="59"/>
      <c r="BE108" s="100"/>
      <c r="BO108" s="101"/>
      <c r="BP108" s="92"/>
      <c r="BQ108" s="21"/>
      <c r="BR108" s="21"/>
      <c r="BS108" s="21"/>
      <c r="BT108" s="68"/>
      <c r="BU108" s="1">
        <v>492</v>
      </c>
    </row>
    <row r="109" spans="1:188" ht="20.25" customHeight="1" thickBot="1" x14ac:dyDescent="0.35">
      <c r="A109" s="1">
        <v>493</v>
      </c>
      <c r="B109" s="21">
        <f>K100</f>
        <v>1</v>
      </c>
      <c r="C109" s="93">
        <f>M109</f>
        <v>18</v>
      </c>
      <c r="D109" s="94">
        <f t="shared" si="187"/>
        <v>-17</v>
      </c>
      <c r="E109" s="108"/>
      <c r="F109" s="109"/>
      <c r="G109" s="110">
        <f>SUM(G105:G108)</f>
        <v>19</v>
      </c>
      <c r="H109" s="110"/>
      <c r="I109" s="110">
        <f>SUM(I105:I108)</f>
        <v>19</v>
      </c>
      <c r="J109" s="110"/>
      <c r="K109" s="110">
        <f>SUM(K105:K108)</f>
        <v>19</v>
      </c>
      <c r="L109" s="110"/>
      <c r="M109" s="110">
        <f>SUM(M105:M108)</f>
        <v>18</v>
      </c>
      <c r="N109" s="110"/>
      <c r="O109" s="110">
        <f>SUM(O105:O108)</f>
        <v>19</v>
      </c>
      <c r="P109" s="110"/>
      <c r="Q109" s="110">
        <f>SUM(Q105:Q108)</f>
        <v>19</v>
      </c>
      <c r="R109" s="111">
        <f>AVERAGE(G109,I109,K109,M109,O109,Q109)</f>
        <v>18.833333333333332</v>
      </c>
      <c r="S109" s="10"/>
      <c r="T109" s="11"/>
      <c r="U109" s="94"/>
      <c r="V109" s="40"/>
      <c r="W109" s="42"/>
      <c r="X109" s="9"/>
      <c r="Y109" s="9"/>
      <c r="Z109" s="9"/>
      <c r="AA109" s="9"/>
      <c r="AB109" s="42"/>
      <c r="AC109" s="9"/>
      <c r="AD109" s="9"/>
      <c r="AE109" s="9"/>
      <c r="AF109" s="9"/>
      <c r="AG109" s="42"/>
      <c r="AH109" s="9"/>
      <c r="AI109" s="9"/>
      <c r="AJ109" s="9"/>
      <c r="AK109" s="9"/>
      <c r="AL109" s="9"/>
      <c r="AM109" s="9"/>
      <c r="AN109" s="9"/>
      <c r="AO109" s="9"/>
      <c r="AP109" s="9"/>
      <c r="AQ109" s="42"/>
      <c r="AR109" s="9"/>
      <c r="AS109" s="9"/>
      <c r="AT109" s="9"/>
      <c r="AU109" s="9"/>
      <c r="AV109" s="42"/>
      <c r="AW109" s="9"/>
      <c r="AX109" s="9"/>
      <c r="AY109" s="9"/>
      <c r="AZ109" s="99"/>
      <c r="BA109" s="59"/>
      <c r="BE109" s="100"/>
      <c r="BO109" s="101"/>
      <c r="BP109" s="92"/>
      <c r="BQ109" s="21"/>
      <c r="BR109" s="21"/>
      <c r="BS109" s="21"/>
      <c r="BT109" s="68"/>
      <c r="BU109" s="1">
        <v>493</v>
      </c>
    </row>
    <row r="110" spans="1:188" ht="20.25" customHeight="1" x14ac:dyDescent="0.3">
      <c r="A110" s="1">
        <v>494</v>
      </c>
      <c r="B110" s="21">
        <f>M100</f>
        <v>1</v>
      </c>
      <c r="C110" s="93">
        <f>O109</f>
        <v>19</v>
      </c>
      <c r="D110" s="94">
        <f t="shared" si="187"/>
        <v>-18</v>
      </c>
      <c r="E110" s="112"/>
      <c r="F110" s="113"/>
      <c r="G110" s="112"/>
      <c r="H110" s="114"/>
      <c r="I110" s="112"/>
      <c r="J110" s="114"/>
      <c r="K110" s="112"/>
      <c r="L110" s="114"/>
      <c r="M110" s="112"/>
      <c r="N110" s="114"/>
      <c r="O110" s="112"/>
      <c r="P110" s="114"/>
      <c r="Q110" s="112"/>
      <c r="R110" s="115"/>
      <c r="S110" s="10"/>
      <c r="T110" s="128">
        <f>SUM(R105:R108)</f>
        <v>18.833333333333332</v>
      </c>
      <c r="U110" s="94"/>
      <c r="V110" s="40"/>
      <c r="W110" s="42"/>
      <c r="X110" s="9"/>
      <c r="Y110" s="9"/>
      <c r="Z110" s="9"/>
      <c r="AA110" s="9"/>
      <c r="AB110" s="42"/>
      <c r="AC110" s="9"/>
      <c r="AD110" s="9"/>
      <c r="AE110" s="9"/>
      <c r="AF110" s="9"/>
      <c r="AG110" s="42"/>
      <c r="AH110" s="9"/>
      <c r="AI110" s="9"/>
      <c r="AJ110" s="9"/>
      <c r="AK110" s="9"/>
      <c r="AL110" s="9"/>
      <c r="AM110" s="9"/>
      <c r="AN110" s="9"/>
      <c r="AO110" s="9"/>
      <c r="AP110" s="9"/>
      <c r="AQ110" s="42"/>
      <c r="AR110" s="9"/>
      <c r="AS110" s="9"/>
      <c r="AT110" s="9"/>
      <c r="AU110" s="9"/>
      <c r="AV110" s="42"/>
      <c r="AW110" s="9"/>
      <c r="AX110" s="9"/>
      <c r="AY110" s="9"/>
      <c r="AZ110" s="99"/>
      <c r="BA110" s="59"/>
      <c r="BE110" s="100"/>
      <c r="BO110" s="101"/>
      <c r="BP110" s="92"/>
      <c r="BQ110" s="21"/>
      <c r="BR110" s="21"/>
      <c r="BS110" s="21"/>
      <c r="BT110" s="68"/>
      <c r="BU110" s="1">
        <v>494</v>
      </c>
    </row>
    <row r="111" spans="1:188" ht="20.25" customHeight="1" x14ac:dyDescent="0.4">
      <c r="A111" s="1">
        <v>495</v>
      </c>
      <c r="B111" s="21">
        <f>O100</f>
        <v>1</v>
      </c>
      <c r="C111" s="93">
        <f>Q109</f>
        <v>19</v>
      </c>
      <c r="D111" s="94">
        <f t="shared" si="187"/>
        <v>-18</v>
      </c>
      <c r="E111" s="8"/>
      <c r="F111" s="85"/>
      <c r="G111" s="8"/>
      <c r="H111" s="22"/>
      <c r="I111" s="8"/>
      <c r="J111" s="22"/>
      <c r="K111" s="8"/>
      <c r="L111" s="22"/>
      <c r="M111" s="8"/>
      <c r="N111" s="22"/>
      <c r="O111" s="8"/>
      <c r="P111" s="22"/>
      <c r="Q111" s="8"/>
      <c r="R111" s="82"/>
      <c r="S111" s="51"/>
      <c r="T111" s="11"/>
      <c r="U111" s="11"/>
      <c r="V111" s="52"/>
      <c r="W111" s="9"/>
      <c r="X111" s="9"/>
      <c r="Y111" s="9"/>
      <c r="Z111" s="9"/>
      <c r="AA111" s="42"/>
      <c r="AB111" s="9"/>
      <c r="AC111" s="9"/>
      <c r="AD111" s="9"/>
      <c r="AE111" s="9"/>
      <c r="AF111" s="42"/>
      <c r="AG111" s="9"/>
      <c r="AH111" s="9"/>
      <c r="AI111" s="9"/>
      <c r="AJ111" s="9"/>
      <c r="AK111" s="9"/>
      <c r="AL111" s="9"/>
      <c r="AM111" s="9"/>
      <c r="AN111" s="9"/>
      <c r="AO111" s="9"/>
      <c r="AP111" s="42"/>
      <c r="AQ111" s="9"/>
      <c r="AR111" s="9"/>
      <c r="AS111" s="9"/>
      <c r="AT111" s="9"/>
      <c r="AU111" s="42"/>
      <c r="AV111" s="9"/>
      <c r="AW111" s="9"/>
      <c r="AX111" s="9"/>
      <c r="AY111" s="9"/>
      <c r="AZ111" s="58"/>
      <c r="BA111" s="59"/>
      <c r="BG111" s="83"/>
      <c r="BO111" s="86"/>
      <c r="BP111" s="87"/>
      <c r="BQ111" s="21"/>
      <c r="BT111" s="68"/>
      <c r="BU111" s="1">
        <v>495</v>
      </c>
    </row>
    <row r="112" spans="1:188" ht="20.25" customHeight="1" x14ac:dyDescent="0.4">
      <c r="A112" s="1">
        <v>498</v>
      </c>
      <c r="D112" s="21"/>
      <c r="E112" s="8"/>
      <c r="F112" s="85"/>
      <c r="G112" s="8"/>
      <c r="H112" s="22"/>
      <c r="I112" s="8"/>
      <c r="J112" s="22"/>
      <c r="K112" s="8"/>
      <c r="L112" s="22"/>
      <c r="M112" s="8"/>
      <c r="N112" s="22"/>
      <c r="O112" s="8"/>
      <c r="P112" s="22"/>
      <c r="Q112" s="8"/>
      <c r="R112" s="82"/>
      <c r="S112" s="51"/>
      <c r="T112" s="22"/>
      <c r="U112" s="133"/>
      <c r="V112" s="52"/>
      <c r="W112" s="9"/>
      <c r="X112" s="9"/>
      <c r="Y112" s="9"/>
      <c r="Z112" s="9"/>
      <c r="AA112" s="42"/>
      <c r="AB112" s="9"/>
      <c r="AC112" s="9"/>
      <c r="AD112" s="9"/>
      <c r="AE112" s="9"/>
      <c r="AF112" s="42"/>
      <c r="AG112" s="9"/>
      <c r="AH112" s="9"/>
      <c r="AI112" s="9"/>
      <c r="AJ112" s="9"/>
      <c r="AK112" s="9"/>
      <c r="AL112" s="9"/>
      <c r="AM112" s="9"/>
      <c r="AN112" s="9"/>
      <c r="AO112" s="9"/>
      <c r="AP112" s="42"/>
      <c r="AQ112" s="9"/>
      <c r="AR112" s="9"/>
      <c r="AS112" s="9"/>
      <c r="AT112" s="9"/>
      <c r="AU112" s="42"/>
      <c r="AV112" s="9"/>
      <c r="AW112" s="9"/>
      <c r="AX112" s="9"/>
      <c r="AY112" s="9"/>
      <c r="AZ112" s="58"/>
      <c r="BA112" s="59"/>
      <c r="BG112" s="83"/>
      <c r="BO112" s="86"/>
      <c r="BP112" s="87"/>
      <c r="BQ112" s="21"/>
      <c r="BT112" s="68"/>
      <c r="BU112" s="1">
        <v>498</v>
      </c>
    </row>
    <row r="113" spans="1:214" ht="20.25" customHeight="1" thickBot="1" x14ac:dyDescent="0.45">
      <c r="A113" s="1">
        <v>498</v>
      </c>
      <c r="D113" s="21"/>
      <c r="E113" s="8"/>
      <c r="F113" s="85"/>
      <c r="G113" s="8"/>
      <c r="H113" s="22"/>
      <c r="I113" s="8"/>
      <c r="J113" s="22"/>
      <c r="K113" s="8"/>
      <c r="L113" s="22"/>
      <c r="M113" s="8"/>
      <c r="N113" s="22"/>
      <c r="O113" s="8"/>
      <c r="P113" s="22"/>
      <c r="Q113" s="8"/>
      <c r="R113" s="82"/>
      <c r="S113" s="51"/>
      <c r="T113" s="22"/>
      <c r="U113" s="133"/>
      <c r="V113" s="52"/>
      <c r="W113" s="9"/>
      <c r="X113" s="9"/>
      <c r="Y113" s="9"/>
      <c r="Z113" s="9"/>
      <c r="AA113" s="42"/>
      <c r="AB113" s="9"/>
      <c r="AC113" s="9"/>
      <c r="AD113" s="9"/>
      <c r="AE113" s="9"/>
      <c r="AF113" s="42"/>
      <c r="AG113" s="9"/>
      <c r="AH113" s="9"/>
      <c r="AI113" s="9"/>
      <c r="AJ113" s="9"/>
      <c r="AK113" s="9"/>
      <c r="AL113" s="9"/>
      <c r="AM113" s="9"/>
      <c r="AN113" s="9"/>
      <c r="AO113" s="9"/>
      <c r="AP113" s="42"/>
      <c r="AQ113" s="9"/>
      <c r="AR113" s="9"/>
      <c r="AS113" s="9"/>
      <c r="AT113" s="9"/>
      <c r="AU113" s="42"/>
      <c r="AV113" s="9"/>
      <c r="AW113" s="9"/>
      <c r="AX113" s="9"/>
      <c r="AY113" s="9"/>
      <c r="AZ113" s="58"/>
      <c r="BA113" s="59"/>
      <c r="BG113" s="83"/>
      <c r="BO113" s="86"/>
      <c r="BP113" s="87"/>
      <c r="BQ113" s="21"/>
      <c r="BT113" s="68"/>
      <c r="BU113" s="1">
        <v>498</v>
      </c>
    </row>
    <row r="114" spans="1:214" ht="28.5" customHeight="1" thickBot="1" x14ac:dyDescent="0.45">
      <c r="A114" s="1">
        <v>499</v>
      </c>
      <c r="B114" s="817" t="s">
        <v>47</v>
      </c>
      <c r="C114" s="818"/>
      <c r="D114" s="818" t="s">
        <v>35</v>
      </c>
      <c r="E114" s="818"/>
      <c r="F114" s="818"/>
      <c r="G114" s="818"/>
      <c r="H114" s="818"/>
      <c r="I114" s="818"/>
      <c r="J114" s="818"/>
      <c r="K114" s="818"/>
      <c r="L114" s="818"/>
      <c r="M114" s="818"/>
      <c r="N114" s="818"/>
      <c r="O114" s="818"/>
      <c r="P114" s="818"/>
      <c r="Q114" s="818"/>
      <c r="R114" s="23" t="str">
        <f>$V2</f>
        <v>DEL 08 AL 14 ENERO 24</v>
      </c>
      <c r="S114" s="51"/>
      <c r="T114" s="11"/>
      <c r="U114" s="11"/>
      <c r="V114" s="52"/>
      <c r="W114" s="53"/>
      <c r="X114" s="53"/>
      <c r="Y114" s="53"/>
      <c r="Z114" s="54"/>
      <c r="AA114" s="55"/>
      <c r="AB114" s="53"/>
      <c r="AC114" s="53"/>
      <c r="AD114" s="53"/>
      <c r="AE114" s="54"/>
      <c r="AF114" s="56"/>
      <c r="AG114" s="53"/>
      <c r="AH114" s="53"/>
      <c r="AI114" s="53"/>
      <c r="AJ114" s="54"/>
      <c r="AK114" s="57"/>
      <c r="AL114" s="53"/>
      <c r="AM114" s="53"/>
      <c r="AN114" s="53"/>
      <c r="AO114" s="54"/>
      <c r="AP114" s="56"/>
      <c r="AQ114" s="53"/>
      <c r="AR114" s="53"/>
      <c r="AS114" s="53"/>
      <c r="AT114" s="54"/>
      <c r="AU114" s="56"/>
      <c r="AV114" s="53"/>
      <c r="AW114" s="53"/>
      <c r="AX114" s="53"/>
      <c r="AY114" s="54"/>
      <c r="AZ114" s="58"/>
      <c r="BA114" s="59"/>
      <c r="BG114" s="83"/>
      <c r="BO114" s="116"/>
      <c r="BP114" s="67"/>
      <c r="BQ114" s="21"/>
      <c r="BR114" s="74"/>
      <c r="BS114" s="74"/>
      <c r="BT114" s="68"/>
      <c r="BU114" s="1">
        <v>499</v>
      </c>
    </row>
    <row r="115" spans="1:214" ht="15.75" customHeight="1" thickBot="1" x14ac:dyDescent="0.35">
      <c r="A115" s="1">
        <v>500</v>
      </c>
      <c r="B115" s="117"/>
      <c r="C115" s="118"/>
      <c r="D115" s="119"/>
      <c r="E115" s="120" t="s">
        <v>8</v>
      </c>
      <c r="F115" s="121"/>
      <c r="G115" s="120" t="s">
        <v>9</v>
      </c>
      <c r="H115" s="122"/>
      <c r="I115" s="120" t="s">
        <v>9</v>
      </c>
      <c r="J115" s="122"/>
      <c r="K115" s="120" t="s">
        <v>10</v>
      </c>
      <c r="L115" s="122"/>
      <c r="M115" s="340" t="s">
        <v>11</v>
      </c>
      <c r="N115" s="273"/>
      <c r="O115" s="340" t="s">
        <v>12</v>
      </c>
      <c r="P115" s="340"/>
      <c r="Q115" s="122"/>
      <c r="R115" s="123"/>
      <c r="S115" s="51"/>
      <c r="T115" s="11"/>
      <c r="U115" s="11"/>
      <c r="V115" s="52"/>
      <c r="W115" s="53"/>
      <c r="X115" s="53"/>
      <c r="Y115" s="53"/>
      <c r="Z115" s="54"/>
      <c r="AA115" s="55"/>
      <c r="AB115" s="53"/>
      <c r="AC115" s="53"/>
      <c r="AD115" s="53"/>
      <c r="AE115" s="54"/>
      <c r="AF115" s="56"/>
      <c r="AG115" s="53"/>
      <c r="AH115" s="53"/>
      <c r="AI115" s="53"/>
      <c r="AJ115" s="54"/>
      <c r="AK115" s="57"/>
      <c r="AL115" s="53"/>
      <c r="AM115" s="53"/>
      <c r="AN115" s="53"/>
      <c r="AO115" s="54"/>
      <c r="AP115" s="56"/>
      <c r="AQ115" s="53"/>
      <c r="AR115" s="53"/>
      <c r="AS115" s="53"/>
      <c r="AT115" s="54"/>
      <c r="AU115" s="56"/>
      <c r="AV115" s="53"/>
      <c r="AW115" s="53"/>
      <c r="AX115" s="53"/>
      <c r="AY115" s="54"/>
      <c r="AZ115" s="58"/>
      <c r="BA115" s="59"/>
      <c r="BB115" s="124"/>
      <c r="BC115" s="124"/>
      <c r="BD115" s="124"/>
      <c r="BE115" s="124"/>
      <c r="BF115" s="124"/>
      <c r="BG115" s="124"/>
      <c r="BH115" s="124"/>
      <c r="BJ115" s="19"/>
      <c r="BK115" s="19"/>
      <c r="BL115" s="19"/>
      <c r="BM115" s="19"/>
      <c r="BN115" s="124"/>
      <c r="BO115" s="125"/>
      <c r="BP115" s="126"/>
      <c r="BQ115" s="21"/>
      <c r="BR115" s="68"/>
      <c r="BS115" s="68"/>
      <c r="BT115" s="68"/>
      <c r="BU115" s="1">
        <v>500</v>
      </c>
    </row>
    <row r="116" spans="1:214" ht="15.75" customHeight="1" thickBot="1" x14ac:dyDescent="0.35">
      <c r="A116" s="1">
        <v>420</v>
      </c>
      <c r="B116" s="275">
        <v>3</v>
      </c>
      <c r="C116" s="34">
        <f t="shared" ref="C116:C123" si="189">C115+1</f>
        <v>1</v>
      </c>
      <c r="D116" s="274" t="s">
        <v>48</v>
      </c>
      <c r="E116" s="233">
        <v>1</v>
      </c>
      <c r="F116" s="233"/>
      <c r="G116" s="233">
        <v>1</v>
      </c>
      <c r="H116" s="233"/>
      <c r="I116" s="233">
        <v>1</v>
      </c>
      <c r="J116" s="233"/>
      <c r="K116" s="233">
        <v>1</v>
      </c>
      <c r="L116" s="233"/>
      <c r="M116" s="233">
        <v>1</v>
      </c>
      <c r="N116" s="233"/>
      <c r="O116" s="233">
        <v>1</v>
      </c>
      <c r="P116" s="233"/>
      <c r="Q116" s="233">
        <v>1</v>
      </c>
      <c r="R116" s="339">
        <v>2000</v>
      </c>
      <c r="S116" s="51">
        <f t="shared" ref="S116:S123" si="190">+BH116</f>
        <v>0</v>
      </c>
      <c r="T116" s="11">
        <f>+BA116</f>
        <v>2150</v>
      </c>
      <c r="U116" s="52">
        <f t="shared" ref="U116:U123" si="191">+BP116</f>
        <v>0</v>
      </c>
      <c r="V116" s="52" t="str">
        <f t="shared" ref="V116:V123" si="192">+BG116</f>
        <v>B ASIS</v>
      </c>
      <c r="W116" s="53">
        <f t="shared" ref="W116:W123" si="193">(R116-86.16)/6*E116</f>
        <v>318.9733333333333</v>
      </c>
      <c r="X116" s="53">
        <f>$Y$2*E116*Q116</f>
        <v>7.18</v>
      </c>
      <c r="Y116" s="53">
        <f>$Y$2*E116*Q116</f>
        <v>7.18</v>
      </c>
      <c r="Z116" s="54">
        <f>Y116+X116+W116</f>
        <v>333.33333333333331</v>
      </c>
      <c r="AA116" s="55"/>
      <c r="AB116" s="53">
        <f t="shared" ref="AB116:AB123" si="194">(R116-86.16)/6*G116</f>
        <v>318.9733333333333</v>
      </c>
      <c r="AC116" s="53">
        <f>$Y$2*G116*Q116</f>
        <v>7.18</v>
      </c>
      <c r="AD116" s="53">
        <f>$Y$2*G116*Q116</f>
        <v>7.18</v>
      </c>
      <c r="AE116" s="54">
        <f>AD116+AC116+AB116</f>
        <v>333.33333333333331</v>
      </c>
      <c r="AF116" s="56"/>
      <c r="AG116" s="53">
        <f t="shared" ref="AG116:AG123" si="195">(R116-86.16)/6*I116</f>
        <v>318.9733333333333</v>
      </c>
      <c r="AH116" s="53">
        <f>$Y$2*I116*Q116</f>
        <v>7.18</v>
      </c>
      <c r="AI116" s="53">
        <f>$Y$2*I116*Q116</f>
        <v>7.18</v>
      </c>
      <c r="AJ116" s="54">
        <f>AI116+AH116+AG116</f>
        <v>333.33333333333331</v>
      </c>
      <c r="AK116" s="57"/>
      <c r="AL116" s="53">
        <f t="shared" ref="AL116:AL123" si="196">(R116-86.16)/6*K116</f>
        <v>318.9733333333333</v>
      </c>
      <c r="AM116" s="53">
        <f>$Y$2*K116*Q116</f>
        <v>7.18</v>
      </c>
      <c r="AN116" s="53">
        <f>$Y$2*K116*Q116</f>
        <v>7.18</v>
      </c>
      <c r="AO116" s="54">
        <f>AN116+AM116+AL116</f>
        <v>333.33333333333331</v>
      </c>
      <c r="AP116" s="56"/>
      <c r="AQ116" s="53">
        <f t="shared" ref="AQ116:AQ123" si="197">(R116-86.16)/6*M116</f>
        <v>318.9733333333333</v>
      </c>
      <c r="AR116" s="53">
        <f>$Y$2*M116*Q116</f>
        <v>7.18</v>
      </c>
      <c r="AS116" s="53">
        <f>$Y$2*M116*Q116</f>
        <v>7.18</v>
      </c>
      <c r="AT116" s="54">
        <f>AS116+AR116+AQ116</f>
        <v>333.33333333333331</v>
      </c>
      <c r="AU116" s="56"/>
      <c r="AV116" s="53">
        <f t="shared" ref="AV116:AV123" si="198">(R116-86.16)/6*O116</f>
        <v>318.9733333333333</v>
      </c>
      <c r="AW116" s="53">
        <f>$Y$2*O116*Q116</f>
        <v>7.18</v>
      </c>
      <c r="AX116" s="53">
        <f>$Y$2*O116*Q116</f>
        <v>7.18</v>
      </c>
      <c r="AY116" s="54">
        <f>AX116+AW116+AV116</f>
        <v>333.33333333333331</v>
      </c>
      <c r="AZ116" s="58">
        <f>+AY116+AT116+AO116++AJ116+AE116+Z116</f>
        <v>1999.9999999999998</v>
      </c>
      <c r="BA116" s="59">
        <f t="shared" ref="BA116:BA123" si="199">((AZ116-BB116-BC116-BD116-BE116-BF116)+BI116+BJ116+BK116+BL116+BM116+BN116+BO116)</f>
        <v>2150</v>
      </c>
      <c r="BB116" s="60"/>
      <c r="BC116" s="60"/>
      <c r="BD116" s="60"/>
      <c r="BE116" s="60"/>
      <c r="BF116" s="60"/>
      <c r="BG116" s="131" t="s">
        <v>174</v>
      </c>
      <c r="BH116" s="62"/>
      <c r="BI116" s="63"/>
      <c r="BJ116" s="63">
        <v>150</v>
      </c>
      <c r="BK116" s="64"/>
      <c r="BL116" s="63"/>
      <c r="BM116" s="65"/>
      <c r="BN116" s="65"/>
      <c r="BO116" s="66"/>
      <c r="BP116" s="67"/>
      <c r="BQ116" s="21"/>
      <c r="BR116" s="48"/>
      <c r="BS116" s="48"/>
      <c r="BT116" s="68"/>
      <c r="BU116" s="1">
        <v>420</v>
      </c>
      <c r="GG116" s="69"/>
      <c r="GH116" s="69"/>
      <c r="GI116" s="69"/>
      <c r="GJ116" s="69"/>
      <c r="GK116" s="69"/>
      <c r="GL116" s="69"/>
      <c r="GM116" s="69"/>
      <c r="GN116" s="69"/>
      <c r="GO116" s="69"/>
      <c r="GP116" s="69"/>
      <c r="GQ116" s="69"/>
      <c r="GR116" s="69"/>
      <c r="GS116" s="69"/>
      <c r="GT116" s="69"/>
      <c r="GU116" s="69"/>
      <c r="GV116" s="69"/>
      <c r="GW116" s="69"/>
      <c r="GX116" s="69"/>
      <c r="GY116" s="69"/>
      <c r="GZ116" s="69"/>
      <c r="HA116" s="69"/>
      <c r="HB116" s="69"/>
      <c r="HC116" s="69"/>
      <c r="HD116" s="69"/>
      <c r="HE116" s="69"/>
      <c r="HF116" s="69"/>
    </row>
    <row r="117" spans="1:214" ht="15.75" customHeight="1" thickBot="1" x14ac:dyDescent="0.35">
      <c r="A117" s="1"/>
      <c r="B117" s="275">
        <v>158</v>
      </c>
      <c r="C117" s="34">
        <f t="shared" si="189"/>
        <v>2</v>
      </c>
      <c r="D117" s="274" t="s">
        <v>138</v>
      </c>
      <c r="E117" s="233">
        <v>1</v>
      </c>
      <c r="F117" s="233"/>
      <c r="G117" s="233">
        <v>1</v>
      </c>
      <c r="H117" s="233"/>
      <c r="I117" s="233">
        <v>1</v>
      </c>
      <c r="J117" s="233"/>
      <c r="K117" s="233">
        <v>1</v>
      </c>
      <c r="L117" s="233"/>
      <c r="M117" s="233">
        <v>1</v>
      </c>
      <c r="N117" s="233"/>
      <c r="O117" s="233">
        <v>1</v>
      </c>
      <c r="P117" s="233"/>
      <c r="Q117" s="233">
        <v>1</v>
      </c>
      <c r="R117" s="339">
        <v>6000</v>
      </c>
      <c r="S117" s="51">
        <f t="shared" si="190"/>
        <v>0</v>
      </c>
      <c r="T117" s="11">
        <f t="shared" ref="T117:T123" si="200">+BA117</f>
        <v>6000</v>
      </c>
      <c r="U117" s="52">
        <f t="shared" si="191"/>
        <v>0</v>
      </c>
      <c r="V117" s="52">
        <f t="shared" si="192"/>
        <v>0</v>
      </c>
      <c r="W117" s="53">
        <f t="shared" si="193"/>
        <v>985.64</v>
      </c>
      <c r="X117" s="53">
        <f t="shared" ref="X117:X123" si="201">$Y$2*E117*Q117</f>
        <v>7.18</v>
      </c>
      <c r="Y117" s="53">
        <f t="shared" ref="Y117:Y123" si="202">$Y$2*E117*Q117</f>
        <v>7.18</v>
      </c>
      <c r="Z117" s="54">
        <f t="shared" ref="Z117:Z123" si="203">Y117+X117+W117</f>
        <v>1000</v>
      </c>
      <c r="AA117" s="55"/>
      <c r="AB117" s="53">
        <f t="shared" si="194"/>
        <v>985.64</v>
      </c>
      <c r="AC117" s="53">
        <f t="shared" ref="AC117:AC123" si="204">$Y$2*G117*Q117</f>
        <v>7.18</v>
      </c>
      <c r="AD117" s="53">
        <f t="shared" ref="AD117:AD123" si="205">$Y$2*G117*Q117</f>
        <v>7.18</v>
      </c>
      <c r="AE117" s="54">
        <f t="shared" ref="AE117:AE123" si="206">AD117+AC117+AB117</f>
        <v>1000</v>
      </c>
      <c r="AF117" s="56"/>
      <c r="AG117" s="53">
        <f t="shared" si="195"/>
        <v>985.64</v>
      </c>
      <c r="AH117" s="53">
        <f t="shared" ref="AH117:AH123" si="207">$Y$2*I117*Q117</f>
        <v>7.18</v>
      </c>
      <c r="AI117" s="53">
        <f t="shared" ref="AI117:AI123" si="208">$Y$2*I117*Q117</f>
        <v>7.18</v>
      </c>
      <c r="AJ117" s="54">
        <f t="shared" ref="AJ117:AJ123" si="209">AI117+AH117+AG117</f>
        <v>1000</v>
      </c>
      <c r="AK117" s="57"/>
      <c r="AL117" s="53">
        <f t="shared" si="196"/>
        <v>985.64</v>
      </c>
      <c r="AM117" s="53">
        <f t="shared" ref="AM117:AM123" si="210">$Y$2*K117*Q117</f>
        <v>7.18</v>
      </c>
      <c r="AN117" s="53">
        <f t="shared" ref="AN117:AN123" si="211">$Y$2*K117*Q117</f>
        <v>7.18</v>
      </c>
      <c r="AO117" s="54">
        <f t="shared" ref="AO117:AO123" si="212">AN117+AM117+AL117</f>
        <v>1000</v>
      </c>
      <c r="AP117" s="56"/>
      <c r="AQ117" s="53">
        <f t="shared" si="197"/>
        <v>985.64</v>
      </c>
      <c r="AR117" s="53">
        <f t="shared" ref="AR117:AR123" si="213">$Y$2*M117*Q117</f>
        <v>7.18</v>
      </c>
      <c r="AS117" s="53">
        <f t="shared" ref="AS117:AS123" si="214">$Y$2*M117*Q117</f>
        <v>7.18</v>
      </c>
      <c r="AT117" s="54">
        <f t="shared" ref="AT117:AT123" si="215">AS117+AR117+AQ117</f>
        <v>1000</v>
      </c>
      <c r="AU117" s="56"/>
      <c r="AV117" s="53">
        <f t="shared" si="198"/>
        <v>985.64</v>
      </c>
      <c r="AW117" s="53">
        <f t="shared" ref="AW117:AW123" si="216">$Y$2*O117*Q117</f>
        <v>7.18</v>
      </c>
      <c r="AX117" s="53">
        <f t="shared" ref="AX117:AX123" si="217">$Y$2*O117*Q117</f>
        <v>7.18</v>
      </c>
      <c r="AY117" s="54">
        <f t="shared" ref="AY117:AY123" si="218">AX117+AW117+AV117</f>
        <v>1000</v>
      </c>
      <c r="AZ117" s="58">
        <f t="shared" ref="AZ117:AZ123" si="219">+AY117+AT117+AO117++AJ117+AE117+Z117</f>
        <v>6000</v>
      </c>
      <c r="BA117" s="59">
        <f t="shared" si="199"/>
        <v>6000</v>
      </c>
      <c r="BB117" s="60"/>
      <c r="BC117" s="60"/>
      <c r="BD117" s="60"/>
      <c r="BE117" s="60"/>
      <c r="BF117" s="60"/>
      <c r="BG117" s="131"/>
      <c r="BH117" s="62"/>
      <c r="BI117" s="63"/>
      <c r="BJ117" s="63"/>
      <c r="BK117" s="64"/>
      <c r="BL117" s="63"/>
      <c r="BM117" s="65"/>
      <c r="BN117" s="65"/>
      <c r="BO117" s="66"/>
      <c r="BP117" s="67"/>
      <c r="BQ117" s="21"/>
      <c r="BR117" s="48"/>
      <c r="BS117" s="48"/>
      <c r="BT117" s="68"/>
      <c r="BU117" s="1"/>
      <c r="GG117" s="69"/>
      <c r="GH117" s="69"/>
      <c r="GI117" s="69"/>
      <c r="GJ117" s="69"/>
      <c r="GK117" s="69"/>
      <c r="GL117" s="69"/>
      <c r="GM117" s="69"/>
      <c r="GN117" s="69"/>
      <c r="GO117" s="69"/>
      <c r="GP117" s="69"/>
      <c r="GQ117" s="69"/>
      <c r="GR117" s="69"/>
      <c r="GS117" s="69"/>
      <c r="GT117" s="69"/>
      <c r="GU117" s="69"/>
      <c r="GV117" s="69"/>
      <c r="GW117" s="69"/>
      <c r="GX117" s="69"/>
      <c r="GY117" s="69"/>
      <c r="GZ117" s="69"/>
      <c r="HA117" s="69"/>
      <c r="HB117" s="69"/>
      <c r="HC117" s="69"/>
      <c r="HD117" s="69"/>
      <c r="HE117" s="69"/>
      <c r="HF117" s="69"/>
    </row>
    <row r="118" spans="1:214" ht="15.75" customHeight="1" thickBot="1" x14ac:dyDescent="0.35">
      <c r="A118" s="1"/>
      <c r="B118" s="374">
        <v>166</v>
      </c>
      <c r="C118" s="34">
        <f t="shared" si="189"/>
        <v>3</v>
      </c>
      <c r="D118" s="375" t="s">
        <v>151</v>
      </c>
      <c r="E118" s="233">
        <v>1</v>
      </c>
      <c r="F118" s="233"/>
      <c r="G118" s="233">
        <v>1</v>
      </c>
      <c r="H118" s="233"/>
      <c r="I118" s="233">
        <v>1</v>
      </c>
      <c r="J118" s="233"/>
      <c r="K118" s="233">
        <v>1</v>
      </c>
      <c r="L118" s="233"/>
      <c r="M118" s="233">
        <v>1</v>
      </c>
      <c r="N118" s="233"/>
      <c r="O118" s="233">
        <v>1</v>
      </c>
      <c r="P118" s="233"/>
      <c r="Q118" s="233">
        <v>1</v>
      </c>
      <c r="R118" s="50">
        <f t="shared" ref="R118:R123" si="220">IF(Q118=1,1550,850)</f>
        <v>1550</v>
      </c>
      <c r="S118" s="51">
        <f t="shared" ref="S118" si="221">+BH118</f>
        <v>0</v>
      </c>
      <c r="T118" s="11">
        <f t="shared" si="200"/>
        <v>1799.9999999999998</v>
      </c>
      <c r="U118" s="52">
        <f t="shared" ref="U118" si="222">+BP118</f>
        <v>0</v>
      </c>
      <c r="V118" s="52" t="str">
        <f t="shared" ref="V118" si="223">+BG118</f>
        <v>B ASIS</v>
      </c>
      <c r="W118" s="53">
        <f t="shared" si="193"/>
        <v>243.97333333333333</v>
      </c>
      <c r="X118" s="53">
        <f t="shared" si="201"/>
        <v>7.18</v>
      </c>
      <c r="Y118" s="53">
        <f t="shared" si="202"/>
        <v>7.18</v>
      </c>
      <c r="Z118" s="54">
        <f t="shared" si="203"/>
        <v>258.33333333333331</v>
      </c>
      <c r="AA118" s="55"/>
      <c r="AB118" s="53">
        <f t="shared" si="194"/>
        <v>243.97333333333333</v>
      </c>
      <c r="AC118" s="53">
        <f t="shared" si="204"/>
        <v>7.18</v>
      </c>
      <c r="AD118" s="53">
        <f t="shared" si="205"/>
        <v>7.18</v>
      </c>
      <c r="AE118" s="54">
        <f t="shared" si="206"/>
        <v>258.33333333333331</v>
      </c>
      <c r="AF118" s="56"/>
      <c r="AG118" s="53">
        <f t="shared" si="195"/>
        <v>243.97333333333333</v>
      </c>
      <c r="AH118" s="53">
        <f t="shared" si="207"/>
        <v>7.18</v>
      </c>
      <c r="AI118" s="53">
        <f t="shared" si="208"/>
        <v>7.18</v>
      </c>
      <c r="AJ118" s="54">
        <f t="shared" si="209"/>
        <v>258.33333333333331</v>
      </c>
      <c r="AK118" s="57"/>
      <c r="AL118" s="53">
        <f t="shared" si="196"/>
        <v>243.97333333333333</v>
      </c>
      <c r="AM118" s="53">
        <f t="shared" si="210"/>
        <v>7.18</v>
      </c>
      <c r="AN118" s="53">
        <f t="shared" si="211"/>
        <v>7.18</v>
      </c>
      <c r="AO118" s="54">
        <f t="shared" si="212"/>
        <v>258.33333333333331</v>
      </c>
      <c r="AP118" s="56"/>
      <c r="AQ118" s="53">
        <f t="shared" si="197"/>
        <v>243.97333333333333</v>
      </c>
      <c r="AR118" s="53">
        <f t="shared" si="213"/>
        <v>7.18</v>
      </c>
      <c r="AS118" s="53">
        <f t="shared" si="214"/>
        <v>7.18</v>
      </c>
      <c r="AT118" s="54">
        <f t="shared" si="215"/>
        <v>258.33333333333331</v>
      </c>
      <c r="AU118" s="56"/>
      <c r="AV118" s="53">
        <f t="shared" si="198"/>
        <v>243.97333333333333</v>
      </c>
      <c r="AW118" s="53">
        <f t="shared" si="216"/>
        <v>7.18</v>
      </c>
      <c r="AX118" s="53">
        <f t="shared" si="217"/>
        <v>7.18</v>
      </c>
      <c r="AY118" s="54">
        <f t="shared" si="218"/>
        <v>258.33333333333331</v>
      </c>
      <c r="AZ118" s="58">
        <f t="shared" si="219"/>
        <v>1549.9999999999998</v>
      </c>
      <c r="BA118" s="59">
        <f t="shared" si="199"/>
        <v>1799.9999999999998</v>
      </c>
      <c r="BB118" s="60"/>
      <c r="BC118" s="60"/>
      <c r="BD118" s="60"/>
      <c r="BE118" s="60"/>
      <c r="BF118" s="60"/>
      <c r="BG118" s="131" t="s">
        <v>174</v>
      </c>
      <c r="BH118" s="62"/>
      <c r="BI118" s="63">
        <v>100</v>
      </c>
      <c r="BJ118" s="63">
        <v>150</v>
      </c>
      <c r="BK118" s="64"/>
      <c r="BL118" s="63"/>
      <c r="BM118" s="65"/>
      <c r="BN118" s="65"/>
      <c r="BO118" s="66"/>
      <c r="BP118" s="67"/>
      <c r="BQ118" s="21"/>
      <c r="BR118" s="48"/>
      <c r="BS118" s="48"/>
      <c r="BT118" s="68"/>
      <c r="BU118" s="1"/>
      <c r="GG118" s="69"/>
      <c r="GH118" s="69"/>
      <c r="GI118" s="69"/>
      <c r="GJ118" s="69"/>
      <c r="GK118" s="69"/>
      <c r="GL118" s="69"/>
      <c r="GM118" s="69"/>
      <c r="GN118" s="69"/>
      <c r="GO118" s="69"/>
      <c r="GP118" s="69"/>
      <c r="GQ118" s="69"/>
      <c r="GR118" s="69"/>
      <c r="GS118" s="69"/>
      <c r="GT118" s="69"/>
      <c r="GU118" s="69"/>
      <c r="GV118" s="69"/>
      <c r="GW118" s="69"/>
      <c r="GX118" s="69"/>
      <c r="GY118" s="69"/>
      <c r="GZ118" s="69"/>
      <c r="HA118" s="69"/>
      <c r="HB118" s="69"/>
      <c r="HC118" s="69"/>
      <c r="HD118" s="69"/>
      <c r="HE118" s="69"/>
      <c r="HF118" s="69"/>
    </row>
    <row r="119" spans="1:214" s="69" customFormat="1" ht="15.75" customHeight="1" thickBot="1" x14ac:dyDescent="0.35">
      <c r="A119" s="1">
        <v>426</v>
      </c>
      <c r="B119" s="374">
        <v>19</v>
      </c>
      <c r="C119" s="34">
        <f t="shared" si="189"/>
        <v>4</v>
      </c>
      <c r="D119" s="375" t="s">
        <v>49</v>
      </c>
      <c r="E119" s="233">
        <v>1</v>
      </c>
      <c r="F119" s="233"/>
      <c r="G119" s="233">
        <v>1</v>
      </c>
      <c r="H119" s="233"/>
      <c r="I119" s="233">
        <v>1</v>
      </c>
      <c r="J119" s="233"/>
      <c r="K119" s="233">
        <v>1</v>
      </c>
      <c r="L119" s="233"/>
      <c r="M119" s="233">
        <v>1</v>
      </c>
      <c r="N119" s="233"/>
      <c r="O119" s="233">
        <v>1</v>
      </c>
      <c r="P119" s="233"/>
      <c r="Q119" s="233">
        <v>1</v>
      </c>
      <c r="R119" s="50">
        <f t="shared" si="220"/>
        <v>1550</v>
      </c>
      <c r="S119" s="51">
        <f t="shared" si="190"/>
        <v>0</v>
      </c>
      <c r="T119" s="11">
        <f t="shared" si="200"/>
        <v>1999.9999999999998</v>
      </c>
      <c r="U119" s="52">
        <f t="shared" si="191"/>
        <v>0</v>
      </c>
      <c r="V119" s="52" t="str">
        <f t="shared" si="192"/>
        <v>BONO+B ASIS</v>
      </c>
      <c r="W119" s="53">
        <f t="shared" si="193"/>
        <v>243.97333333333333</v>
      </c>
      <c r="X119" s="53">
        <f t="shared" si="201"/>
        <v>7.18</v>
      </c>
      <c r="Y119" s="53">
        <f t="shared" si="202"/>
        <v>7.18</v>
      </c>
      <c r="Z119" s="54">
        <f t="shared" si="203"/>
        <v>258.33333333333331</v>
      </c>
      <c r="AA119" s="55"/>
      <c r="AB119" s="53">
        <f t="shared" si="194"/>
        <v>243.97333333333333</v>
      </c>
      <c r="AC119" s="53">
        <f t="shared" si="204"/>
        <v>7.18</v>
      </c>
      <c r="AD119" s="53">
        <f t="shared" si="205"/>
        <v>7.18</v>
      </c>
      <c r="AE119" s="54">
        <f t="shared" si="206"/>
        <v>258.33333333333331</v>
      </c>
      <c r="AF119" s="56"/>
      <c r="AG119" s="53">
        <f t="shared" si="195"/>
        <v>243.97333333333333</v>
      </c>
      <c r="AH119" s="53">
        <f t="shared" si="207"/>
        <v>7.18</v>
      </c>
      <c r="AI119" s="53">
        <f t="shared" si="208"/>
        <v>7.18</v>
      </c>
      <c r="AJ119" s="54">
        <f t="shared" si="209"/>
        <v>258.33333333333331</v>
      </c>
      <c r="AK119" s="57"/>
      <c r="AL119" s="53">
        <f t="shared" si="196"/>
        <v>243.97333333333333</v>
      </c>
      <c r="AM119" s="53">
        <f t="shared" si="210"/>
        <v>7.18</v>
      </c>
      <c r="AN119" s="53">
        <f t="shared" si="211"/>
        <v>7.18</v>
      </c>
      <c r="AO119" s="54">
        <f t="shared" si="212"/>
        <v>258.33333333333331</v>
      </c>
      <c r="AP119" s="56"/>
      <c r="AQ119" s="53">
        <f t="shared" si="197"/>
        <v>243.97333333333333</v>
      </c>
      <c r="AR119" s="53">
        <f t="shared" si="213"/>
        <v>7.18</v>
      </c>
      <c r="AS119" s="53">
        <f t="shared" si="214"/>
        <v>7.18</v>
      </c>
      <c r="AT119" s="54">
        <f t="shared" si="215"/>
        <v>258.33333333333331</v>
      </c>
      <c r="AU119" s="56"/>
      <c r="AV119" s="53">
        <f t="shared" si="198"/>
        <v>243.97333333333333</v>
      </c>
      <c r="AW119" s="53">
        <f t="shared" si="216"/>
        <v>7.18</v>
      </c>
      <c r="AX119" s="53">
        <f t="shared" si="217"/>
        <v>7.18</v>
      </c>
      <c r="AY119" s="54">
        <f t="shared" si="218"/>
        <v>258.33333333333331</v>
      </c>
      <c r="AZ119" s="58">
        <f t="shared" si="219"/>
        <v>1549.9999999999998</v>
      </c>
      <c r="BA119" s="59">
        <f t="shared" si="199"/>
        <v>1999.9999999999998</v>
      </c>
      <c r="BB119" s="60"/>
      <c r="BC119" s="60"/>
      <c r="BD119" s="60"/>
      <c r="BE119" s="60"/>
      <c r="BF119" s="60"/>
      <c r="BG119" s="61" t="s">
        <v>133</v>
      </c>
      <c r="BH119" s="62"/>
      <c r="BI119" s="63">
        <v>300</v>
      </c>
      <c r="BJ119" s="63">
        <v>150</v>
      </c>
      <c r="BK119" s="64"/>
      <c r="BL119" s="63"/>
      <c r="BM119" s="65"/>
      <c r="BN119" s="65"/>
      <c r="BO119" s="66"/>
      <c r="BP119" s="67"/>
      <c r="BQ119" s="21"/>
      <c r="BR119" s="48"/>
      <c r="BS119" s="48"/>
      <c r="BT119" s="68"/>
      <c r="BU119" s="1">
        <v>426</v>
      </c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</row>
    <row r="120" spans="1:214" s="287" customFormat="1" ht="15.75" customHeight="1" thickBot="1" x14ac:dyDescent="0.35">
      <c r="A120" s="1"/>
      <c r="B120" s="374">
        <v>100</v>
      </c>
      <c r="C120" s="34">
        <f t="shared" si="189"/>
        <v>5</v>
      </c>
      <c r="D120" s="375" t="s">
        <v>100</v>
      </c>
      <c r="E120" s="346">
        <v>0</v>
      </c>
      <c r="F120" s="347" t="s">
        <v>18</v>
      </c>
      <c r="G120" s="346">
        <v>0</v>
      </c>
      <c r="H120" s="347" t="s">
        <v>18</v>
      </c>
      <c r="I120" s="346">
        <v>0</v>
      </c>
      <c r="J120" s="347" t="s">
        <v>18</v>
      </c>
      <c r="K120" s="346">
        <v>0</v>
      </c>
      <c r="L120" s="347" t="s">
        <v>18</v>
      </c>
      <c r="M120" s="346">
        <v>0</v>
      </c>
      <c r="N120" s="347" t="s">
        <v>18</v>
      </c>
      <c r="O120" s="346">
        <v>0</v>
      </c>
      <c r="P120" s="347" t="s">
        <v>18</v>
      </c>
      <c r="Q120" s="49">
        <v>0</v>
      </c>
      <c r="R120" s="50">
        <f t="shared" si="220"/>
        <v>850</v>
      </c>
      <c r="S120" s="51">
        <f t="shared" si="190"/>
        <v>0</v>
      </c>
      <c r="T120" s="11">
        <f t="shared" si="200"/>
        <v>0</v>
      </c>
      <c r="U120" s="52">
        <f t="shared" si="191"/>
        <v>0</v>
      </c>
      <c r="V120" s="52">
        <f t="shared" si="192"/>
        <v>0</v>
      </c>
      <c r="W120" s="53">
        <f t="shared" si="193"/>
        <v>0</v>
      </c>
      <c r="X120" s="53">
        <f t="shared" si="201"/>
        <v>0</v>
      </c>
      <c r="Y120" s="53">
        <f t="shared" si="202"/>
        <v>0</v>
      </c>
      <c r="Z120" s="54">
        <f t="shared" si="203"/>
        <v>0</v>
      </c>
      <c r="AA120" s="55"/>
      <c r="AB120" s="53">
        <f t="shared" si="194"/>
        <v>0</v>
      </c>
      <c r="AC120" s="53">
        <f t="shared" si="204"/>
        <v>0</v>
      </c>
      <c r="AD120" s="53">
        <f t="shared" si="205"/>
        <v>0</v>
      </c>
      <c r="AE120" s="54">
        <f t="shared" si="206"/>
        <v>0</v>
      </c>
      <c r="AF120" s="56"/>
      <c r="AG120" s="53">
        <f t="shared" si="195"/>
        <v>0</v>
      </c>
      <c r="AH120" s="53">
        <f t="shared" si="207"/>
        <v>0</v>
      </c>
      <c r="AI120" s="53">
        <f t="shared" si="208"/>
        <v>0</v>
      </c>
      <c r="AJ120" s="54">
        <f t="shared" si="209"/>
        <v>0</v>
      </c>
      <c r="AK120" s="57"/>
      <c r="AL120" s="53">
        <f t="shared" si="196"/>
        <v>0</v>
      </c>
      <c r="AM120" s="53">
        <f t="shared" si="210"/>
        <v>0</v>
      </c>
      <c r="AN120" s="53">
        <f t="shared" si="211"/>
        <v>0</v>
      </c>
      <c r="AO120" s="54">
        <f t="shared" si="212"/>
        <v>0</v>
      </c>
      <c r="AP120" s="56"/>
      <c r="AQ120" s="53">
        <f t="shared" si="197"/>
        <v>0</v>
      </c>
      <c r="AR120" s="53">
        <f t="shared" si="213"/>
        <v>0</v>
      </c>
      <c r="AS120" s="53">
        <f t="shared" si="214"/>
        <v>0</v>
      </c>
      <c r="AT120" s="54">
        <f t="shared" si="215"/>
        <v>0</v>
      </c>
      <c r="AU120" s="56"/>
      <c r="AV120" s="53">
        <f t="shared" si="198"/>
        <v>0</v>
      </c>
      <c r="AW120" s="53">
        <f t="shared" si="216"/>
        <v>0</v>
      </c>
      <c r="AX120" s="53">
        <f t="shared" si="217"/>
        <v>0</v>
      </c>
      <c r="AY120" s="54">
        <f t="shared" si="218"/>
        <v>0</v>
      </c>
      <c r="AZ120" s="58">
        <f t="shared" si="219"/>
        <v>0</v>
      </c>
      <c r="BA120" s="59">
        <f t="shared" si="199"/>
        <v>0</v>
      </c>
      <c r="BB120" s="60"/>
      <c r="BC120" s="60"/>
      <c r="BD120" s="60"/>
      <c r="BE120" s="60"/>
      <c r="BF120" s="60"/>
      <c r="BG120" s="61"/>
      <c r="BH120" s="62"/>
      <c r="BI120" s="63"/>
      <c r="BJ120" s="63"/>
      <c r="BK120" s="64"/>
      <c r="BL120" s="63"/>
      <c r="BM120" s="65"/>
      <c r="BN120" s="65"/>
      <c r="BO120" s="66"/>
      <c r="BP120" s="67"/>
      <c r="BQ120" s="21"/>
      <c r="BR120" s="48"/>
      <c r="BS120" s="48"/>
      <c r="BT120" s="68"/>
      <c r="BU120" s="1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69"/>
      <c r="GH120" s="69"/>
      <c r="GI120" s="69"/>
      <c r="GJ120" s="69"/>
      <c r="GK120" s="69"/>
      <c r="GL120" s="69"/>
      <c r="GM120" s="69"/>
      <c r="GN120" s="69"/>
      <c r="GO120" s="69"/>
      <c r="GP120" s="69"/>
      <c r="GQ120" s="69"/>
      <c r="GR120" s="69"/>
      <c r="GS120" s="69"/>
      <c r="GT120" s="69"/>
      <c r="GU120" s="69"/>
      <c r="GV120" s="69"/>
      <c r="GW120" s="69"/>
      <c r="GX120" s="69"/>
      <c r="GY120" s="69"/>
      <c r="GZ120" s="69"/>
      <c r="HA120" s="69"/>
      <c r="HB120" s="69"/>
      <c r="HC120" s="69"/>
      <c r="HD120" s="69"/>
      <c r="HE120" s="69"/>
      <c r="HF120" s="69"/>
    </row>
    <row r="121" spans="1:214" s="69" customFormat="1" ht="15.75" customHeight="1" thickBot="1" x14ac:dyDescent="0.35">
      <c r="A121" s="1">
        <v>426</v>
      </c>
      <c r="B121" s="380">
        <v>39</v>
      </c>
      <c r="C121" s="34">
        <f t="shared" si="189"/>
        <v>6</v>
      </c>
      <c r="D121" s="259" t="s">
        <v>50</v>
      </c>
      <c r="E121" s="233">
        <v>1</v>
      </c>
      <c r="F121" s="233"/>
      <c r="G121" s="233">
        <v>1</v>
      </c>
      <c r="H121" s="233"/>
      <c r="I121" s="233">
        <v>1</v>
      </c>
      <c r="J121" s="233"/>
      <c r="K121" s="233">
        <v>1</v>
      </c>
      <c r="L121" s="233"/>
      <c r="M121" s="233">
        <v>1</v>
      </c>
      <c r="N121" s="233"/>
      <c r="O121" s="233">
        <v>1</v>
      </c>
      <c r="P121" s="233"/>
      <c r="Q121" s="233">
        <v>1</v>
      </c>
      <c r="R121" s="365">
        <f>IF(Q121=1,1600,850)</f>
        <v>1600</v>
      </c>
      <c r="S121" s="51">
        <f t="shared" si="190"/>
        <v>0</v>
      </c>
      <c r="T121" s="11">
        <f t="shared" si="200"/>
        <v>1999.9999999999995</v>
      </c>
      <c r="U121" s="52">
        <f t="shared" si="191"/>
        <v>0</v>
      </c>
      <c r="V121" s="52" t="str">
        <f t="shared" si="192"/>
        <v xml:space="preserve">BONO </v>
      </c>
      <c r="W121" s="53">
        <f t="shared" si="193"/>
        <v>252.30666666666664</v>
      </c>
      <c r="X121" s="53">
        <f t="shared" si="201"/>
        <v>7.18</v>
      </c>
      <c r="Y121" s="53">
        <f t="shared" si="202"/>
        <v>7.18</v>
      </c>
      <c r="Z121" s="54">
        <f t="shared" si="203"/>
        <v>266.66666666666663</v>
      </c>
      <c r="AA121" s="55"/>
      <c r="AB121" s="53">
        <f t="shared" si="194"/>
        <v>252.30666666666664</v>
      </c>
      <c r="AC121" s="53">
        <f t="shared" si="204"/>
        <v>7.18</v>
      </c>
      <c r="AD121" s="53">
        <f t="shared" si="205"/>
        <v>7.18</v>
      </c>
      <c r="AE121" s="54">
        <f t="shared" si="206"/>
        <v>266.66666666666663</v>
      </c>
      <c r="AF121" s="56"/>
      <c r="AG121" s="53">
        <f t="shared" si="195"/>
        <v>252.30666666666664</v>
      </c>
      <c r="AH121" s="53">
        <f t="shared" si="207"/>
        <v>7.18</v>
      </c>
      <c r="AI121" s="53">
        <f t="shared" si="208"/>
        <v>7.18</v>
      </c>
      <c r="AJ121" s="54">
        <f t="shared" si="209"/>
        <v>266.66666666666663</v>
      </c>
      <c r="AK121" s="57"/>
      <c r="AL121" s="53">
        <f t="shared" si="196"/>
        <v>252.30666666666664</v>
      </c>
      <c r="AM121" s="53">
        <f t="shared" si="210"/>
        <v>7.18</v>
      </c>
      <c r="AN121" s="53">
        <f t="shared" si="211"/>
        <v>7.18</v>
      </c>
      <c r="AO121" s="54">
        <f t="shared" si="212"/>
        <v>266.66666666666663</v>
      </c>
      <c r="AP121" s="56"/>
      <c r="AQ121" s="53">
        <f t="shared" si="197"/>
        <v>252.30666666666664</v>
      </c>
      <c r="AR121" s="53">
        <f t="shared" si="213"/>
        <v>7.18</v>
      </c>
      <c r="AS121" s="53">
        <f t="shared" si="214"/>
        <v>7.18</v>
      </c>
      <c r="AT121" s="54">
        <f t="shared" si="215"/>
        <v>266.66666666666663</v>
      </c>
      <c r="AU121" s="56"/>
      <c r="AV121" s="53">
        <f t="shared" si="198"/>
        <v>252.30666666666664</v>
      </c>
      <c r="AW121" s="53">
        <f t="shared" si="216"/>
        <v>7.18</v>
      </c>
      <c r="AX121" s="53">
        <f t="shared" si="217"/>
        <v>7.18</v>
      </c>
      <c r="AY121" s="54">
        <f t="shared" si="218"/>
        <v>266.66666666666663</v>
      </c>
      <c r="AZ121" s="58">
        <f t="shared" si="219"/>
        <v>1599.9999999999995</v>
      </c>
      <c r="BA121" s="59">
        <f t="shared" si="199"/>
        <v>1999.9999999999995</v>
      </c>
      <c r="BB121" s="60"/>
      <c r="BC121" s="60"/>
      <c r="BD121" s="60"/>
      <c r="BE121" s="60"/>
      <c r="BF121" s="60"/>
      <c r="BG121" s="131" t="s">
        <v>177</v>
      </c>
      <c r="BH121" s="62"/>
      <c r="BI121" s="63">
        <v>250</v>
      </c>
      <c r="BJ121" s="63">
        <v>150</v>
      </c>
      <c r="BK121" s="64"/>
      <c r="BL121" s="63"/>
      <c r="BM121" s="65"/>
      <c r="BN121" s="65"/>
      <c r="BO121" s="66"/>
      <c r="BP121" s="67"/>
      <c r="BQ121" s="21"/>
      <c r="BR121" s="48"/>
      <c r="BS121" s="48"/>
      <c r="BT121" s="68"/>
      <c r="BU121" s="1">
        <v>426</v>
      </c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</row>
    <row r="122" spans="1:214" s="69" customFormat="1" ht="15.75" customHeight="1" thickBot="1" x14ac:dyDescent="0.35">
      <c r="A122" s="1"/>
      <c r="B122" s="374">
        <v>64</v>
      </c>
      <c r="C122" s="34">
        <f t="shared" si="189"/>
        <v>7</v>
      </c>
      <c r="D122" s="375" t="s">
        <v>90</v>
      </c>
      <c r="E122" s="233">
        <v>1</v>
      </c>
      <c r="F122" s="233"/>
      <c r="G122" s="233">
        <v>1</v>
      </c>
      <c r="H122" s="233"/>
      <c r="I122" s="233">
        <v>1</v>
      </c>
      <c r="J122" s="233"/>
      <c r="K122" s="233">
        <v>1</v>
      </c>
      <c r="L122" s="233"/>
      <c r="M122" s="233">
        <v>1</v>
      </c>
      <c r="N122" s="233"/>
      <c r="O122" s="233">
        <v>1</v>
      </c>
      <c r="P122" s="233"/>
      <c r="Q122" s="233">
        <v>1</v>
      </c>
      <c r="R122" s="50">
        <f t="shared" si="220"/>
        <v>1550</v>
      </c>
      <c r="S122" s="51">
        <f t="shared" ref="S122" si="224">+BH122</f>
        <v>0</v>
      </c>
      <c r="T122" s="11">
        <f t="shared" si="200"/>
        <v>1799.9999999999998</v>
      </c>
      <c r="U122" s="52">
        <f t="shared" ref="U122" si="225">+BP122</f>
        <v>0</v>
      </c>
      <c r="V122" s="52" t="str">
        <f t="shared" ref="V122" si="226">+BG122</f>
        <v xml:space="preserve">BONO </v>
      </c>
      <c r="W122" s="53">
        <f t="shared" si="193"/>
        <v>243.97333333333333</v>
      </c>
      <c r="X122" s="53">
        <f t="shared" si="201"/>
        <v>7.18</v>
      </c>
      <c r="Y122" s="53">
        <f t="shared" si="202"/>
        <v>7.18</v>
      </c>
      <c r="Z122" s="54">
        <f t="shared" si="203"/>
        <v>258.33333333333331</v>
      </c>
      <c r="AA122" s="55"/>
      <c r="AB122" s="53">
        <f t="shared" si="194"/>
        <v>243.97333333333333</v>
      </c>
      <c r="AC122" s="53">
        <f t="shared" si="204"/>
        <v>7.18</v>
      </c>
      <c r="AD122" s="53">
        <f t="shared" si="205"/>
        <v>7.18</v>
      </c>
      <c r="AE122" s="54">
        <f t="shared" si="206"/>
        <v>258.33333333333331</v>
      </c>
      <c r="AF122" s="56"/>
      <c r="AG122" s="53">
        <f t="shared" si="195"/>
        <v>243.97333333333333</v>
      </c>
      <c r="AH122" s="53">
        <f t="shared" si="207"/>
        <v>7.18</v>
      </c>
      <c r="AI122" s="53">
        <f t="shared" si="208"/>
        <v>7.18</v>
      </c>
      <c r="AJ122" s="54">
        <f t="shared" si="209"/>
        <v>258.33333333333331</v>
      </c>
      <c r="AK122" s="57"/>
      <c r="AL122" s="53">
        <f t="shared" si="196"/>
        <v>243.97333333333333</v>
      </c>
      <c r="AM122" s="53">
        <f t="shared" si="210"/>
        <v>7.18</v>
      </c>
      <c r="AN122" s="53">
        <f t="shared" si="211"/>
        <v>7.18</v>
      </c>
      <c r="AO122" s="54">
        <f t="shared" si="212"/>
        <v>258.33333333333331</v>
      </c>
      <c r="AP122" s="56"/>
      <c r="AQ122" s="53">
        <f t="shared" si="197"/>
        <v>243.97333333333333</v>
      </c>
      <c r="AR122" s="53">
        <f t="shared" si="213"/>
        <v>7.18</v>
      </c>
      <c r="AS122" s="53">
        <f t="shared" si="214"/>
        <v>7.18</v>
      </c>
      <c r="AT122" s="54">
        <f t="shared" si="215"/>
        <v>258.33333333333331</v>
      </c>
      <c r="AU122" s="56"/>
      <c r="AV122" s="53">
        <f t="shared" si="198"/>
        <v>243.97333333333333</v>
      </c>
      <c r="AW122" s="53">
        <f t="shared" si="216"/>
        <v>7.18</v>
      </c>
      <c r="AX122" s="53">
        <f t="shared" si="217"/>
        <v>7.18</v>
      </c>
      <c r="AY122" s="54">
        <f t="shared" si="218"/>
        <v>258.33333333333331</v>
      </c>
      <c r="AZ122" s="58">
        <f t="shared" si="219"/>
        <v>1549.9999999999998</v>
      </c>
      <c r="BA122" s="59">
        <f t="shared" si="199"/>
        <v>1799.9999999999998</v>
      </c>
      <c r="BB122" s="60"/>
      <c r="BC122" s="60"/>
      <c r="BD122" s="60"/>
      <c r="BE122" s="60"/>
      <c r="BF122" s="60"/>
      <c r="BG122" s="61" t="s">
        <v>177</v>
      </c>
      <c r="BH122" s="62"/>
      <c r="BI122" s="63">
        <v>250</v>
      </c>
      <c r="BJ122" s="63"/>
      <c r="BK122" s="64"/>
      <c r="BL122" s="63"/>
      <c r="BM122" s="65"/>
      <c r="BN122" s="65"/>
      <c r="BO122" s="66"/>
      <c r="BP122" s="67"/>
      <c r="BQ122" s="21"/>
      <c r="BR122" s="48"/>
      <c r="BS122" s="48"/>
      <c r="BT122" s="68"/>
      <c r="BU122" s="1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</row>
    <row r="123" spans="1:214" s="69" customFormat="1" ht="15.75" customHeight="1" thickBot="1" x14ac:dyDescent="0.35">
      <c r="A123" s="1"/>
      <c r="B123" s="379">
        <v>141</v>
      </c>
      <c r="C123" s="34">
        <f t="shared" si="189"/>
        <v>8</v>
      </c>
      <c r="D123" s="378" t="s">
        <v>120</v>
      </c>
      <c r="E123" s="233">
        <v>1</v>
      </c>
      <c r="F123" s="233"/>
      <c r="G123" s="233">
        <v>1</v>
      </c>
      <c r="H123" s="233"/>
      <c r="I123" s="233">
        <v>1</v>
      </c>
      <c r="J123" s="233"/>
      <c r="K123" s="233">
        <v>1</v>
      </c>
      <c r="L123" s="233"/>
      <c r="M123" s="233">
        <v>1</v>
      </c>
      <c r="N123" s="233"/>
      <c r="O123" s="233">
        <v>1</v>
      </c>
      <c r="P123" s="233"/>
      <c r="Q123" s="233">
        <v>1</v>
      </c>
      <c r="R123" s="50">
        <f t="shared" si="220"/>
        <v>1550</v>
      </c>
      <c r="S123" s="51">
        <f t="shared" si="190"/>
        <v>0</v>
      </c>
      <c r="T123" s="11">
        <f t="shared" si="200"/>
        <v>1949.9999999999998</v>
      </c>
      <c r="U123" s="52">
        <f t="shared" si="191"/>
        <v>0</v>
      </c>
      <c r="V123" s="52" t="str">
        <f t="shared" si="192"/>
        <v>BONO+B ASIS</v>
      </c>
      <c r="W123" s="53">
        <f t="shared" si="193"/>
        <v>243.97333333333333</v>
      </c>
      <c r="X123" s="53">
        <f t="shared" si="201"/>
        <v>7.18</v>
      </c>
      <c r="Y123" s="53">
        <f t="shared" si="202"/>
        <v>7.18</v>
      </c>
      <c r="Z123" s="54">
        <f t="shared" si="203"/>
        <v>258.33333333333331</v>
      </c>
      <c r="AA123" s="55"/>
      <c r="AB123" s="53">
        <f t="shared" si="194"/>
        <v>243.97333333333333</v>
      </c>
      <c r="AC123" s="53">
        <f t="shared" si="204"/>
        <v>7.18</v>
      </c>
      <c r="AD123" s="53">
        <f t="shared" si="205"/>
        <v>7.18</v>
      </c>
      <c r="AE123" s="54">
        <f t="shared" si="206"/>
        <v>258.33333333333331</v>
      </c>
      <c r="AF123" s="56"/>
      <c r="AG123" s="53">
        <f t="shared" si="195"/>
        <v>243.97333333333333</v>
      </c>
      <c r="AH123" s="53">
        <f t="shared" si="207"/>
        <v>7.18</v>
      </c>
      <c r="AI123" s="53">
        <f t="shared" si="208"/>
        <v>7.18</v>
      </c>
      <c r="AJ123" s="54">
        <f t="shared" si="209"/>
        <v>258.33333333333331</v>
      </c>
      <c r="AK123" s="57"/>
      <c r="AL123" s="53">
        <f t="shared" si="196"/>
        <v>243.97333333333333</v>
      </c>
      <c r="AM123" s="53">
        <f t="shared" si="210"/>
        <v>7.18</v>
      </c>
      <c r="AN123" s="53">
        <f t="shared" si="211"/>
        <v>7.18</v>
      </c>
      <c r="AO123" s="54">
        <f t="shared" si="212"/>
        <v>258.33333333333331</v>
      </c>
      <c r="AP123" s="56"/>
      <c r="AQ123" s="53">
        <f t="shared" si="197"/>
        <v>243.97333333333333</v>
      </c>
      <c r="AR123" s="53">
        <f t="shared" si="213"/>
        <v>7.18</v>
      </c>
      <c r="AS123" s="53">
        <f t="shared" si="214"/>
        <v>7.18</v>
      </c>
      <c r="AT123" s="54">
        <f t="shared" si="215"/>
        <v>258.33333333333331</v>
      </c>
      <c r="AU123" s="56"/>
      <c r="AV123" s="53">
        <f t="shared" si="198"/>
        <v>243.97333333333333</v>
      </c>
      <c r="AW123" s="53">
        <f t="shared" si="216"/>
        <v>7.18</v>
      </c>
      <c r="AX123" s="53">
        <f t="shared" si="217"/>
        <v>7.18</v>
      </c>
      <c r="AY123" s="54">
        <f t="shared" si="218"/>
        <v>258.33333333333331</v>
      </c>
      <c r="AZ123" s="58">
        <f t="shared" si="219"/>
        <v>1549.9999999999998</v>
      </c>
      <c r="BA123" s="59">
        <f t="shared" si="199"/>
        <v>1949.9999999999998</v>
      </c>
      <c r="BB123" s="70"/>
      <c r="BC123" s="70"/>
      <c r="BD123" s="70"/>
      <c r="BE123" s="70"/>
      <c r="BF123" s="70"/>
      <c r="BG123" s="61" t="s">
        <v>133</v>
      </c>
      <c r="BH123" s="71"/>
      <c r="BI123" s="63">
        <v>250</v>
      </c>
      <c r="BJ123" s="63">
        <v>150</v>
      </c>
      <c r="BK123" s="63"/>
      <c r="BL123" s="64"/>
      <c r="BM123" s="18"/>
      <c r="BN123" s="64"/>
      <c r="BO123" s="66"/>
      <c r="BP123" s="72"/>
      <c r="BQ123" s="73"/>
      <c r="BR123" s="74"/>
      <c r="BS123" s="75"/>
      <c r="BU123" s="1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</row>
    <row r="124" spans="1:214" ht="21" customHeight="1" thickBot="1" x14ac:dyDescent="0.35">
      <c r="A124" s="1">
        <v>504</v>
      </c>
      <c r="B124" s="78"/>
      <c r="C124" s="79"/>
      <c r="D124" s="21"/>
      <c r="E124" s="80">
        <f>SUM(E116:E123)</f>
        <v>7</v>
      </c>
      <c r="F124" s="80"/>
      <c r="G124" s="80">
        <f>SUM(G116:G123)</f>
        <v>7</v>
      </c>
      <c r="H124" s="80"/>
      <c r="I124" s="80">
        <f>SUM(I116:I123)</f>
        <v>7</v>
      </c>
      <c r="J124" s="81"/>
      <c r="K124" s="80">
        <f>SUM(K116:K123)</f>
        <v>7</v>
      </c>
      <c r="L124" s="81"/>
      <c r="M124" s="80">
        <f>SUM(M116:M123)</f>
        <v>7</v>
      </c>
      <c r="N124" s="80"/>
      <c r="O124" s="80">
        <f>SUM(O116:O123)</f>
        <v>7</v>
      </c>
      <c r="P124" s="80"/>
      <c r="Q124" s="8"/>
      <c r="R124" s="82"/>
      <c r="S124" s="51"/>
      <c r="T124" s="11"/>
      <c r="U124" s="52"/>
      <c r="V124" s="52"/>
      <c r="W124" s="53"/>
      <c r="X124" s="53"/>
      <c r="Y124" s="53"/>
      <c r="Z124" s="54"/>
      <c r="AA124" s="55"/>
      <c r="AB124" s="53"/>
      <c r="AC124" s="53"/>
      <c r="AD124" s="53"/>
      <c r="AE124" s="54"/>
      <c r="AF124" s="56"/>
      <c r="AG124" s="53"/>
      <c r="AH124" s="53"/>
      <c r="AI124" s="53"/>
      <c r="AJ124" s="54"/>
      <c r="AK124" s="57"/>
      <c r="AL124" s="53"/>
      <c r="AM124" s="53"/>
      <c r="AN124" s="53"/>
      <c r="AO124" s="54"/>
      <c r="AP124" s="56"/>
      <c r="AQ124" s="53"/>
      <c r="AR124" s="53"/>
      <c r="AS124" s="53"/>
      <c r="AT124" s="54"/>
      <c r="AU124" s="56"/>
      <c r="AV124" s="53"/>
      <c r="AW124" s="53"/>
      <c r="AX124" s="53"/>
      <c r="AY124" s="54"/>
      <c r="AZ124" s="58"/>
      <c r="BA124" s="59"/>
      <c r="BG124" s="83"/>
      <c r="BO124" s="67"/>
      <c r="BP124" s="67"/>
      <c r="BQ124" s="21"/>
      <c r="BR124" s="84"/>
      <c r="BS124" s="84"/>
      <c r="BU124" s="1">
        <v>504</v>
      </c>
    </row>
    <row r="125" spans="1:214" ht="15.75" customHeight="1" thickBot="1" x14ac:dyDescent="0.45">
      <c r="A125" s="1">
        <v>505</v>
      </c>
      <c r="C125" s="79"/>
      <c r="D125" s="21"/>
      <c r="E125" s="8"/>
      <c r="F125" s="85"/>
      <c r="G125" s="8"/>
      <c r="H125" s="22"/>
      <c r="I125" s="8"/>
      <c r="J125" s="22"/>
      <c r="K125" s="8"/>
      <c r="L125" s="22"/>
      <c r="M125" s="8"/>
      <c r="N125" s="22"/>
      <c r="O125" s="8"/>
      <c r="P125" s="22"/>
      <c r="Q125" s="8"/>
      <c r="R125" s="82"/>
      <c r="S125" s="51"/>
      <c r="T125" s="11"/>
      <c r="U125" s="52"/>
      <c r="V125" s="52"/>
      <c r="W125" s="53"/>
      <c r="X125" s="53"/>
      <c r="Y125" s="53"/>
      <c r="Z125" s="54"/>
      <c r="AA125" s="55"/>
      <c r="AB125" s="53"/>
      <c r="AC125" s="53"/>
      <c r="AD125" s="53"/>
      <c r="AE125" s="54"/>
      <c r="AF125" s="56"/>
      <c r="AG125" s="53"/>
      <c r="AH125" s="53"/>
      <c r="AI125" s="53"/>
      <c r="AJ125" s="54"/>
      <c r="AK125" s="57"/>
      <c r="AL125" s="53"/>
      <c r="AM125" s="53"/>
      <c r="AN125" s="53"/>
      <c r="AO125" s="54"/>
      <c r="AP125" s="56"/>
      <c r="AQ125" s="53"/>
      <c r="AR125" s="53"/>
      <c r="AS125" s="53"/>
      <c r="AT125" s="54"/>
      <c r="AU125" s="56"/>
      <c r="AV125" s="53"/>
      <c r="AW125" s="53"/>
      <c r="AX125" s="53"/>
      <c r="AY125" s="54"/>
      <c r="AZ125" s="58"/>
      <c r="BA125" s="59"/>
      <c r="BG125" s="83"/>
      <c r="BO125" s="86"/>
      <c r="BP125" s="87"/>
      <c r="BQ125" s="21"/>
      <c r="BT125" s="68"/>
      <c r="BU125" s="1">
        <v>505</v>
      </c>
    </row>
    <row r="126" spans="1:214" ht="15.75" customHeight="1" thickBot="1" x14ac:dyDescent="0.35">
      <c r="A126" s="1">
        <v>506</v>
      </c>
      <c r="B126" s="88" t="s">
        <v>26</v>
      </c>
      <c r="C126" s="89" t="s">
        <v>27</v>
      </c>
      <c r="D126" s="90"/>
      <c r="E126" s="8"/>
      <c r="F126" s="91"/>
      <c r="G126" s="42" t="s">
        <v>8</v>
      </c>
      <c r="H126" s="42"/>
      <c r="I126" s="42" t="s">
        <v>9</v>
      </c>
      <c r="J126" s="42"/>
      <c r="K126" s="42" t="s">
        <v>9</v>
      </c>
      <c r="L126" s="42"/>
      <c r="M126" s="42" t="s">
        <v>10</v>
      </c>
      <c r="N126" s="42"/>
      <c r="O126" s="42" t="s">
        <v>11</v>
      </c>
      <c r="P126" s="42"/>
      <c r="Q126" s="42" t="s">
        <v>12</v>
      </c>
      <c r="R126" s="42"/>
      <c r="S126" s="9"/>
      <c r="T126" s="11"/>
      <c r="U126" s="11"/>
      <c r="V126" s="11"/>
      <c r="W126" s="12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59"/>
      <c r="BO126" s="92"/>
      <c r="BP126" s="92"/>
      <c r="BQ126" s="21"/>
      <c r="BR126" s="21"/>
      <c r="BS126" s="21"/>
      <c r="BT126" s="68"/>
      <c r="BU126" s="1">
        <v>506</v>
      </c>
    </row>
    <row r="127" spans="1:214" ht="20.25" customHeight="1" thickBot="1" x14ac:dyDescent="0.35">
      <c r="A127" s="1">
        <v>507</v>
      </c>
      <c r="B127" s="21">
        <f>E124</f>
        <v>7</v>
      </c>
      <c r="C127" s="93">
        <f>G131</f>
        <v>7</v>
      </c>
      <c r="D127" s="94">
        <f t="shared" ref="D127:D132" si="227">+B127-C127</f>
        <v>0</v>
      </c>
      <c r="E127" s="95"/>
      <c r="F127" s="96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8" t="s">
        <v>28</v>
      </c>
      <c r="S127" s="10"/>
      <c r="T127" s="10"/>
      <c r="U127" s="94"/>
      <c r="V127" s="40"/>
      <c r="W127" s="42"/>
      <c r="X127" s="9"/>
      <c r="Y127" s="9"/>
      <c r="Z127" s="9"/>
      <c r="AA127" s="9"/>
      <c r="AB127" s="42"/>
      <c r="AC127" s="9"/>
      <c r="AD127" s="9"/>
      <c r="AE127" s="9"/>
      <c r="AF127" s="9"/>
      <c r="AG127" s="42"/>
      <c r="AH127" s="9"/>
      <c r="AI127" s="9"/>
      <c r="AJ127" s="9"/>
      <c r="AK127" s="9"/>
      <c r="AL127" s="9"/>
      <c r="AM127" s="9"/>
      <c r="AN127" s="9"/>
      <c r="AO127" s="9"/>
      <c r="AP127" s="9"/>
      <c r="AQ127" s="42"/>
      <c r="AR127" s="9"/>
      <c r="AS127" s="9"/>
      <c r="AT127" s="9"/>
      <c r="AU127" s="9"/>
      <c r="AV127" s="42"/>
      <c r="AW127" s="9"/>
      <c r="AX127" s="9"/>
      <c r="AY127" s="9"/>
      <c r="AZ127" s="99"/>
      <c r="BA127" s="59"/>
      <c r="BE127" s="100"/>
      <c r="BO127" s="101"/>
      <c r="BP127" s="92"/>
      <c r="BQ127" s="21"/>
      <c r="BR127" s="21"/>
      <c r="BS127" s="21"/>
      <c r="BT127" s="68"/>
      <c r="BU127" s="1">
        <v>507</v>
      </c>
    </row>
    <row r="128" spans="1:214" ht="20.25" customHeight="1" thickBot="1" x14ac:dyDescent="0.35">
      <c r="A128" s="1">
        <v>508</v>
      </c>
      <c r="B128" s="21">
        <f>G124</f>
        <v>7</v>
      </c>
      <c r="C128" s="93">
        <f>I131</f>
        <v>7</v>
      </c>
      <c r="D128" s="94">
        <f t="shared" si="227"/>
        <v>0</v>
      </c>
      <c r="E128" s="102" t="s">
        <v>30</v>
      </c>
      <c r="F128" s="103"/>
      <c r="G128" s="104">
        <v>2</v>
      </c>
      <c r="H128" s="105"/>
      <c r="I128" s="104">
        <v>2</v>
      </c>
      <c r="J128" s="105"/>
      <c r="K128" s="104">
        <v>2</v>
      </c>
      <c r="L128" s="105"/>
      <c r="M128" s="104">
        <v>2</v>
      </c>
      <c r="N128" s="105"/>
      <c r="O128" s="104">
        <v>2</v>
      </c>
      <c r="P128" s="105"/>
      <c r="Q128" s="104">
        <v>2</v>
      </c>
      <c r="R128" s="111">
        <f t="shared" ref="R128:R130" si="228">AVERAGE(G128,I128,K128,M128,O128,Q128)</f>
        <v>2</v>
      </c>
      <c r="S128" s="10"/>
      <c r="T128" s="11"/>
      <c r="U128" s="94"/>
      <c r="V128" s="40"/>
      <c r="W128" s="42"/>
      <c r="X128" s="9"/>
      <c r="Y128" s="9"/>
      <c r="Z128" s="9"/>
      <c r="AA128" s="9"/>
      <c r="AB128" s="42"/>
      <c r="AC128" s="9"/>
      <c r="AD128" s="9"/>
      <c r="AE128" s="9"/>
      <c r="AF128" s="9"/>
      <c r="AG128" s="42"/>
      <c r="AH128" s="9"/>
      <c r="AI128" s="9"/>
      <c r="AJ128" s="9"/>
      <c r="AK128" s="9"/>
      <c r="AL128" s="9"/>
      <c r="AM128" s="9"/>
      <c r="AN128" s="9"/>
      <c r="AO128" s="9"/>
      <c r="AP128" s="9"/>
      <c r="AQ128" s="42"/>
      <c r="AR128" s="9"/>
      <c r="AS128" s="9"/>
      <c r="AT128" s="9"/>
      <c r="AU128" s="9"/>
      <c r="AV128" s="42"/>
      <c r="AW128" s="9"/>
      <c r="AX128" s="9"/>
      <c r="AY128" s="9"/>
      <c r="AZ128" s="99"/>
      <c r="BA128" s="59"/>
      <c r="BE128" s="100"/>
      <c r="BO128" s="101"/>
      <c r="BP128" s="92"/>
      <c r="BQ128" s="21"/>
      <c r="BR128" s="21"/>
      <c r="BS128" s="21"/>
      <c r="BT128" s="68"/>
      <c r="BU128" s="1">
        <v>508</v>
      </c>
    </row>
    <row r="129" spans="1:214" ht="20.25" customHeight="1" thickBot="1" x14ac:dyDescent="0.35">
      <c r="A129" s="1"/>
      <c r="B129" s="21">
        <f>I124</f>
        <v>7</v>
      </c>
      <c r="C129" s="93">
        <f>K131</f>
        <v>7</v>
      </c>
      <c r="D129" s="94">
        <f t="shared" si="227"/>
        <v>0</v>
      </c>
      <c r="E129" s="102" t="s">
        <v>32</v>
      </c>
      <c r="F129" s="103"/>
      <c r="G129" s="104">
        <v>4</v>
      </c>
      <c r="H129" s="105"/>
      <c r="I129" s="104">
        <v>4</v>
      </c>
      <c r="J129" s="105"/>
      <c r="K129" s="104">
        <v>4</v>
      </c>
      <c r="L129" s="105"/>
      <c r="M129" s="104">
        <v>4</v>
      </c>
      <c r="N129" s="105"/>
      <c r="O129" s="104">
        <v>4</v>
      </c>
      <c r="P129" s="105"/>
      <c r="Q129" s="104">
        <v>4</v>
      </c>
      <c r="R129" s="111">
        <f t="shared" si="228"/>
        <v>4</v>
      </c>
      <c r="S129" s="10"/>
      <c r="T129" s="11"/>
      <c r="U129" s="94"/>
      <c r="V129" s="40"/>
      <c r="W129" s="42"/>
      <c r="X129" s="9"/>
      <c r="Y129" s="9"/>
      <c r="Z129" s="9"/>
      <c r="AA129" s="9"/>
      <c r="AB129" s="42"/>
      <c r="AC129" s="9"/>
      <c r="AD129" s="9"/>
      <c r="AE129" s="9"/>
      <c r="AF129" s="9"/>
      <c r="AG129" s="42"/>
      <c r="AH129" s="9"/>
      <c r="AI129" s="9"/>
      <c r="AJ129" s="9"/>
      <c r="AK129" s="9"/>
      <c r="AL129" s="9"/>
      <c r="AM129" s="9"/>
      <c r="AN129" s="9"/>
      <c r="AO129" s="9"/>
      <c r="AP129" s="9"/>
      <c r="AQ129" s="42"/>
      <c r="AR129" s="9"/>
      <c r="AS129" s="9"/>
      <c r="AT129" s="9"/>
      <c r="AU129" s="9"/>
      <c r="AV129" s="42"/>
      <c r="AW129" s="9"/>
      <c r="AX129" s="9"/>
      <c r="AY129" s="9"/>
      <c r="AZ129" s="99"/>
      <c r="BA129" s="59"/>
      <c r="BE129" s="100"/>
      <c r="BO129" s="101"/>
      <c r="BP129" s="92"/>
      <c r="BQ129" s="21"/>
      <c r="BR129" s="21"/>
      <c r="BS129" s="21"/>
      <c r="BT129" s="68"/>
      <c r="BU129" s="1"/>
    </row>
    <row r="130" spans="1:214" ht="20.25" customHeight="1" thickBot="1" x14ac:dyDescent="0.35">
      <c r="A130" s="1"/>
      <c r="B130" s="21">
        <f>K124</f>
        <v>7</v>
      </c>
      <c r="C130" s="93">
        <f>M131</f>
        <v>7</v>
      </c>
      <c r="D130" s="94">
        <f t="shared" si="227"/>
        <v>0</v>
      </c>
      <c r="E130" s="135" t="s">
        <v>29</v>
      </c>
      <c r="F130" s="136"/>
      <c r="G130" s="137">
        <v>1</v>
      </c>
      <c r="H130" s="138"/>
      <c r="I130" s="137">
        <v>1</v>
      </c>
      <c r="J130" s="138"/>
      <c r="K130" s="137">
        <v>1</v>
      </c>
      <c r="L130" s="138"/>
      <c r="M130" s="137">
        <v>1</v>
      </c>
      <c r="N130" s="138"/>
      <c r="O130" s="137">
        <v>1</v>
      </c>
      <c r="P130" s="138"/>
      <c r="Q130" s="137">
        <v>1</v>
      </c>
      <c r="R130" s="111">
        <f t="shared" si="228"/>
        <v>1</v>
      </c>
      <c r="S130" s="10"/>
      <c r="T130" s="11"/>
      <c r="U130" s="94"/>
      <c r="V130" s="40"/>
      <c r="W130" s="42"/>
      <c r="X130" s="9"/>
      <c r="Y130" s="9"/>
      <c r="Z130" s="9"/>
      <c r="AA130" s="9"/>
      <c r="AB130" s="42"/>
      <c r="AC130" s="9"/>
      <c r="AD130" s="9"/>
      <c r="AE130" s="9"/>
      <c r="AF130" s="9"/>
      <c r="AG130" s="42"/>
      <c r="AH130" s="9"/>
      <c r="AI130" s="9"/>
      <c r="AJ130" s="9"/>
      <c r="AK130" s="9"/>
      <c r="AL130" s="9"/>
      <c r="AM130" s="9"/>
      <c r="AN130" s="9"/>
      <c r="AO130" s="9"/>
      <c r="AP130" s="9"/>
      <c r="AQ130" s="42"/>
      <c r="AR130" s="9"/>
      <c r="AS130" s="9"/>
      <c r="AT130" s="9"/>
      <c r="AU130" s="9"/>
      <c r="AV130" s="42"/>
      <c r="AW130" s="9"/>
      <c r="AX130" s="9"/>
      <c r="AY130" s="9"/>
      <c r="AZ130" s="99"/>
      <c r="BA130" s="59"/>
      <c r="BE130" s="100"/>
      <c r="BO130" s="101"/>
      <c r="BP130" s="92"/>
      <c r="BQ130" s="21"/>
      <c r="BR130" s="21"/>
      <c r="BS130" s="21"/>
      <c r="BT130" s="68"/>
      <c r="BU130" s="1"/>
    </row>
    <row r="131" spans="1:214" ht="20.25" customHeight="1" thickBot="1" x14ac:dyDescent="0.35">
      <c r="A131" s="1">
        <v>509</v>
      </c>
      <c r="B131" s="21">
        <f>M124</f>
        <v>7</v>
      </c>
      <c r="C131" s="93">
        <f>O131</f>
        <v>7</v>
      </c>
      <c r="D131" s="94">
        <f t="shared" si="227"/>
        <v>0</v>
      </c>
      <c r="E131" s="108"/>
      <c r="F131" s="109"/>
      <c r="G131" s="110">
        <f>SUM(G128:G130)</f>
        <v>7</v>
      </c>
      <c r="H131" s="110"/>
      <c r="I131" s="110">
        <f>SUM(I128:I130)</f>
        <v>7</v>
      </c>
      <c r="J131" s="110"/>
      <c r="K131" s="110">
        <f>SUM(K128:K130)</f>
        <v>7</v>
      </c>
      <c r="L131" s="110"/>
      <c r="M131" s="110">
        <f>SUM(M128:M130)</f>
        <v>7</v>
      </c>
      <c r="N131" s="110"/>
      <c r="O131" s="110">
        <f>SUM(O128:O130)</f>
        <v>7</v>
      </c>
      <c r="P131" s="110"/>
      <c r="Q131" s="110">
        <f>SUM(Q128:Q130)</f>
        <v>7</v>
      </c>
      <c r="R131" s="111">
        <f>AVERAGE(G131,I131,K131,M131,O131,Q131)</f>
        <v>7</v>
      </c>
      <c r="S131" s="10"/>
      <c r="T131" s="11"/>
      <c r="U131" s="94"/>
      <c r="V131" s="40"/>
      <c r="W131" s="42"/>
      <c r="X131" s="9"/>
      <c r="Y131" s="9"/>
      <c r="Z131" s="9"/>
      <c r="AA131" s="9"/>
      <c r="AB131" s="42"/>
      <c r="AC131" s="9"/>
      <c r="AD131" s="9"/>
      <c r="AE131" s="9"/>
      <c r="AF131" s="9"/>
      <c r="AG131" s="42"/>
      <c r="AH131" s="9"/>
      <c r="AI131" s="9"/>
      <c r="AJ131" s="9"/>
      <c r="AK131" s="9"/>
      <c r="AL131" s="9"/>
      <c r="AM131" s="9"/>
      <c r="AN131" s="9"/>
      <c r="AO131" s="9"/>
      <c r="AP131" s="9"/>
      <c r="AQ131" s="42"/>
      <c r="AR131" s="9"/>
      <c r="AS131" s="9"/>
      <c r="AT131" s="9"/>
      <c r="AU131" s="9"/>
      <c r="AV131" s="42"/>
      <c r="AW131" s="9"/>
      <c r="AX131" s="9"/>
      <c r="AY131" s="9"/>
      <c r="AZ131" s="99"/>
      <c r="BA131" s="59"/>
      <c r="BE131" s="100"/>
      <c r="BO131" s="101"/>
      <c r="BP131" s="92"/>
      <c r="BQ131" s="21"/>
      <c r="BR131" s="21"/>
      <c r="BS131" s="21"/>
      <c r="BT131" s="68"/>
      <c r="BU131" s="1">
        <v>509</v>
      </c>
    </row>
    <row r="132" spans="1:214" ht="20.25" customHeight="1" x14ac:dyDescent="0.3">
      <c r="A132" s="1">
        <v>510</v>
      </c>
      <c r="B132" s="21">
        <f>O124</f>
        <v>7</v>
      </c>
      <c r="C132" s="93">
        <f>Q131</f>
        <v>7</v>
      </c>
      <c r="D132" s="94">
        <f t="shared" si="227"/>
        <v>0</v>
      </c>
      <c r="E132" s="112"/>
      <c r="F132" s="113"/>
      <c r="G132" s="112"/>
      <c r="H132" s="114"/>
      <c r="I132" s="112"/>
      <c r="J132" s="114"/>
      <c r="K132" s="112"/>
      <c r="L132" s="114"/>
      <c r="M132" s="112"/>
      <c r="N132" s="114"/>
      <c r="O132" s="112"/>
      <c r="P132" s="114"/>
      <c r="Q132" s="112"/>
      <c r="R132" s="115"/>
      <c r="S132" s="10"/>
      <c r="T132" s="128">
        <f>SUM(R128:R130)</f>
        <v>7</v>
      </c>
      <c r="U132" s="94"/>
      <c r="V132" s="40"/>
      <c r="W132" s="42"/>
      <c r="X132" s="9"/>
      <c r="Y132" s="9"/>
      <c r="Z132" s="9"/>
      <c r="AA132" s="9"/>
      <c r="AB132" s="42"/>
      <c r="AC132" s="9"/>
      <c r="AD132" s="9"/>
      <c r="AE132" s="9"/>
      <c r="AF132" s="9"/>
      <c r="AG132" s="42"/>
      <c r="AH132" s="9"/>
      <c r="AI132" s="9"/>
      <c r="AJ132" s="9"/>
      <c r="AK132" s="9"/>
      <c r="AL132" s="9"/>
      <c r="AM132" s="9"/>
      <c r="AN132" s="9"/>
      <c r="AO132" s="9"/>
      <c r="AP132" s="9"/>
      <c r="AQ132" s="42"/>
      <c r="AR132" s="9"/>
      <c r="AS132" s="9"/>
      <c r="AT132" s="9"/>
      <c r="AU132" s="9"/>
      <c r="AV132" s="42"/>
      <c r="AW132" s="9"/>
      <c r="AX132" s="9"/>
      <c r="AY132" s="9"/>
      <c r="AZ132" s="99"/>
      <c r="BA132" s="59"/>
      <c r="BE132" s="100"/>
      <c r="BO132" s="101"/>
      <c r="BP132" s="92"/>
      <c r="BQ132" s="21"/>
      <c r="BR132" s="21"/>
      <c r="BS132" s="21"/>
      <c r="BT132" s="68"/>
      <c r="BU132" s="1">
        <v>510</v>
      </c>
    </row>
    <row r="133" spans="1:214" ht="20.25" customHeight="1" x14ac:dyDescent="0.4">
      <c r="A133" s="1">
        <v>511</v>
      </c>
      <c r="B133" s="22"/>
      <c r="C133" s="22"/>
      <c r="D133" s="22"/>
      <c r="E133" s="8"/>
      <c r="F133" s="85"/>
      <c r="G133" s="8"/>
      <c r="H133" s="22"/>
      <c r="I133" s="8"/>
      <c r="J133" s="22"/>
      <c r="K133" s="8"/>
      <c r="L133" s="22"/>
      <c r="M133" s="8"/>
      <c r="N133" s="22"/>
      <c r="O133" s="8"/>
      <c r="P133" s="22"/>
      <c r="Q133" s="8"/>
      <c r="R133" s="82"/>
      <c r="S133" s="51"/>
      <c r="T133" s="11"/>
      <c r="U133" s="11"/>
      <c r="V133" s="52"/>
      <c r="W133" s="9"/>
      <c r="X133" s="9"/>
      <c r="Y133" s="9"/>
      <c r="Z133" s="9"/>
      <c r="AA133" s="42"/>
      <c r="AB133" s="9"/>
      <c r="AC133" s="9"/>
      <c r="AD133" s="9"/>
      <c r="AE133" s="9"/>
      <c r="AF133" s="42"/>
      <c r="AG133" s="9"/>
      <c r="AH133" s="9"/>
      <c r="AI133" s="9"/>
      <c r="AJ133" s="9"/>
      <c r="AK133" s="9"/>
      <c r="AL133" s="9"/>
      <c r="AM133" s="9"/>
      <c r="AN133" s="9"/>
      <c r="AO133" s="9"/>
      <c r="AP133" s="42"/>
      <c r="AQ133" s="9"/>
      <c r="AR133" s="9"/>
      <c r="AS133" s="9"/>
      <c r="AT133" s="9"/>
      <c r="AU133" s="42"/>
      <c r="AV133" s="9"/>
      <c r="AW133" s="9"/>
      <c r="AX133" s="9"/>
      <c r="AY133" s="9"/>
      <c r="AZ133" s="58"/>
      <c r="BA133" s="59"/>
      <c r="BG133" s="83"/>
      <c r="BO133" s="86"/>
      <c r="BP133" s="87"/>
      <c r="BQ133" s="21"/>
      <c r="BT133" s="68"/>
      <c r="BU133" s="1">
        <v>511</v>
      </c>
    </row>
    <row r="134" spans="1:214" ht="20.25" customHeight="1" thickBot="1" x14ac:dyDescent="0.45">
      <c r="A134" s="1">
        <v>512</v>
      </c>
      <c r="B134" s="22"/>
      <c r="C134" s="22"/>
      <c r="D134" s="22"/>
      <c r="E134" s="8"/>
      <c r="F134" s="85"/>
      <c r="G134" s="8"/>
      <c r="H134" s="22"/>
      <c r="I134" s="8"/>
      <c r="J134" s="22"/>
      <c r="K134" s="8"/>
      <c r="L134" s="22"/>
      <c r="M134" s="8"/>
      <c r="N134" s="22"/>
      <c r="O134" s="8"/>
      <c r="P134" s="22"/>
      <c r="Q134" s="8"/>
      <c r="R134" s="82"/>
      <c r="S134" s="51"/>
      <c r="T134" s="11"/>
      <c r="U134" s="11"/>
      <c r="V134" s="52"/>
      <c r="W134" s="9"/>
      <c r="X134" s="9"/>
      <c r="Y134" s="9"/>
      <c r="Z134" s="9"/>
      <c r="AA134" s="42"/>
      <c r="AB134" s="9"/>
      <c r="AC134" s="9"/>
      <c r="AD134" s="9"/>
      <c r="AE134" s="9"/>
      <c r="AF134" s="42"/>
      <c r="AG134" s="9"/>
      <c r="AH134" s="9"/>
      <c r="AI134" s="9"/>
      <c r="AJ134" s="9"/>
      <c r="AK134" s="9"/>
      <c r="AL134" s="9"/>
      <c r="AM134" s="9"/>
      <c r="AN134" s="9"/>
      <c r="AO134" s="9"/>
      <c r="AP134" s="42"/>
      <c r="AQ134" s="9"/>
      <c r="AR134" s="9"/>
      <c r="AS134" s="9"/>
      <c r="AT134" s="9"/>
      <c r="AU134" s="42"/>
      <c r="AV134" s="9"/>
      <c r="AW134" s="9"/>
      <c r="AX134" s="9"/>
      <c r="AY134" s="9"/>
      <c r="AZ134" s="58"/>
      <c r="BA134" s="59"/>
      <c r="BG134" s="83"/>
      <c r="BO134" s="86"/>
      <c r="BP134" s="87"/>
      <c r="BQ134" s="21"/>
      <c r="BT134" s="68"/>
      <c r="BU134" s="1">
        <v>512</v>
      </c>
    </row>
    <row r="135" spans="1:214" ht="28.5" customHeight="1" thickBot="1" x14ac:dyDescent="0.45">
      <c r="A135" s="1">
        <v>499</v>
      </c>
      <c r="B135" s="817" t="s">
        <v>51</v>
      </c>
      <c r="C135" s="818"/>
      <c r="D135" s="818" t="s">
        <v>35</v>
      </c>
      <c r="E135" s="818"/>
      <c r="F135" s="818"/>
      <c r="G135" s="818"/>
      <c r="H135" s="818"/>
      <c r="I135" s="818"/>
      <c r="J135" s="818"/>
      <c r="K135" s="818"/>
      <c r="L135" s="818"/>
      <c r="M135" s="818"/>
      <c r="N135" s="818"/>
      <c r="O135" s="818"/>
      <c r="P135" s="818"/>
      <c r="Q135" s="818"/>
      <c r="R135" s="23" t="str">
        <f>$V2</f>
        <v>DEL 08 AL 14 ENERO 24</v>
      </c>
      <c r="S135" s="51"/>
      <c r="T135" s="11"/>
      <c r="U135" s="11"/>
      <c r="V135" s="52"/>
      <c r="W135" s="53"/>
      <c r="X135" s="53"/>
      <c r="Y135" s="53"/>
      <c r="Z135" s="54"/>
      <c r="AA135" s="55"/>
      <c r="AB135" s="53"/>
      <c r="AC135" s="53"/>
      <c r="AD135" s="53"/>
      <c r="AE135" s="54"/>
      <c r="AF135" s="56"/>
      <c r="AG135" s="53"/>
      <c r="AH135" s="53"/>
      <c r="AI135" s="53"/>
      <c r="AJ135" s="54"/>
      <c r="AK135" s="57"/>
      <c r="AL135" s="53"/>
      <c r="AM135" s="53"/>
      <c r="AN135" s="53"/>
      <c r="AO135" s="54"/>
      <c r="AP135" s="56"/>
      <c r="AQ135" s="53"/>
      <c r="AR135" s="53"/>
      <c r="AS135" s="53"/>
      <c r="AT135" s="54"/>
      <c r="AU135" s="56"/>
      <c r="AV135" s="53"/>
      <c r="AW135" s="53"/>
      <c r="AX135" s="53"/>
      <c r="AY135" s="54"/>
      <c r="AZ135" s="58"/>
      <c r="BA135" s="59"/>
      <c r="BG135" s="83"/>
      <c r="BO135" s="116"/>
      <c r="BP135" s="67"/>
      <c r="BQ135" s="21"/>
      <c r="BR135" s="74"/>
      <c r="BS135" s="74"/>
      <c r="BT135" s="68"/>
      <c r="BU135" s="1">
        <v>499</v>
      </c>
    </row>
    <row r="136" spans="1:214" ht="14.25" customHeight="1" thickBot="1" x14ac:dyDescent="0.35">
      <c r="A136" s="1">
        <v>500</v>
      </c>
      <c r="B136" s="117"/>
      <c r="C136" s="118"/>
      <c r="D136" s="119"/>
      <c r="E136" s="120" t="s">
        <v>8</v>
      </c>
      <c r="F136" s="121"/>
      <c r="G136" s="120" t="s">
        <v>9</v>
      </c>
      <c r="H136" s="122"/>
      <c r="I136" s="120" t="s">
        <v>9</v>
      </c>
      <c r="J136" s="122"/>
      <c r="K136" s="120" t="s">
        <v>10</v>
      </c>
      <c r="L136" s="122"/>
      <c r="M136" s="120" t="s">
        <v>11</v>
      </c>
      <c r="N136" s="122"/>
      <c r="O136" s="120" t="s">
        <v>12</v>
      </c>
      <c r="P136" s="120"/>
      <c r="Q136" s="122"/>
      <c r="R136" s="123"/>
      <c r="S136" s="51"/>
      <c r="T136" s="11"/>
      <c r="U136" s="11"/>
      <c r="V136" s="52"/>
      <c r="W136" s="53"/>
      <c r="X136" s="53"/>
      <c r="Y136" s="53"/>
      <c r="Z136" s="54"/>
      <c r="AA136" s="55"/>
      <c r="AB136" s="53"/>
      <c r="AC136" s="53"/>
      <c r="AD136" s="53"/>
      <c r="AE136" s="54"/>
      <c r="AF136" s="56"/>
      <c r="AG136" s="53"/>
      <c r="AH136" s="53"/>
      <c r="AI136" s="53"/>
      <c r="AJ136" s="54"/>
      <c r="AK136" s="57"/>
      <c r="AL136" s="53"/>
      <c r="AM136" s="53"/>
      <c r="AN136" s="53"/>
      <c r="AO136" s="54"/>
      <c r="AP136" s="56"/>
      <c r="AQ136" s="53"/>
      <c r="AR136" s="53"/>
      <c r="AS136" s="53"/>
      <c r="AT136" s="54"/>
      <c r="AU136" s="56"/>
      <c r="AV136" s="53"/>
      <c r="AW136" s="53"/>
      <c r="AX136" s="53"/>
      <c r="AY136" s="54"/>
      <c r="AZ136" s="58"/>
      <c r="BA136" s="59"/>
      <c r="BB136" s="124"/>
      <c r="BC136" s="124"/>
      <c r="BD136" s="124"/>
      <c r="BE136" s="124"/>
      <c r="BF136" s="124"/>
      <c r="BG136" s="124"/>
      <c r="BH136" s="124"/>
      <c r="BJ136" s="19"/>
      <c r="BK136" s="19"/>
      <c r="BL136" s="19"/>
      <c r="BM136" s="19"/>
      <c r="BN136" s="124"/>
      <c r="BO136" s="125"/>
      <c r="BP136" s="126"/>
      <c r="BQ136" s="21"/>
      <c r="BR136" s="68"/>
      <c r="BS136" s="68"/>
      <c r="BT136" s="68"/>
      <c r="BU136" s="1">
        <v>500</v>
      </c>
    </row>
    <row r="137" spans="1:214" ht="14.25" customHeight="1" thickBot="1" x14ac:dyDescent="0.35">
      <c r="A137" s="1"/>
      <c r="B137" s="359">
        <v>177</v>
      </c>
      <c r="C137" s="34">
        <v>1</v>
      </c>
      <c r="D137" s="358" t="s">
        <v>163</v>
      </c>
      <c r="E137" s="49">
        <v>1</v>
      </c>
      <c r="F137" s="49"/>
      <c r="G137" s="49">
        <v>1</v>
      </c>
      <c r="H137" s="49"/>
      <c r="I137" s="49">
        <v>1</v>
      </c>
      <c r="J137" s="49"/>
      <c r="K137" s="49">
        <v>1</v>
      </c>
      <c r="L137" s="49"/>
      <c r="M137" s="49">
        <v>1</v>
      </c>
      <c r="N137" s="49"/>
      <c r="O137" s="49">
        <v>1</v>
      </c>
      <c r="P137" s="49"/>
      <c r="Q137" s="49">
        <v>1</v>
      </c>
      <c r="R137" s="50">
        <f t="shared" ref="R137:R140" si="229">IF(Q137=1,1550,850)</f>
        <v>1550</v>
      </c>
      <c r="S137" s="51">
        <f t="shared" ref="S137" si="230">+BH137</f>
        <v>0</v>
      </c>
      <c r="T137" s="11">
        <f t="shared" ref="T137:T144" si="231">+BA137</f>
        <v>1699.9999999999998</v>
      </c>
      <c r="U137" s="52">
        <f t="shared" ref="U137" si="232">+BP137</f>
        <v>0</v>
      </c>
      <c r="V137" s="52" t="str">
        <f t="shared" ref="V137" si="233">+BG137</f>
        <v>B ASIS</v>
      </c>
      <c r="W137" s="53">
        <f t="shared" ref="W137:W144" si="234">(R137-86.16)/6*E137</f>
        <v>243.97333333333333</v>
      </c>
      <c r="X137" s="53">
        <f t="shared" ref="X137:X144" si="235">$Y$2*E137*Q137</f>
        <v>7.18</v>
      </c>
      <c r="Y137" s="53">
        <f t="shared" ref="Y137:Y144" si="236">$Y$2*E137*Q137</f>
        <v>7.18</v>
      </c>
      <c r="Z137" s="54">
        <f t="shared" ref="Z137:Z144" si="237">Y137+X137+W137</f>
        <v>258.33333333333331</v>
      </c>
      <c r="AA137" s="55"/>
      <c r="AB137" s="53">
        <f t="shared" ref="AB137" si="238">(R137-86.16)/6*G137</f>
        <v>243.97333333333333</v>
      </c>
      <c r="AC137" s="53">
        <f t="shared" ref="AC137" si="239">$Y$2*G137*Q137</f>
        <v>7.18</v>
      </c>
      <c r="AD137" s="53">
        <f t="shared" ref="AD137" si="240">$Y$2*G137*Q137</f>
        <v>7.18</v>
      </c>
      <c r="AE137" s="54">
        <f t="shared" ref="AE137" si="241">AD137+AC137+AB137</f>
        <v>258.33333333333331</v>
      </c>
      <c r="AF137" s="56"/>
      <c r="AG137" s="53">
        <f t="shared" ref="AG137" si="242">(R137-86.16)/6*I137</f>
        <v>243.97333333333333</v>
      </c>
      <c r="AH137" s="53">
        <f t="shared" ref="AH137" si="243">$Y$2*I137*Q137</f>
        <v>7.18</v>
      </c>
      <c r="AI137" s="53">
        <f t="shared" ref="AI137" si="244">$Y$2*I137*Q137</f>
        <v>7.18</v>
      </c>
      <c r="AJ137" s="54">
        <f t="shared" ref="AJ137" si="245">AI137+AH137+AG137</f>
        <v>258.33333333333331</v>
      </c>
      <c r="AK137" s="57"/>
      <c r="AL137" s="53">
        <f t="shared" ref="AL137" si="246">(R137-86.16)/6*K137</f>
        <v>243.97333333333333</v>
      </c>
      <c r="AM137" s="53">
        <f t="shared" ref="AM137" si="247">$Y$2*K137*Q137</f>
        <v>7.18</v>
      </c>
      <c r="AN137" s="53">
        <f t="shared" ref="AN137" si="248">$Y$2*K137*Q137</f>
        <v>7.18</v>
      </c>
      <c r="AO137" s="54">
        <f t="shared" ref="AO137" si="249">AN137+AM137+AL137</f>
        <v>258.33333333333331</v>
      </c>
      <c r="AP137" s="56"/>
      <c r="AQ137" s="53">
        <f t="shared" ref="AQ137" si="250">(R137-86.16)/6*M137</f>
        <v>243.97333333333333</v>
      </c>
      <c r="AR137" s="53">
        <f t="shared" ref="AR137" si="251">$Y$2*M137*Q137</f>
        <v>7.18</v>
      </c>
      <c r="AS137" s="53">
        <f t="shared" ref="AS137" si="252">$Y$2*M137*Q137</f>
        <v>7.18</v>
      </c>
      <c r="AT137" s="54">
        <f t="shared" ref="AT137" si="253">AS137+AR137+AQ137</f>
        <v>258.33333333333331</v>
      </c>
      <c r="AU137" s="56"/>
      <c r="AV137" s="53">
        <f t="shared" ref="AV137" si="254">(R137-86.16)/6*O137</f>
        <v>243.97333333333333</v>
      </c>
      <c r="AW137" s="53">
        <f t="shared" ref="AW137" si="255">$Y$2*O137*Q137</f>
        <v>7.18</v>
      </c>
      <c r="AX137" s="53">
        <f t="shared" ref="AX137" si="256">$Y$2*O137*Q137</f>
        <v>7.18</v>
      </c>
      <c r="AY137" s="54">
        <f t="shared" ref="AY137" si="257">AX137+AW137+AV137</f>
        <v>258.33333333333331</v>
      </c>
      <c r="AZ137" s="58">
        <f t="shared" ref="AZ137:AZ143" si="258">+AY137+AT137+AO137++AJ137+AE137+Z137</f>
        <v>1549.9999999999998</v>
      </c>
      <c r="BA137" s="59">
        <f t="shared" ref="BA137:BA144" si="259">((AZ137-BB137-BC137-BD137-BE137-BF137)+BI137+BJ137+BK137+BL137+BM137+BN137+BO137)</f>
        <v>1699.9999999999998</v>
      </c>
      <c r="BB137" s="139"/>
      <c r="BC137" s="139"/>
      <c r="BD137" s="139"/>
      <c r="BE137" s="139"/>
      <c r="BF137" s="139"/>
      <c r="BG137" s="61" t="s">
        <v>174</v>
      </c>
      <c r="BJ137" s="63">
        <v>150</v>
      </c>
      <c r="BK137" s="19"/>
      <c r="BL137" s="19"/>
      <c r="BM137" s="19"/>
      <c r="BN137" s="124"/>
      <c r="BO137" s="125"/>
      <c r="BP137" s="126"/>
      <c r="BQ137" s="21"/>
      <c r="BR137" s="68"/>
      <c r="BS137" s="68"/>
      <c r="BT137" s="68"/>
      <c r="BU137" s="1"/>
    </row>
    <row r="138" spans="1:214" s="69" customFormat="1" ht="15.75" customHeight="1" thickBot="1" x14ac:dyDescent="0.35">
      <c r="A138" s="1">
        <v>501</v>
      </c>
      <c r="B138" s="275">
        <v>4</v>
      </c>
      <c r="C138" s="34">
        <v>2</v>
      </c>
      <c r="D138" s="274" t="s">
        <v>52</v>
      </c>
      <c r="E138" s="49">
        <v>1</v>
      </c>
      <c r="F138" s="49"/>
      <c r="G138" s="49">
        <v>1</v>
      </c>
      <c r="H138" s="49"/>
      <c r="I138" s="49">
        <v>1</v>
      </c>
      <c r="J138" s="49"/>
      <c r="K138" s="49">
        <v>1</v>
      </c>
      <c r="L138" s="49"/>
      <c r="M138" s="49">
        <v>1</v>
      </c>
      <c r="N138" s="49"/>
      <c r="O138" s="49">
        <v>1</v>
      </c>
      <c r="P138" s="49"/>
      <c r="Q138" s="49">
        <v>1</v>
      </c>
      <c r="R138" s="339">
        <f>IF(Q138=1,8000,850)</f>
        <v>8000</v>
      </c>
      <c r="S138" s="51">
        <f t="shared" ref="S138:S144" si="260">+BH138</f>
        <v>0</v>
      </c>
      <c r="T138" s="11">
        <f t="shared" si="231"/>
        <v>7999.9999999999991</v>
      </c>
      <c r="U138" s="52">
        <f t="shared" ref="U138:U144" si="261">+BP138</f>
        <v>0</v>
      </c>
      <c r="V138" s="52">
        <f t="shared" ref="V138:V144" si="262">+BG138</f>
        <v>0</v>
      </c>
      <c r="W138" s="53">
        <f t="shared" si="234"/>
        <v>1318.9733333333334</v>
      </c>
      <c r="X138" s="53">
        <f t="shared" si="235"/>
        <v>7.18</v>
      </c>
      <c r="Y138" s="53">
        <f t="shared" si="236"/>
        <v>7.18</v>
      </c>
      <c r="Z138" s="54">
        <f t="shared" si="237"/>
        <v>1333.3333333333333</v>
      </c>
      <c r="AA138" s="55"/>
      <c r="AB138" s="53">
        <f t="shared" ref="AB138:AB144" si="263">(R138-86.16)/6*G138</f>
        <v>1318.9733333333334</v>
      </c>
      <c r="AC138" s="53">
        <f t="shared" ref="AC138:AC144" si="264">$Y$2*G138*Q138</f>
        <v>7.18</v>
      </c>
      <c r="AD138" s="53">
        <f t="shared" ref="AD138:AD144" si="265">$Y$2*G138*Q138</f>
        <v>7.18</v>
      </c>
      <c r="AE138" s="54">
        <f t="shared" ref="AE138:AE144" si="266">AD138+AC138+AB138</f>
        <v>1333.3333333333333</v>
      </c>
      <c r="AF138" s="56"/>
      <c r="AG138" s="53">
        <f t="shared" ref="AG138:AG144" si="267">(R138-86.16)/6*I138</f>
        <v>1318.9733333333334</v>
      </c>
      <c r="AH138" s="53">
        <f t="shared" ref="AH138:AH144" si="268">$Y$2*I138*Q138</f>
        <v>7.18</v>
      </c>
      <c r="AI138" s="53">
        <f t="shared" ref="AI138:AI144" si="269">$Y$2*I138*Q138</f>
        <v>7.18</v>
      </c>
      <c r="AJ138" s="54">
        <f t="shared" ref="AJ138:AJ144" si="270">AI138+AH138+AG138</f>
        <v>1333.3333333333333</v>
      </c>
      <c r="AK138" s="57"/>
      <c r="AL138" s="53">
        <f t="shared" ref="AL138:AL144" si="271">(R138-86.16)/6*K138</f>
        <v>1318.9733333333334</v>
      </c>
      <c r="AM138" s="53">
        <f t="shared" ref="AM138:AM144" si="272">$Y$2*K138*Q138</f>
        <v>7.18</v>
      </c>
      <c r="AN138" s="53">
        <f t="shared" ref="AN138:AN144" si="273">$Y$2*K138*Q138</f>
        <v>7.18</v>
      </c>
      <c r="AO138" s="54">
        <f t="shared" ref="AO138:AO144" si="274">AN138+AM138+AL138</f>
        <v>1333.3333333333333</v>
      </c>
      <c r="AP138" s="56"/>
      <c r="AQ138" s="53">
        <f t="shared" ref="AQ138:AQ144" si="275">(R138-86.16)/6*M138</f>
        <v>1318.9733333333334</v>
      </c>
      <c r="AR138" s="53">
        <f t="shared" ref="AR138:AR144" si="276">$Y$2*M138*Q138</f>
        <v>7.18</v>
      </c>
      <c r="AS138" s="53">
        <f t="shared" ref="AS138:AS144" si="277">$Y$2*M138*Q138</f>
        <v>7.18</v>
      </c>
      <c r="AT138" s="54">
        <f t="shared" ref="AT138:AT144" si="278">AS138+AR138+AQ138</f>
        <v>1333.3333333333333</v>
      </c>
      <c r="AU138" s="56"/>
      <c r="AV138" s="53">
        <f t="shared" ref="AV138:AV144" si="279">(R138-86.16)/6*O138</f>
        <v>1318.9733333333334</v>
      </c>
      <c r="AW138" s="53">
        <f t="shared" ref="AW138:AW144" si="280">$Y$2*O138*Q138</f>
        <v>7.18</v>
      </c>
      <c r="AX138" s="53">
        <f t="shared" ref="AX138:AX144" si="281">$Y$2*O138*Q138</f>
        <v>7.18</v>
      </c>
      <c r="AY138" s="54">
        <f t="shared" ref="AY138:AY144" si="282">AX138+AW138+AV138</f>
        <v>1333.3333333333333</v>
      </c>
      <c r="AZ138" s="58">
        <f t="shared" si="258"/>
        <v>7999.9999999999991</v>
      </c>
      <c r="BA138" s="59">
        <f t="shared" si="259"/>
        <v>7999.9999999999991</v>
      </c>
      <c r="BB138" s="139"/>
      <c r="BC138" s="139"/>
      <c r="BD138" s="139"/>
      <c r="BE138" s="139"/>
      <c r="BF138" s="139"/>
      <c r="BG138" s="61"/>
      <c r="BH138" s="17"/>
      <c r="BI138" s="18"/>
      <c r="BJ138" s="63"/>
      <c r="BK138" s="18"/>
      <c r="BL138" s="64"/>
      <c r="BM138" s="18"/>
      <c r="BN138" s="18"/>
      <c r="BO138" s="66"/>
      <c r="BP138" s="66"/>
      <c r="BQ138" s="21"/>
      <c r="BR138" s="74"/>
      <c r="BS138" s="74"/>
      <c r="BT138" s="22"/>
      <c r="BU138" s="1">
        <v>501</v>
      </c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</row>
    <row r="139" spans="1:214" s="69" customFormat="1" ht="15.75" customHeight="1" thickBot="1" x14ac:dyDescent="0.35">
      <c r="A139" s="1"/>
      <c r="B139" s="374">
        <v>72</v>
      </c>
      <c r="C139" s="34">
        <v>3</v>
      </c>
      <c r="D139" s="375" t="s">
        <v>86</v>
      </c>
      <c r="E139" s="49">
        <v>1</v>
      </c>
      <c r="F139" s="49"/>
      <c r="G139" s="49">
        <v>1</v>
      </c>
      <c r="H139" s="49"/>
      <c r="I139" s="49">
        <v>1</v>
      </c>
      <c r="J139" s="49"/>
      <c r="K139" s="49">
        <v>1</v>
      </c>
      <c r="L139" s="49"/>
      <c r="M139" s="49">
        <v>1</v>
      </c>
      <c r="N139" s="49"/>
      <c r="O139" s="49">
        <v>1</v>
      </c>
      <c r="P139" s="49"/>
      <c r="Q139" s="49">
        <v>1</v>
      </c>
      <c r="R139" s="50">
        <f t="shared" si="229"/>
        <v>1550</v>
      </c>
      <c r="S139" s="51">
        <f t="shared" ref="S139" si="283">+BH139</f>
        <v>0</v>
      </c>
      <c r="T139" s="11">
        <f t="shared" ref="T139" si="284">+BA139</f>
        <v>1949.9999999999998</v>
      </c>
      <c r="U139" s="52">
        <f t="shared" ref="U139" si="285">+BP139</f>
        <v>0</v>
      </c>
      <c r="V139" s="52" t="str">
        <f t="shared" ref="V139" si="286">+BG139</f>
        <v>BONO+B ASIS</v>
      </c>
      <c r="W139" s="53">
        <f t="shared" si="234"/>
        <v>243.97333333333333</v>
      </c>
      <c r="X139" s="53">
        <f t="shared" si="235"/>
        <v>7.18</v>
      </c>
      <c r="Y139" s="53">
        <f t="shared" si="236"/>
        <v>7.18</v>
      </c>
      <c r="Z139" s="54">
        <f t="shared" si="237"/>
        <v>258.33333333333331</v>
      </c>
      <c r="AA139" s="55"/>
      <c r="AB139" s="53">
        <f t="shared" ref="AB139" si="287">(R139-86.16)/6*G139</f>
        <v>243.97333333333333</v>
      </c>
      <c r="AC139" s="53">
        <f t="shared" ref="AC139" si="288">$Y$2*G139*Q139</f>
        <v>7.18</v>
      </c>
      <c r="AD139" s="53">
        <f t="shared" ref="AD139" si="289">$Y$2*G139*Q139</f>
        <v>7.18</v>
      </c>
      <c r="AE139" s="54">
        <f t="shared" ref="AE139" si="290">AD139+AC139+AB139</f>
        <v>258.33333333333331</v>
      </c>
      <c r="AF139" s="56"/>
      <c r="AG139" s="53">
        <f t="shared" ref="AG139" si="291">(R139-86.16)/6*I139</f>
        <v>243.97333333333333</v>
      </c>
      <c r="AH139" s="53">
        <f t="shared" ref="AH139" si="292">$Y$2*I139*Q139</f>
        <v>7.18</v>
      </c>
      <c r="AI139" s="53">
        <f t="shared" ref="AI139" si="293">$Y$2*I139*Q139</f>
        <v>7.18</v>
      </c>
      <c r="AJ139" s="54">
        <f t="shared" ref="AJ139" si="294">AI139+AH139+AG139</f>
        <v>258.33333333333331</v>
      </c>
      <c r="AK139" s="57"/>
      <c r="AL139" s="53">
        <f t="shared" ref="AL139" si="295">(R139-86.16)/6*K139</f>
        <v>243.97333333333333</v>
      </c>
      <c r="AM139" s="53">
        <f t="shared" ref="AM139" si="296">$Y$2*K139*Q139</f>
        <v>7.18</v>
      </c>
      <c r="AN139" s="53">
        <f t="shared" ref="AN139" si="297">$Y$2*K139*Q139</f>
        <v>7.18</v>
      </c>
      <c r="AO139" s="54">
        <f t="shared" ref="AO139" si="298">AN139+AM139+AL139</f>
        <v>258.33333333333331</v>
      </c>
      <c r="AP139" s="56"/>
      <c r="AQ139" s="53">
        <f t="shared" ref="AQ139" si="299">(R139-86.16)/6*M139</f>
        <v>243.97333333333333</v>
      </c>
      <c r="AR139" s="53">
        <f t="shared" ref="AR139" si="300">$Y$2*M139*Q139</f>
        <v>7.18</v>
      </c>
      <c r="AS139" s="53">
        <f t="shared" ref="AS139" si="301">$Y$2*M139*Q139</f>
        <v>7.18</v>
      </c>
      <c r="AT139" s="54">
        <f t="shared" ref="AT139" si="302">AS139+AR139+AQ139</f>
        <v>258.33333333333331</v>
      </c>
      <c r="AU139" s="56"/>
      <c r="AV139" s="53">
        <f t="shared" ref="AV139" si="303">(R139-86.16)/6*O139</f>
        <v>243.97333333333333</v>
      </c>
      <c r="AW139" s="53">
        <f t="shared" ref="AW139" si="304">$Y$2*O139*Q139</f>
        <v>7.18</v>
      </c>
      <c r="AX139" s="53">
        <f t="shared" ref="AX139" si="305">$Y$2*O139*Q139</f>
        <v>7.18</v>
      </c>
      <c r="AY139" s="54">
        <f t="shared" ref="AY139" si="306">AX139+AW139+AV139</f>
        <v>258.33333333333331</v>
      </c>
      <c r="AZ139" s="58">
        <f t="shared" si="258"/>
        <v>1549.9999999999998</v>
      </c>
      <c r="BA139" s="59">
        <f t="shared" si="259"/>
        <v>1949.9999999999998</v>
      </c>
      <c r="BB139" s="60"/>
      <c r="BC139" s="60"/>
      <c r="BD139" s="60"/>
      <c r="BE139" s="60"/>
      <c r="BF139" s="60"/>
      <c r="BG139" s="61" t="s">
        <v>133</v>
      </c>
      <c r="BH139" s="62"/>
      <c r="BI139" s="63">
        <v>250</v>
      </c>
      <c r="BJ139" s="63">
        <v>150</v>
      </c>
      <c r="BK139" s="64"/>
      <c r="BL139" s="63"/>
      <c r="BM139" s="65"/>
      <c r="BN139" s="65"/>
      <c r="BO139" s="66"/>
      <c r="BP139" s="67"/>
      <c r="BQ139" s="21"/>
      <c r="BR139" s="48"/>
      <c r="BS139" s="48"/>
      <c r="BT139" s="68"/>
      <c r="BU139" s="1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</row>
    <row r="140" spans="1:214" s="69" customFormat="1" ht="15.75" customHeight="1" thickBot="1" x14ac:dyDescent="0.35">
      <c r="A140" s="1"/>
      <c r="B140" s="374">
        <v>75</v>
      </c>
      <c r="C140" s="34">
        <v>5</v>
      </c>
      <c r="D140" s="375" t="s">
        <v>91</v>
      </c>
      <c r="E140" s="49">
        <v>1</v>
      </c>
      <c r="F140" s="49"/>
      <c r="G140" s="49">
        <v>1</v>
      </c>
      <c r="H140" s="49"/>
      <c r="I140" s="49">
        <v>1</v>
      </c>
      <c r="J140" s="49"/>
      <c r="K140" s="49">
        <v>1</v>
      </c>
      <c r="L140" s="49"/>
      <c r="M140" s="49">
        <v>1</v>
      </c>
      <c r="N140" s="49"/>
      <c r="O140" s="49">
        <v>1</v>
      </c>
      <c r="P140" s="49"/>
      <c r="Q140" s="49">
        <v>1</v>
      </c>
      <c r="R140" s="50">
        <f t="shared" si="229"/>
        <v>1550</v>
      </c>
      <c r="S140" s="51">
        <f t="shared" si="260"/>
        <v>0</v>
      </c>
      <c r="T140" s="11">
        <f t="shared" si="231"/>
        <v>1949.9999999999998</v>
      </c>
      <c r="U140" s="52">
        <f t="shared" si="261"/>
        <v>0</v>
      </c>
      <c r="V140" s="52" t="str">
        <f t="shared" si="262"/>
        <v>BONO+B ASIS</v>
      </c>
      <c r="W140" s="53">
        <f t="shared" si="234"/>
        <v>243.97333333333333</v>
      </c>
      <c r="X140" s="53">
        <f t="shared" si="235"/>
        <v>7.18</v>
      </c>
      <c r="Y140" s="53">
        <f t="shared" si="236"/>
        <v>7.18</v>
      </c>
      <c r="Z140" s="54">
        <f t="shared" si="237"/>
        <v>258.33333333333331</v>
      </c>
      <c r="AA140" s="55"/>
      <c r="AB140" s="53">
        <f t="shared" si="263"/>
        <v>243.97333333333333</v>
      </c>
      <c r="AC140" s="53">
        <f t="shared" si="264"/>
        <v>7.18</v>
      </c>
      <c r="AD140" s="53">
        <f t="shared" si="265"/>
        <v>7.18</v>
      </c>
      <c r="AE140" s="54">
        <f t="shared" si="266"/>
        <v>258.33333333333331</v>
      </c>
      <c r="AF140" s="56"/>
      <c r="AG140" s="53">
        <f t="shared" si="267"/>
        <v>243.97333333333333</v>
      </c>
      <c r="AH140" s="53">
        <f t="shared" si="268"/>
        <v>7.18</v>
      </c>
      <c r="AI140" s="53">
        <f t="shared" si="269"/>
        <v>7.18</v>
      </c>
      <c r="AJ140" s="54">
        <f t="shared" si="270"/>
        <v>258.33333333333331</v>
      </c>
      <c r="AK140" s="57"/>
      <c r="AL140" s="53">
        <f t="shared" si="271"/>
        <v>243.97333333333333</v>
      </c>
      <c r="AM140" s="53">
        <f t="shared" si="272"/>
        <v>7.18</v>
      </c>
      <c r="AN140" s="53">
        <f t="shared" si="273"/>
        <v>7.18</v>
      </c>
      <c r="AO140" s="54">
        <f t="shared" si="274"/>
        <v>258.33333333333331</v>
      </c>
      <c r="AP140" s="56"/>
      <c r="AQ140" s="53">
        <f t="shared" si="275"/>
        <v>243.97333333333333</v>
      </c>
      <c r="AR140" s="53">
        <f t="shared" si="276"/>
        <v>7.18</v>
      </c>
      <c r="AS140" s="53">
        <f t="shared" si="277"/>
        <v>7.18</v>
      </c>
      <c r="AT140" s="54">
        <f t="shared" si="278"/>
        <v>258.33333333333331</v>
      </c>
      <c r="AU140" s="56"/>
      <c r="AV140" s="53">
        <f t="shared" si="279"/>
        <v>243.97333333333333</v>
      </c>
      <c r="AW140" s="53">
        <f t="shared" si="280"/>
        <v>7.18</v>
      </c>
      <c r="AX140" s="53">
        <f t="shared" si="281"/>
        <v>7.18</v>
      </c>
      <c r="AY140" s="54">
        <f t="shared" si="282"/>
        <v>258.33333333333331</v>
      </c>
      <c r="AZ140" s="58">
        <f t="shared" si="258"/>
        <v>1549.9999999999998</v>
      </c>
      <c r="BA140" s="59">
        <f t="shared" si="259"/>
        <v>1949.9999999999998</v>
      </c>
      <c r="BB140" s="139"/>
      <c r="BC140" s="139"/>
      <c r="BD140" s="139"/>
      <c r="BE140" s="139"/>
      <c r="BF140" s="139"/>
      <c r="BG140" s="61" t="s">
        <v>133</v>
      </c>
      <c r="BH140" s="17"/>
      <c r="BI140" s="18">
        <v>250</v>
      </c>
      <c r="BJ140" s="63">
        <v>150</v>
      </c>
      <c r="BK140" s="18"/>
      <c r="BL140" s="64"/>
      <c r="BM140" s="18"/>
      <c r="BN140" s="18"/>
      <c r="BO140" s="66"/>
      <c r="BP140" s="66"/>
      <c r="BQ140" s="21"/>
      <c r="BR140" s="74"/>
      <c r="BS140" s="74"/>
      <c r="BT140" s="22"/>
      <c r="BU140" s="1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</row>
    <row r="141" spans="1:214" s="69" customFormat="1" ht="15.75" customHeight="1" thickBot="1" x14ac:dyDescent="0.35">
      <c r="A141" s="1"/>
      <c r="B141" s="275">
        <v>159</v>
      </c>
      <c r="C141" s="34">
        <v>6</v>
      </c>
      <c r="D141" s="274" t="s">
        <v>139</v>
      </c>
      <c r="E141" s="49">
        <v>1</v>
      </c>
      <c r="F141" s="49"/>
      <c r="G141" s="49">
        <v>1</v>
      </c>
      <c r="H141" s="49"/>
      <c r="I141" s="49">
        <v>1</v>
      </c>
      <c r="J141" s="49"/>
      <c r="K141" s="49">
        <v>1</v>
      </c>
      <c r="L141" s="49"/>
      <c r="M141" s="49">
        <v>1</v>
      </c>
      <c r="N141" s="49"/>
      <c r="O141" s="49">
        <v>1</v>
      </c>
      <c r="P141" s="49"/>
      <c r="Q141" s="49">
        <v>1</v>
      </c>
      <c r="R141" s="339">
        <v>6000</v>
      </c>
      <c r="S141" s="51">
        <f t="shared" si="260"/>
        <v>0</v>
      </c>
      <c r="T141" s="11">
        <f t="shared" si="231"/>
        <v>6000</v>
      </c>
      <c r="U141" s="52">
        <f t="shared" si="261"/>
        <v>0</v>
      </c>
      <c r="V141" s="52">
        <f t="shared" si="262"/>
        <v>0</v>
      </c>
      <c r="W141" s="53">
        <f t="shared" si="234"/>
        <v>985.64</v>
      </c>
      <c r="X141" s="53">
        <f t="shared" si="235"/>
        <v>7.18</v>
      </c>
      <c r="Y141" s="53">
        <f t="shared" si="236"/>
        <v>7.18</v>
      </c>
      <c r="Z141" s="54">
        <f t="shared" si="237"/>
        <v>1000</v>
      </c>
      <c r="AA141" s="55"/>
      <c r="AB141" s="53">
        <f t="shared" si="263"/>
        <v>985.64</v>
      </c>
      <c r="AC141" s="53">
        <f t="shared" si="264"/>
        <v>7.18</v>
      </c>
      <c r="AD141" s="53">
        <f t="shared" si="265"/>
        <v>7.18</v>
      </c>
      <c r="AE141" s="54">
        <f t="shared" si="266"/>
        <v>1000</v>
      </c>
      <c r="AF141" s="56"/>
      <c r="AG141" s="53">
        <f t="shared" si="267"/>
        <v>985.64</v>
      </c>
      <c r="AH141" s="53">
        <f t="shared" si="268"/>
        <v>7.18</v>
      </c>
      <c r="AI141" s="53">
        <f t="shared" si="269"/>
        <v>7.18</v>
      </c>
      <c r="AJ141" s="54">
        <f t="shared" si="270"/>
        <v>1000</v>
      </c>
      <c r="AK141" s="57"/>
      <c r="AL141" s="53">
        <f t="shared" si="271"/>
        <v>985.64</v>
      </c>
      <c r="AM141" s="53">
        <f t="shared" si="272"/>
        <v>7.18</v>
      </c>
      <c r="AN141" s="53">
        <f t="shared" si="273"/>
        <v>7.18</v>
      </c>
      <c r="AO141" s="54">
        <f t="shared" si="274"/>
        <v>1000</v>
      </c>
      <c r="AP141" s="56"/>
      <c r="AQ141" s="53">
        <f t="shared" si="275"/>
        <v>985.64</v>
      </c>
      <c r="AR141" s="53">
        <f t="shared" si="276"/>
        <v>7.18</v>
      </c>
      <c r="AS141" s="53">
        <f t="shared" si="277"/>
        <v>7.18</v>
      </c>
      <c r="AT141" s="54">
        <f t="shared" si="278"/>
        <v>1000</v>
      </c>
      <c r="AU141" s="56"/>
      <c r="AV141" s="53">
        <f t="shared" si="279"/>
        <v>985.64</v>
      </c>
      <c r="AW141" s="53">
        <f t="shared" si="280"/>
        <v>7.18</v>
      </c>
      <c r="AX141" s="53">
        <f t="shared" si="281"/>
        <v>7.18</v>
      </c>
      <c r="AY141" s="54">
        <f t="shared" si="282"/>
        <v>1000</v>
      </c>
      <c r="AZ141" s="58">
        <f t="shared" si="258"/>
        <v>6000</v>
      </c>
      <c r="BA141" s="59">
        <f t="shared" si="259"/>
        <v>6000</v>
      </c>
      <c r="BB141" s="139"/>
      <c r="BC141" s="139"/>
      <c r="BD141" s="139"/>
      <c r="BE141" s="139"/>
      <c r="BF141" s="139"/>
      <c r="BG141" s="61"/>
      <c r="BH141" s="17"/>
      <c r="BI141" s="18"/>
      <c r="BJ141" s="63"/>
      <c r="BK141" s="18"/>
      <c r="BL141" s="64"/>
      <c r="BM141" s="18"/>
      <c r="BN141" s="18"/>
      <c r="BO141" s="66"/>
      <c r="BP141" s="66"/>
      <c r="BQ141" s="21"/>
      <c r="BR141" s="74"/>
      <c r="BS141" s="74"/>
      <c r="BT141" s="22"/>
      <c r="BU141" s="1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</row>
    <row r="142" spans="1:214" ht="17.25" customHeight="1" thickBot="1" x14ac:dyDescent="0.35">
      <c r="A142" s="1">
        <v>487</v>
      </c>
      <c r="B142" s="275">
        <v>37</v>
      </c>
      <c r="C142" s="34">
        <v>7</v>
      </c>
      <c r="D142" s="274" t="s">
        <v>55</v>
      </c>
      <c r="E142" s="49">
        <v>1</v>
      </c>
      <c r="F142" s="49"/>
      <c r="G142" s="49">
        <v>1</v>
      </c>
      <c r="H142" s="49"/>
      <c r="I142" s="49">
        <v>1</v>
      </c>
      <c r="J142" s="49"/>
      <c r="K142" s="49">
        <v>1</v>
      </c>
      <c r="L142" s="49"/>
      <c r="M142" s="49">
        <v>1</v>
      </c>
      <c r="N142" s="49"/>
      <c r="O142" s="49">
        <v>1</v>
      </c>
      <c r="P142" s="49"/>
      <c r="Q142" s="49">
        <v>1</v>
      </c>
      <c r="R142" s="339">
        <v>1700</v>
      </c>
      <c r="S142" s="51">
        <f t="shared" si="260"/>
        <v>0</v>
      </c>
      <c r="T142" s="11">
        <f t="shared" si="231"/>
        <v>2150</v>
      </c>
      <c r="U142" s="52">
        <f t="shared" si="261"/>
        <v>0</v>
      </c>
      <c r="V142" s="52" t="str">
        <f t="shared" si="262"/>
        <v>BONO+B ASIS</v>
      </c>
      <c r="W142" s="53">
        <f t="shared" si="234"/>
        <v>268.9733333333333</v>
      </c>
      <c r="X142" s="53">
        <f t="shared" si="235"/>
        <v>7.18</v>
      </c>
      <c r="Y142" s="53">
        <f t="shared" si="236"/>
        <v>7.18</v>
      </c>
      <c r="Z142" s="54">
        <f t="shared" si="237"/>
        <v>283.33333333333331</v>
      </c>
      <c r="AA142" s="55"/>
      <c r="AB142" s="53">
        <f t="shared" si="263"/>
        <v>268.9733333333333</v>
      </c>
      <c r="AC142" s="53">
        <f t="shared" si="264"/>
        <v>7.18</v>
      </c>
      <c r="AD142" s="53">
        <f t="shared" si="265"/>
        <v>7.18</v>
      </c>
      <c r="AE142" s="54">
        <f t="shared" si="266"/>
        <v>283.33333333333331</v>
      </c>
      <c r="AF142" s="56"/>
      <c r="AG142" s="53">
        <f t="shared" si="267"/>
        <v>268.9733333333333</v>
      </c>
      <c r="AH142" s="53">
        <f t="shared" si="268"/>
        <v>7.18</v>
      </c>
      <c r="AI142" s="53">
        <f t="shared" si="269"/>
        <v>7.18</v>
      </c>
      <c r="AJ142" s="54">
        <f t="shared" si="270"/>
        <v>283.33333333333331</v>
      </c>
      <c r="AK142" s="57"/>
      <c r="AL142" s="53">
        <f t="shared" si="271"/>
        <v>268.9733333333333</v>
      </c>
      <c r="AM142" s="53">
        <f t="shared" si="272"/>
        <v>7.18</v>
      </c>
      <c r="AN142" s="53">
        <f t="shared" si="273"/>
        <v>7.18</v>
      </c>
      <c r="AO142" s="54">
        <f t="shared" si="274"/>
        <v>283.33333333333331</v>
      </c>
      <c r="AP142" s="56"/>
      <c r="AQ142" s="53">
        <f t="shared" si="275"/>
        <v>268.9733333333333</v>
      </c>
      <c r="AR142" s="53">
        <f t="shared" si="276"/>
        <v>7.18</v>
      </c>
      <c r="AS142" s="53">
        <f t="shared" si="277"/>
        <v>7.18</v>
      </c>
      <c r="AT142" s="54">
        <f t="shared" si="278"/>
        <v>283.33333333333331</v>
      </c>
      <c r="AU142" s="56"/>
      <c r="AV142" s="53">
        <f t="shared" si="279"/>
        <v>268.9733333333333</v>
      </c>
      <c r="AW142" s="53">
        <f t="shared" si="280"/>
        <v>7.18</v>
      </c>
      <c r="AX142" s="53">
        <f t="shared" si="281"/>
        <v>7.18</v>
      </c>
      <c r="AY142" s="54">
        <f t="shared" si="282"/>
        <v>283.33333333333331</v>
      </c>
      <c r="AZ142" s="58">
        <f t="shared" si="258"/>
        <v>1699.9999999999998</v>
      </c>
      <c r="BA142" s="59">
        <f t="shared" si="259"/>
        <v>2150</v>
      </c>
      <c r="BB142" s="60"/>
      <c r="BC142" s="60"/>
      <c r="BD142" s="60"/>
      <c r="BE142" s="60"/>
      <c r="BF142" s="60"/>
      <c r="BG142" s="61" t="s">
        <v>133</v>
      </c>
      <c r="BH142" s="62"/>
      <c r="BI142" s="63">
        <v>300</v>
      </c>
      <c r="BJ142" s="63">
        <v>150</v>
      </c>
      <c r="BK142" s="64"/>
      <c r="BL142" s="63"/>
      <c r="BM142" s="65"/>
      <c r="BN142" s="65"/>
      <c r="BO142" s="66"/>
      <c r="BP142" s="67"/>
      <c r="BQ142" s="21"/>
      <c r="BR142" s="48"/>
      <c r="BS142" s="48"/>
      <c r="BT142" s="68"/>
      <c r="BU142" s="1">
        <v>487</v>
      </c>
      <c r="GG142" s="69"/>
      <c r="GH142" s="69"/>
      <c r="GI142" s="69"/>
      <c r="GJ142" s="69"/>
      <c r="GK142" s="69"/>
      <c r="GL142" s="69"/>
      <c r="GM142" s="69"/>
      <c r="GN142" s="69"/>
      <c r="GO142" s="69"/>
      <c r="GP142" s="69"/>
      <c r="GQ142" s="69"/>
      <c r="GR142" s="69"/>
      <c r="GS142" s="69"/>
      <c r="GT142" s="69"/>
      <c r="GU142" s="69"/>
      <c r="GV142" s="69"/>
      <c r="GW142" s="69"/>
      <c r="GX142" s="69"/>
      <c r="GY142" s="69"/>
      <c r="GZ142" s="69"/>
      <c r="HA142" s="69"/>
      <c r="HB142" s="69"/>
      <c r="HC142" s="69"/>
      <c r="HD142" s="69"/>
      <c r="HE142" s="69"/>
      <c r="HF142" s="69"/>
    </row>
    <row r="143" spans="1:214" s="69" customFormat="1" ht="15.75" customHeight="1" thickBot="1" x14ac:dyDescent="0.35">
      <c r="A143" s="1"/>
      <c r="B143" s="374">
        <v>81</v>
      </c>
      <c r="C143" s="34">
        <v>8</v>
      </c>
      <c r="D143" s="375" t="s">
        <v>93</v>
      </c>
      <c r="E143" s="49">
        <v>1</v>
      </c>
      <c r="F143" s="49"/>
      <c r="G143" s="49">
        <v>1</v>
      </c>
      <c r="H143" s="49"/>
      <c r="I143" s="49">
        <v>1</v>
      </c>
      <c r="J143" s="49"/>
      <c r="K143" s="49">
        <v>1</v>
      </c>
      <c r="L143" s="49"/>
      <c r="M143" s="49">
        <v>1</v>
      </c>
      <c r="N143" s="49"/>
      <c r="O143" s="49">
        <v>1</v>
      </c>
      <c r="P143" s="49"/>
      <c r="Q143" s="49">
        <v>1</v>
      </c>
      <c r="R143" s="50">
        <f t="shared" ref="R143" si="307">IF(Q143=1,1550,850)</f>
        <v>1550</v>
      </c>
      <c r="S143" s="51">
        <f t="shared" ref="S143" si="308">+BH143</f>
        <v>0</v>
      </c>
      <c r="T143" s="11">
        <f t="shared" si="231"/>
        <v>1949.9999999999998</v>
      </c>
      <c r="U143" s="52">
        <f t="shared" ref="U143" si="309">+BP143</f>
        <v>0</v>
      </c>
      <c r="V143" s="52" t="str">
        <f t="shared" ref="V143" si="310">+BG143</f>
        <v>BONO+B ASIS</v>
      </c>
      <c r="W143" s="53">
        <f t="shared" si="234"/>
        <v>243.97333333333333</v>
      </c>
      <c r="X143" s="53">
        <f t="shared" si="235"/>
        <v>7.18</v>
      </c>
      <c r="Y143" s="53">
        <f t="shared" si="236"/>
        <v>7.18</v>
      </c>
      <c r="Z143" s="54">
        <f t="shared" si="237"/>
        <v>258.33333333333331</v>
      </c>
      <c r="AA143" s="55"/>
      <c r="AB143" s="53">
        <f t="shared" ref="AB143" si="311">(R143-86.16)/6*G143</f>
        <v>243.97333333333333</v>
      </c>
      <c r="AC143" s="53">
        <f t="shared" ref="AC143" si="312">$Y$2*G143*Q143</f>
        <v>7.18</v>
      </c>
      <c r="AD143" s="53">
        <f t="shared" ref="AD143" si="313">$Y$2*G143*Q143</f>
        <v>7.18</v>
      </c>
      <c r="AE143" s="54">
        <f t="shared" ref="AE143" si="314">AD143+AC143+AB143</f>
        <v>258.33333333333331</v>
      </c>
      <c r="AF143" s="56"/>
      <c r="AG143" s="53">
        <f t="shared" ref="AG143" si="315">(R143-86.16)/6*I143</f>
        <v>243.97333333333333</v>
      </c>
      <c r="AH143" s="53">
        <f t="shared" ref="AH143" si="316">$Y$2*I143*Q143</f>
        <v>7.18</v>
      </c>
      <c r="AI143" s="53">
        <f t="shared" ref="AI143" si="317">$Y$2*I143*Q143</f>
        <v>7.18</v>
      </c>
      <c r="AJ143" s="54">
        <f t="shared" ref="AJ143" si="318">AI143+AH143+AG143</f>
        <v>258.33333333333331</v>
      </c>
      <c r="AK143" s="57"/>
      <c r="AL143" s="53">
        <f t="shared" ref="AL143" si="319">(R143-86.16)/6*K143</f>
        <v>243.97333333333333</v>
      </c>
      <c r="AM143" s="53">
        <f t="shared" ref="AM143" si="320">$Y$2*K143*Q143</f>
        <v>7.18</v>
      </c>
      <c r="AN143" s="53">
        <f t="shared" ref="AN143" si="321">$Y$2*K143*Q143</f>
        <v>7.18</v>
      </c>
      <c r="AO143" s="54">
        <f t="shared" ref="AO143" si="322">AN143+AM143+AL143</f>
        <v>258.33333333333331</v>
      </c>
      <c r="AP143" s="56"/>
      <c r="AQ143" s="53">
        <f t="shared" ref="AQ143" si="323">(R143-86.16)/6*M143</f>
        <v>243.97333333333333</v>
      </c>
      <c r="AR143" s="53">
        <f t="shared" ref="AR143" si="324">$Y$2*M143*Q143</f>
        <v>7.18</v>
      </c>
      <c r="AS143" s="53">
        <f t="shared" ref="AS143" si="325">$Y$2*M143*Q143</f>
        <v>7.18</v>
      </c>
      <c r="AT143" s="54">
        <f t="shared" ref="AT143" si="326">AS143+AR143+AQ143</f>
        <v>258.33333333333331</v>
      </c>
      <c r="AU143" s="56"/>
      <c r="AV143" s="53">
        <f t="shared" ref="AV143" si="327">(R143-86.16)/6*O143</f>
        <v>243.97333333333333</v>
      </c>
      <c r="AW143" s="53">
        <f t="shared" ref="AW143" si="328">$Y$2*O143*Q143</f>
        <v>7.18</v>
      </c>
      <c r="AX143" s="53">
        <f t="shared" ref="AX143" si="329">$Y$2*O143*Q143</f>
        <v>7.18</v>
      </c>
      <c r="AY143" s="54">
        <f t="shared" ref="AY143" si="330">AX143+AW143+AV143</f>
        <v>258.33333333333331</v>
      </c>
      <c r="AZ143" s="58">
        <f t="shared" si="258"/>
        <v>1549.9999999999998</v>
      </c>
      <c r="BA143" s="59">
        <f t="shared" si="259"/>
        <v>1949.9999999999998</v>
      </c>
      <c r="BB143" s="60"/>
      <c r="BC143" s="60"/>
      <c r="BD143" s="60"/>
      <c r="BE143" s="60"/>
      <c r="BF143" s="60"/>
      <c r="BG143" s="61" t="s">
        <v>133</v>
      </c>
      <c r="BH143" s="62"/>
      <c r="BI143" s="63">
        <v>250</v>
      </c>
      <c r="BJ143" s="63">
        <v>150</v>
      </c>
      <c r="BK143" s="64"/>
      <c r="BL143" s="63"/>
      <c r="BM143" s="65"/>
      <c r="BN143" s="65"/>
      <c r="BO143" s="66"/>
      <c r="BP143" s="67"/>
      <c r="BQ143" s="21"/>
      <c r="BR143" s="48"/>
      <c r="BS143" s="48"/>
      <c r="BT143" s="68"/>
      <c r="BU143" s="1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</row>
    <row r="144" spans="1:214" s="69" customFormat="1" ht="15.75" customHeight="1" thickBot="1" x14ac:dyDescent="0.35">
      <c r="A144" s="1"/>
      <c r="B144" s="370">
        <v>0</v>
      </c>
      <c r="C144" s="34">
        <v>9</v>
      </c>
      <c r="D144" s="369" t="s">
        <v>149</v>
      </c>
      <c r="E144" s="366">
        <v>0</v>
      </c>
      <c r="F144" s="372" t="s">
        <v>166</v>
      </c>
      <c r="G144" s="366">
        <v>0</v>
      </c>
      <c r="H144" s="372" t="s">
        <v>166</v>
      </c>
      <c r="I144" s="366">
        <v>0</v>
      </c>
      <c r="J144" s="372" t="s">
        <v>166</v>
      </c>
      <c r="K144" s="366">
        <v>0</v>
      </c>
      <c r="L144" s="372" t="s">
        <v>166</v>
      </c>
      <c r="M144" s="366">
        <v>0</v>
      </c>
      <c r="N144" s="372" t="s">
        <v>166</v>
      </c>
      <c r="O144" s="366">
        <v>0</v>
      </c>
      <c r="P144" s="372" t="s">
        <v>166</v>
      </c>
      <c r="Q144" s="366">
        <v>0</v>
      </c>
      <c r="R144" s="368">
        <v>0</v>
      </c>
      <c r="S144" s="51">
        <f t="shared" si="260"/>
        <v>0</v>
      </c>
      <c r="T144" s="11">
        <f t="shared" si="231"/>
        <v>0</v>
      </c>
      <c r="U144" s="52">
        <f t="shared" si="261"/>
        <v>0</v>
      </c>
      <c r="V144" s="52">
        <f t="shared" si="262"/>
        <v>0</v>
      </c>
      <c r="W144" s="53">
        <f t="shared" si="234"/>
        <v>0</v>
      </c>
      <c r="X144" s="53">
        <f t="shared" si="235"/>
        <v>0</v>
      </c>
      <c r="Y144" s="53">
        <f t="shared" si="236"/>
        <v>0</v>
      </c>
      <c r="Z144" s="54">
        <f t="shared" si="237"/>
        <v>0</v>
      </c>
      <c r="AA144" s="55"/>
      <c r="AB144" s="53">
        <f t="shared" si="263"/>
        <v>0</v>
      </c>
      <c r="AC144" s="53">
        <f t="shared" si="264"/>
        <v>0</v>
      </c>
      <c r="AD144" s="53">
        <f t="shared" si="265"/>
        <v>0</v>
      </c>
      <c r="AE144" s="54">
        <f t="shared" si="266"/>
        <v>0</v>
      </c>
      <c r="AF144" s="56"/>
      <c r="AG144" s="53">
        <f t="shared" si="267"/>
        <v>0</v>
      </c>
      <c r="AH144" s="53">
        <f t="shared" si="268"/>
        <v>0</v>
      </c>
      <c r="AI144" s="53">
        <f t="shared" si="269"/>
        <v>0</v>
      </c>
      <c r="AJ144" s="54">
        <f t="shared" si="270"/>
        <v>0</v>
      </c>
      <c r="AK144" s="57"/>
      <c r="AL144" s="53">
        <f t="shared" si="271"/>
        <v>0</v>
      </c>
      <c r="AM144" s="53">
        <f t="shared" si="272"/>
        <v>0</v>
      </c>
      <c r="AN144" s="53">
        <f t="shared" si="273"/>
        <v>0</v>
      </c>
      <c r="AO144" s="54">
        <f t="shared" si="274"/>
        <v>0</v>
      </c>
      <c r="AP144" s="56"/>
      <c r="AQ144" s="53">
        <f t="shared" si="275"/>
        <v>0</v>
      </c>
      <c r="AR144" s="53">
        <f t="shared" si="276"/>
        <v>0</v>
      </c>
      <c r="AS144" s="53">
        <f t="shared" si="277"/>
        <v>0</v>
      </c>
      <c r="AT144" s="54">
        <f t="shared" si="278"/>
        <v>0</v>
      </c>
      <c r="AU144" s="56"/>
      <c r="AV144" s="53">
        <f t="shared" si="279"/>
        <v>0</v>
      </c>
      <c r="AW144" s="53">
        <f t="shared" si="280"/>
        <v>0</v>
      </c>
      <c r="AX144" s="53">
        <f t="shared" si="281"/>
        <v>0</v>
      </c>
      <c r="AY144" s="54">
        <f t="shared" si="282"/>
        <v>0</v>
      </c>
      <c r="AZ144" s="58">
        <f t="shared" ref="AZ144" si="331">+AY144+AT144+AO144++AJ144+AE144+Z144</f>
        <v>0</v>
      </c>
      <c r="BA144" s="59">
        <f t="shared" si="259"/>
        <v>0</v>
      </c>
      <c r="BB144" s="60"/>
      <c r="BC144" s="60"/>
      <c r="BD144" s="60"/>
      <c r="BE144" s="60"/>
      <c r="BF144" s="60"/>
      <c r="BG144" s="61"/>
      <c r="BH144" s="62"/>
      <c r="BI144" s="63"/>
      <c r="BJ144" s="63"/>
      <c r="BK144" s="64"/>
      <c r="BL144" s="63"/>
      <c r="BM144" s="65"/>
      <c r="BN144" s="65"/>
      <c r="BO144" s="66"/>
      <c r="BP144" s="67"/>
      <c r="BQ144" s="21"/>
      <c r="BR144" s="48"/>
      <c r="BS144" s="48"/>
      <c r="BT144" s="68"/>
      <c r="BU144" s="1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</row>
    <row r="145" spans="1:214" ht="15.75" customHeight="1" thickBot="1" x14ac:dyDescent="0.35">
      <c r="A145" s="1">
        <v>504</v>
      </c>
      <c r="B145" s="78"/>
      <c r="C145" s="79"/>
      <c r="D145" s="21"/>
      <c r="E145" s="80">
        <f>SUM(E137:E144)</f>
        <v>7</v>
      </c>
      <c r="F145" s="80"/>
      <c r="G145" s="80">
        <f>SUM(G137:G144)</f>
        <v>7</v>
      </c>
      <c r="H145" s="80"/>
      <c r="I145" s="80">
        <f>SUM(I137:I144)</f>
        <v>7</v>
      </c>
      <c r="J145" s="80"/>
      <c r="K145" s="80">
        <f>SUM(K137:K144)</f>
        <v>7</v>
      </c>
      <c r="L145" s="80"/>
      <c r="M145" s="80">
        <f>SUM(M137:M144)</f>
        <v>7</v>
      </c>
      <c r="N145" s="80"/>
      <c r="O145" s="80">
        <f>SUM(O137:O144)</f>
        <v>7</v>
      </c>
      <c r="P145" s="80"/>
      <c r="Q145" s="8"/>
      <c r="R145" s="82"/>
      <c r="S145" s="51"/>
      <c r="T145" s="11"/>
      <c r="U145" s="52"/>
      <c r="V145" s="52"/>
      <c r="W145" s="53"/>
      <c r="X145" s="53"/>
      <c r="Y145" s="53"/>
      <c r="Z145" s="54"/>
      <c r="AA145" s="55"/>
      <c r="AB145" s="53"/>
      <c r="AC145" s="53"/>
      <c r="AD145" s="53"/>
      <c r="AE145" s="54"/>
      <c r="AF145" s="56"/>
      <c r="AG145" s="53"/>
      <c r="AH145" s="53"/>
      <c r="AI145" s="53"/>
      <c r="AJ145" s="54"/>
      <c r="AK145" s="57"/>
      <c r="AL145" s="53"/>
      <c r="AM145" s="53"/>
      <c r="AN145" s="53"/>
      <c r="AO145" s="54"/>
      <c r="AP145" s="56"/>
      <c r="AQ145" s="53"/>
      <c r="AR145" s="53"/>
      <c r="AS145" s="53"/>
      <c r="AT145" s="54"/>
      <c r="AU145" s="56"/>
      <c r="AV145" s="53"/>
      <c r="AW145" s="53"/>
      <c r="AX145" s="53"/>
      <c r="AY145" s="54"/>
      <c r="AZ145" s="58"/>
      <c r="BA145" s="59"/>
      <c r="BG145" s="83"/>
      <c r="BO145" s="67"/>
      <c r="BP145" s="67"/>
      <c r="BQ145" s="21"/>
      <c r="BR145" s="84"/>
      <c r="BS145" s="84"/>
      <c r="BU145" s="1">
        <v>504</v>
      </c>
    </row>
    <row r="146" spans="1:214" ht="15.75" customHeight="1" thickBot="1" x14ac:dyDescent="0.45">
      <c r="A146" s="1">
        <v>505</v>
      </c>
      <c r="C146" s="79"/>
      <c r="D146" s="21"/>
      <c r="E146" s="8"/>
      <c r="F146" s="85"/>
      <c r="G146" s="8"/>
      <c r="H146" s="22"/>
      <c r="I146" s="8"/>
      <c r="J146" s="22"/>
      <c r="K146" s="8"/>
      <c r="L146" s="22"/>
      <c r="M146" s="8"/>
      <c r="N146" s="22"/>
      <c r="O146" s="8"/>
      <c r="P146" s="22"/>
      <c r="Q146" s="8"/>
      <c r="R146" s="82"/>
      <c r="S146" s="51"/>
      <c r="T146" s="11"/>
      <c r="U146" s="52"/>
      <c r="V146" s="52"/>
      <c r="W146" s="53"/>
      <c r="X146" s="53"/>
      <c r="Y146" s="53"/>
      <c r="Z146" s="54"/>
      <c r="AA146" s="55"/>
      <c r="AB146" s="53"/>
      <c r="AC146" s="53"/>
      <c r="AD146" s="53"/>
      <c r="AE146" s="54"/>
      <c r="AF146" s="56"/>
      <c r="AG146" s="53"/>
      <c r="AH146" s="53"/>
      <c r="AI146" s="53"/>
      <c r="AJ146" s="54"/>
      <c r="AK146" s="57"/>
      <c r="AL146" s="53"/>
      <c r="AM146" s="53"/>
      <c r="AN146" s="53"/>
      <c r="AO146" s="54"/>
      <c r="AP146" s="56"/>
      <c r="AQ146" s="53"/>
      <c r="AR146" s="53"/>
      <c r="AS146" s="53"/>
      <c r="AT146" s="54"/>
      <c r="AU146" s="56"/>
      <c r="AV146" s="53"/>
      <c r="AW146" s="53"/>
      <c r="AX146" s="53"/>
      <c r="AY146" s="54"/>
      <c r="AZ146" s="58"/>
      <c r="BA146" s="59"/>
      <c r="BG146" s="83"/>
      <c r="BO146" s="86"/>
      <c r="BP146" s="87"/>
      <c r="BQ146" s="21"/>
      <c r="BT146" s="68"/>
      <c r="BU146" s="1">
        <v>505</v>
      </c>
    </row>
    <row r="147" spans="1:214" ht="15.75" customHeight="1" thickBot="1" x14ac:dyDescent="0.35">
      <c r="A147" s="1">
        <v>506</v>
      </c>
      <c r="B147" s="88" t="s">
        <v>26</v>
      </c>
      <c r="C147" s="89" t="s">
        <v>27</v>
      </c>
      <c r="D147" s="90"/>
      <c r="E147" s="8"/>
      <c r="F147" s="91"/>
      <c r="G147" s="42" t="s">
        <v>8</v>
      </c>
      <c r="H147" s="42"/>
      <c r="I147" s="42" t="s">
        <v>9</v>
      </c>
      <c r="J147" s="42"/>
      <c r="K147" s="42" t="s">
        <v>9</v>
      </c>
      <c r="L147" s="42"/>
      <c r="M147" s="42" t="s">
        <v>10</v>
      </c>
      <c r="N147" s="42"/>
      <c r="O147" s="42" t="s">
        <v>11</v>
      </c>
      <c r="P147" s="42"/>
      <c r="Q147" s="42" t="s">
        <v>12</v>
      </c>
      <c r="R147" s="42"/>
      <c r="S147" s="9"/>
      <c r="T147" s="11"/>
      <c r="U147" s="11"/>
      <c r="V147" s="11"/>
      <c r="W147" s="12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59"/>
      <c r="BO147" s="92"/>
      <c r="BP147" s="92"/>
      <c r="BQ147" s="21"/>
      <c r="BR147" s="21"/>
      <c r="BS147" s="21"/>
      <c r="BT147" s="68"/>
      <c r="BU147" s="1">
        <v>506</v>
      </c>
    </row>
    <row r="148" spans="1:214" ht="20.25" customHeight="1" thickBot="1" x14ac:dyDescent="0.35">
      <c r="A148" s="1">
        <v>507</v>
      </c>
      <c r="B148" s="21">
        <f>E145</f>
        <v>7</v>
      </c>
      <c r="C148" s="93">
        <f>G152</f>
        <v>7</v>
      </c>
      <c r="D148" s="94">
        <f t="shared" ref="D148:D153" si="332">+B148-C148</f>
        <v>0</v>
      </c>
      <c r="E148" s="95"/>
      <c r="F148" s="96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8" t="s">
        <v>28</v>
      </c>
      <c r="S148" s="10"/>
      <c r="T148" s="10"/>
      <c r="U148" s="94"/>
      <c r="V148" s="40"/>
      <c r="W148" s="42"/>
      <c r="X148" s="9"/>
      <c r="Y148" s="9"/>
      <c r="Z148" s="9"/>
      <c r="AA148" s="9"/>
      <c r="AB148" s="42"/>
      <c r="AC148" s="9"/>
      <c r="AD148" s="9"/>
      <c r="AE148" s="9"/>
      <c r="AF148" s="9"/>
      <c r="AG148" s="42"/>
      <c r="AH148" s="9"/>
      <c r="AI148" s="9"/>
      <c r="AJ148" s="9"/>
      <c r="AK148" s="9"/>
      <c r="AL148" s="9"/>
      <c r="AM148" s="9"/>
      <c r="AN148" s="9"/>
      <c r="AO148" s="9"/>
      <c r="AP148" s="9"/>
      <c r="AQ148" s="42"/>
      <c r="AR148" s="9"/>
      <c r="AS148" s="9"/>
      <c r="AT148" s="9"/>
      <c r="AU148" s="9"/>
      <c r="AV148" s="42"/>
      <c r="AW148" s="9"/>
      <c r="AX148" s="9"/>
      <c r="AY148" s="9"/>
      <c r="AZ148" s="99"/>
      <c r="BA148" s="59"/>
      <c r="BE148" s="100"/>
      <c r="BO148" s="101"/>
      <c r="BP148" s="92"/>
      <c r="BQ148" s="21"/>
      <c r="BR148" s="21"/>
      <c r="BS148" s="21"/>
      <c r="BT148" s="68"/>
      <c r="BU148" s="1">
        <v>507</v>
      </c>
    </row>
    <row r="149" spans="1:214" ht="20.25" customHeight="1" thickBot="1" x14ac:dyDescent="0.35">
      <c r="A149" s="1">
        <v>508</v>
      </c>
      <c r="B149" s="21">
        <f>G145</f>
        <v>7</v>
      </c>
      <c r="C149" s="93">
        <f>I152</f>
        <v>7</v>
      </c>
      <c r="D149" s="94">
        <f t="shared" si="332"/>
        <v>0</v>
      </c>
      <c r="E149" s="102" t="s">
        <v>30</v>
      </c>
      <c r="F149" s="103"/>
      <c r="G149" s="104">
        <v>3</v>
      </c>
      <c r="H149" s="105"/>
      <c r="I149" s="104">
        <v>3</v>
      </c>
      <c r="J149" s="105"/>
      <c r="K149" s="104">
        <v>3</v>
      </c>
      <c r="L149" s="105"/>
      <c r="M149" s="104">
        <v>3</v>
      </c>
      <c r="N149" s="105"/>
      <c r="O149" s="104">
        <v>3</v>
      </c>
      <c r="P149" s="105"/>
      <c r="Q149" s="104">
        <v>3</v>
      </c>
      <c r="R149" s="111">
        <f t="shared" ref="R149:R151" si="333">AVERAGE(G149,I149,K149,M149,O149,Q149)</f>
        <v>3</v>
      </c>
      <c r="S149" s="10"/>
      <c r="T149" s="11"/>
      <c r="U149" s="94"/>
      <c r="V149" s="40"/>
      <c r="W149" s="42"/>
      <c r="X149" s="9"/>
      <c r="Y149" s="9"/>
      <c r="Z149" s="9"/>
      <c r="AA149" s="9"/>
      <c r="AB149" s="42"/>
      <c r="AC149" s="9"/>
      <c r="AD149" s="9"/>
      <c r="AE149" s="9"/>
      <c r="AF149" s="9"/>
      <c r="AG149" s="42"/>
      <c r="AH149" s="9"/>
      <c r="AI149" s="9"/>
      <c r="AJ149" s="9"/>
      <c r="AK149" s="9"/>
      <c r="AL149" s="9"/>
      <c r="AM149" s="9"/>
      <c r="AN149" s="9"/>
      <c r="AO149" s="9"/>
      <c r="AP149" s="9"/>
      <c r="AQ149" s="42"/>
      <c r="AR149" s="9"/>
      <c r="AS149" s="9"/>
      <c r="AT149" s="9"/>
      <c r="AU149" s="9"/>
      <c r="AV149" s="42"/>
      <c r="AW149" s="9"/>
      <c r="AX149" s="9"/>
      <c r="AY149" s="9"/>
      <c r="AZ149" s="99"/>
      <c r="BA149" s="59"/>
      <c r="BE149" s="100"/>
      <c r="BO149" s="101"/>
      <c r="BP149" s="92"/>
      <c r="BQ149" s="21"/>
      <c r="BR149" s="21"/>
      <c r="BS149" s="21"/>
      <c r="BT149" s="68"/>
      <c r="BU149" s="1">
        <v>508</v>
      </c>
    </row>
    <row r="150" spans="1:214" ht="20.25" customHeight="1" thickBot="1" x14ac:dyDescent="0.35">
      <c r="A150" s="1"/>
      <c r="B150" s="21">
        <f>I145</f>
        <v>7</v>
      </c>
      <c r="C150" s="93">
        <f>K152</f>
        <v>7</v>
      </c>
      <c r="D150" s="94">
        <f t="shared" si="332"/>
        <v>0</v>
      </c>
      <c r="E150" s="102" t="s">
        <v>32</v>
      </c>
      <c r="F150" s="103"/>
      <c r="G150" s="104">
        <v>4</v>
      </c>
      <c r="H150" s="105"/>
      <c r="I150" s="104">
        <v>4</v>
      </c>
      <c r="J150" s="105"/>
      <c r="K150" s="104">
        <v>4</v>
      </c>
      <c r="L150" s="105"/>
      <c r="M150" s="104">
        <v>4</v>
      </c>
      <c r="N150" s="105"/>
      <c r="O150" s="104">
        <v>4</v>
      </c>
      <c r="P150" s="105"/>
      <c r="Q150" s="104">
        <v>4</v>
      </c>
      <c r="R150" s="111">
        <f t="shared" si="333"/>
        <v>4</v>
      </c>
      <c r="S150" s="10"/>
      <c r="T150" s="11"/>
      <c r="U150" s="94"/>
      <c r="V150" s="40"/>
      <c r="W150" s="42"/>
      <c r="X150" s="9"/>
      <c r="Y150" s="9"/>
      <c r="Z150" s="9"/>
      <c r="AA150" s="9"/>
      <c r="AB150" s="42"/>
      <c r="AC150" s="9"/>
      <c r="AD150" s="9"/>
      <c r="AE150" s="9"/>
      <c r="AF150" s="9"/>
      <c r="AG150" s="42"/>
      <c r="AH150" s="9"/>
      <c r="AI150" s="9"/>
      <c r="AJ150" s="9"/>
      <c r="AK150" s="9"/>
      <c r="AL150" s="9"/>
      <c r="AM150" s="9"/>
      <c r="AN150" s="9"/>
      <c r="AO150" s="9"/>
      <c r="AP150" s="9"/>
      <c r="AQ150" s="42"/>
      <c r="AR150" s="9"/>
      <c r="AS150" s="9"/>
      <c r="AT150" s="9"/>
      <c r="AU150" s="9"/>
      <c r="AV150" s="42"/>
      <c r="AW150" s="9"/>
      <c r="AX150" s="9"/>
      <c r="AY150" s="9"/>
      <c r="AZ150" s="99"/>
      <c r="BA150" s="59"/>
      <c r="BE150" s="100"/>
      <c r="BO150" s="101"/>
      <c r="BP150" s="92"/>
      <c r="BQ150" s="21"/>
      <c r="BR150" s="21"/>
      <c r="BS150" s="21"/>
      <c r="BT150" s="68"/>
      <c r="BU150" s="1"/>
    </row>
    <row r="151" spans="1:214" ht="20.25" customHeight="1" thickBot="1" x14ac:dyDescent="0.35">
      <c r="A151" s="1"/>
      <c r="B151" s="21">
        <f>K145</f>
        <v>7</v>
      </c>
      <c r="C151" s="93">
        <f>M152</f>
        <v>7</v>
      </c>
      <c r="D151" s="94">
        <f t="shared" si="332"/>
        <v>0</v>
      </c>
      <c r="E151" s="135" t="s">
        <v>29</v>
      </c>
      <c r="F151" s="136"/>
      <c r="G151" s="137">
        <v>0</v>
      </c>
      <c r="H151" s="138"/>
      <c r="I151" s="137">
        <v>0</v>
      </c>
      <c r="J151" s="138"/>
      <c r="K151" s="137">
        <v>0</v>
      </c>
      <c r="L151" s="138"/>
      <c r="M151" s="137">
        <v>0</v>
      </c>
      <c r="N151" s="138"/>
      <c r="O151" s="137">
        <v>0</v>
      </c>
      <c r="P151" s="138"/>
      <c r="Q151" s="137">
        <v>0</v>
      </c>
      <c r="R151" s="111">
        <f t="shared" si="333"/>
        <v>0</v>
      </c>
      <c r="S151" s="10"/>
      <c r="T151" s="11"/>
      <c r="U151" s="94"/>
      <c r="V151" s="40"/>
      <c r="W151" s="42"/>
      <c r="X151" s="9"/>
      <c r="Y151" s="9"/>
      <c r="Z151" s="9"/>
      <c r="AA151" s="9"/>
      <c r="AB151" s="42"/>
      <c r="AC151" s="9"/>
      <c r="AD151" s="9"/>
      <c r="AE151" s="9"/>
      <c r="AF151" s="9"/>
      <c r="AG151" s="42"/>
      <c r="AH151" s="9"/>
      <c r="AI151" s="9"/>
      <c r="AJ151" s="9"/>
      <c r="AK151" s="9"/>
      <c r="AL151" s="9"/>
      <c r="AM151" s="9"/>
      <c r="AN151" s="9"/>
      <c r="AO151" s="9"/>
      <c r="AP151" s="9"/>
      <c r="AQ151" s="42"/>
      <c r="AR151" s="9"/>
      <c r="AS151" s="9"/>
      <c r="AT151" s="9"/>
      <c r="AU151" s="9"/>
      <c r="AV151" s="42"/>
      <c r="AW151" s="9"/>
      <c r="AX151" s="9"/>
      <c r="AY151" s="9"/>
      <c r="AZ151" s="99"/>
      <c r="BA151" s="59"/>
      <c r="BE151" s="100"/>
      <c r="BO151" s="101"/>
      <c r="BP151" s="92"/>
      <c r="BQ151" s="21"/>
      <c r="BR151" s="21"/>
      <c r="BS151" s="21"/>
      <c r="BT151" s="68"/>
      <c r="BU151" s="1"/>
    </row>
    <row r="152" spans="1:214" ht="20.25" customHeight="1" thickBot="1" x14ac:dyDescent="0.35">
      <c r="A152" s="1">
        <v>509</v>
      </c>
      <c r="B152" s="21">
        <f>M145</f>
        <v>7</v>
      </c>
      <c r="C152" s="93">
        <f>O152</f>
        <v>7</v>
      </c>
      <c r="D152" s="94">
        <f t="shared" si="332"/>
        <v>0</v>
      </c>
      <c r="E152" s="108"/>
      <c r="F152" s="109"/>
      <c r="G152" s="110">
        <f>SUM(G149:G151)</f>
        <v>7</v>
      </c>
      <c r="H152" s="110"/>
      <c r="I152" s="110">
        <f>SUM(I149:I151)</f>
        <v>7</v>
      </c>
      <c r="J152" s="110"/>
      <c r="K152" s="110">
        <f>SUM(K149:K151)</f>
        <v>7</v>
      </c>
      <c r="L152" s="110"/>
      <c r="M152" s="110">
        <f>SUM(M149:M151)</f>
        <v>7</v>
      </c>
      <c r="N152" s="110"/>
      <c r="O152" s="110">
        <f>SUM(O149:O151)</f>
        <v>7</v>
      </c>
      <c r="P152" s="110"/>
      <c r="Q152" s="110">
        <f>SUM(Q149:Q151)</f>
        <v>7</v>
      </c>
      <c r="R152" s="111">
        <f>AVERAGE(G152,I152,K152,M152,O152,Q152)</f>
        <v>7</v>
      </c>
      <c r="S152" s="10"/>
      <c r="T152" s="11"/>
      <c r="U152" s="94"/>
      <c r="V152" s="40"/>
      <c r="W152" s="42"/>
      <c r="X152" s="9"/>
      <c r="Y152" s="9"/>
      <c r="Z152" s="9"/>
      <c r="AA152" s="9"/>
      <c r="AB152" s="42"/>
      <c r="AC152" s="9"/>
      <c r="AD152" s="9"/>
      <c r="AE152" s="9"/>
      <c r="AF152" s="9"/>
      <c r="AG152" s="42"/>
      <c r="AH152" s="9"/>
      <c r="AI152" s="9"/>
      <c r="AJ152" s="9"/>
      <c r="AK152" s="9"/>
      <c r="AL152" s="9"/>
      <c r="AM152" s="9"/>
      <c r="AN152" s="9"/>
      <c r="AO152" s="9"/>
      <c r="AP152" s="9"/>
      <c r="AQ152" s="42"/>
      <c r="AR152" s="9"/>
      <c r="AS152" s="9"/>
      <c r="AT152" s="9"/>
      <c r="AU152" s="9"/>
      <c r="AV152" s="42"/>
      <c r="AW152" s="9"/>
      <c r="AX152" s="9"/>
      <c r="AY152" s="9"/>
      <c r="AZ152" s="99"/>
      <c r="BA152" s="59"/>
      <c r="BE152" s="100"/>
      <c r="BO152" s="101"/>
      <c r="BP152" s="92"/>
      <c r="BQ152" s="21"/>
      <c r="BR152" s="21"/>
      <c r="BS152" s="21"/>
      <c r="BT152" s="68"/>
      <c r="BU152" s="1">
        <v>509</v>
      </c>
    </row>
    <row r="153" spans="1:214" ht="20.25" customHeight="1" x14ac:dyDescent="0.3">
      <c r="A153" s="1">
        <v>510</v>
      </c>
      <c r="B153" s="21">
        <f>O145</f>
        <v>7</v>
      </c>
      <c r="C153" s="93">
        <f>Q152</f>
        <v>7</v>
      </c>
      <c r="D153" s="94">
        <f t="shared" si="332"/>
        <v>0</v>
      </c>
      <c r="E153" s="112"/>
      <c r="F153" s="113"/>
      <c r="G153" s="112"/>
      <c r="H153" s="114"/>
      <c r="I153" s="112"/>
      <c r="J153" s="114"/>
      <c r="K153" s="112"/>
      <c r="L153" s="114"/>
      <c r="M153" s="112"/>
      <c r="N153" s="114"/>
      <c r="O153" s="112"/>
      <c r="P153" s="114"/>
      <c r="Q153" s="112"/>
      <c r="R153" s="115"/>
      <c r="S153" s="10"/>
      <c r="T153" s="128">
        <f>SUM(R149:R151)</f>
        <v>7</v>
      </c>
      <c r="U153" s="94"/>
      <c r="V153" s="40"/>
      <c r="W153" s="42"/>
      <c r="X153" s="9"/>
      <c r="Y153" s="9"/>
      <c r="Z153" s="9"/>
      <c r="AA153" s="9"/>
      <c r="AB153" s="42"/>
      <c r="AC153" s="9"/>
      <c r="AD153" s="9"/>
      <c r="AE153" s="9"/>
      <c r="AF153" s="9"/>
      <c r="AG153" s="42"/>
      <c r="AH153" s="9"/>
      <c r="AI153" s="9"/>
      <c r="AJ153" s="9"/>
      <c r="AK153" s="9"/>
      <c r="AL153" s="9"/>
      <c r="AM153" s="9"/>
      <c r="AN153" s="9"/>
      <c r="AO153" s="9"/>
      <c r="AP153" s="9"/>
      <c r="AQ153" s="42"/>
      <c r="AR153" s="9"/>
      <c r="AS153" s="9"/>
      <c r="AT153" s="9"/>
      <c r="AU153" s="9"/>
      <c r="AV153" s="42"/>
      <c r="AW153" s="9"/>
      <c r="AX153" s="9"/>
      <c r="AY153" s="9"/>
      <c r="AZ153" s="99"/>
      <c r="BA153" s="59"/>
      <c r="BE153" s="100"/>
      <c r="BO153" s="101"/>
      <c r="BP153" s="92"/>
      <c r="BQ153" s="21"/>
      <c r="BR153" s="21"/>
      <c r="BS153" s="21"/>
      <c r="BT153" s="68"/>
      <c r="BU153" s="1">
        <v>510</v>
      </c>
    </row>
    <row r="154" spans="1:214" ht="20.25" customHeight="1" x14ac:dyDescent="0.4">
      <c r="A154" s="1">
        <v>513</v>
      </c>
      <c r="B154" s="22"/>
      <c r="C154" s="22"/>
      <c r="D154" s="22"/>
      <c r="E154" s="8"/>
      <c r="F154" s="85"/>
      <c r="G154" s="8"/>
      <c r="H154" s="22"/>
      <c r="I154" s="8"/>
      <c r="J154" s="22"/>
      <c r="K154" s="8"/>
      <c r="L154" s="22"/>
      <c r="M154" s="8"/>
      <c r="N154" s="22"/>
      <c r="O154" s="8"/>
      <c r="P154" s="22"/>
      <c r="Q154" s="8"/>
      <c r="R154" s="82"/>
      <c r="S154" s="51"/>
      <c r="T154" s="22"/>
      <c r="U154" s="133"/>
      <c r="V154" s="52"/>
      <c r="W154" s="9"/>
      <c r="X154" s="9"/>
      <c r="Y154" s="9"/>
      <c r="Z154" s="9"/>
      <c r="AA154" s="42"/>
      <c r="AB154" s="9"/>
      <c r="AC154" s="9"/>
      <c r="AD154" s="9"/>
      <c r="AE154" s="9"/>
      <c r="AF154" s="42"/>
      <c r="AG154" s="9"/>
      <c r="AH154" s="9"/>
      <c r="AI154" s="9"/>
      <c r="AJ154" s="9"/>
      <c r="AK154" s="9"/>
      <c r="AL154" s="9"/>
      <c r="AM154" s="9"/>
      <c r="AN154" s="9"/>
      <c r="AO154" s="9"/>
      <c r="AP154" s="42"/>
      <c r="AQ154" s="9"/>
      <c r="AR154" s="9"/>
      <c r="AS154" s="9"/>
      <c r="AT154" s="9"/>
      <c r="AU154" s="42"/>
      <c r="AV154" s="9"/>
      <c r="AW154" s="9"/>
      <c r="AX154" s="9"/>
      <c r="AY154" s="9"/>
      <c r="AZ154" s="58"/>
      <c r="BA154" s="59"/>
      <c r="BG154" s="83"/>
      <c r="BO154" s="86"/>
      <c r="BP154" s="87"/>
      <c r="BQ154" s="21"/>
      <c r="BT154" s="68"/>
      <c r="BU154" s="1">
        <v>513</v>
      </c>
    </row>
    <row r="155" spans="1:214" ht="20.25" customHeight="1" thickBot="1" x14ac:dyDescent="0.45">
      <c r="A155" s="1">
        <v>513</v>
      </c>
      <c r="B155" s="22"/>
      <c r="C155" s="22"/>
      <c r="D155" s="22"/>
      <c r="E155" s="8"/>
      <c r="F155" s="85"/>
      <c r="G155" s="8"/>
      <c r="H155" s="22"/>
      <c r="I155" s="8"/>
      <c r="J155" s="22"/>
      <c r="K155" s="8"/>
      <c r="L155" s="22"/>
      <c r="M155" s="8"/>
      <c r="N155" s="22"/>
      <c r="O155" s="8"/>
      <c r="P155" s="22"/>
      <c r="Q155" s="8"/>
      <c r="R155" s="82"/>
      <c r="S155" s="51"/>
      <c r="T155" s="22"/>
      <c r="U155" s="133"/>
      <c r="V155" s="52"/>
      <c r="W155" s="9"/>
      <c r="X155" s="9"/>
      <c r="Y155" s="9"/>
      <c r="Z155" s="9"/>
      <c r="AA155" s="42"/>
      <c r="AB155" s="9"/>
      <c r="AC155" s="9"/>
      <c r="AD155" s="9"/>
      <c r="AE155" s="9"/>
      <c r="AF155" s="42"/>
      <c r="AG155" s="9"/>
      <c r="AH155" s="9"/>
      <c r="AI155" s="9"/>
      <c r="AJ155" s="9"/>
      <c r="AK155" s="9"/>
      <c r="AL155" s="9"/>
      <c r="AM155" s="9"/>
      <c r="AN155" s="9"/>
      <c r="AO155" s="9"/>
      <c r="AP155" s="42"/>
      <c r="AQ155" s="9"/>
      <c r="AR155" s="9"/>
      <c r="AS155" s="9"/>
      <c r="AT155" s="9"/>
      <c r="AU155" s="42"/>
      <c r="AV155" s="9"/>
      <c r="AW155" s="9"/>
      <c r="AX155" s="9"/>
      <c r="AY155" s="9"/>
      <c r="AZ155" s="58"/>
      <c r="BA155" s="59"/>
      <c r="BG155" s="83"/>
      <c r="BO155" s="86"/>
      <c r="BP155" s="87"/>
      <c r="BQ155" s="21"/>
      <c r="BT155" s="68"/>
      <c r="BU155" s="1">
        <v>513</v>
      </c>
    </row>
    <row r="156" spans="1:214" ht="28.5" customHeight="1" thickBot="1" x14ac:dyDescent="0.45">
      <c r="A156" s="1">
        <v>499</v>
      </c>
      <c r="B156" s="817" t="s">
        <v>56</v>
      </c>
      <c r="C156" s="818"/>
      <c r="D156" s="818" t="s">
        <v>35</v>
      </c>
      <c r="E156" s="818"/>
      <c r="F156" s="818"/>
      <c r="G156" s="818"/>
      <c r="H156" s="818"/>
      <c r="I156" s="818"/>
      <c r="J156" s="818"/>
      <c r="K156" s="818"/>
      <c r="L156" s="818"/>
      <c r="M156" s="818"/>
      <c r="N156" s="818"/>
      <c r="O156" s="818"/>
      <c r="P156" s="818"/>
      <c r="Q156" s="818"/>
      <c r="R156" s="23" t="str">
        <f>$V2</f>
        <v>DEL 08 AL 14 ENERO 24</v>
      </c>
      <c r="S156" s="51"/>
      <c r="T156" s="11"/>
      <c r="U156" s="11"/>
      <c r="V156" s="52"/>
      <c r="W156" s="53"/>
      <c r="X156" s="53"/>
      <c r="Y156" s="53"/>
      <c r="Z156" s="54"/>
      <c r="AA156" s="55"/>
      <c r="AB156" s="53"/>
      <c r="AC156" s="53"/>
      <c r="AD156" s="53"/>
      <c r="AE156" s="54"/>
      <c r="AF156" s="56"/>
      <c r="AG156" s="53"/>
      <c r="AH156" s="53"/>
      <c r="AI156" s="53"/>
      <c r="AJ156" s="54"/>
      <c r="AK156" s="57"/>
      <c r="AL156" s="53"/>
      <c r="AM156" s="53"/>
      <c r="AN156" s="53"/>
      <c r="AO156" s="54"/>
      <c r="AP156" s="56"/>
      <c r="AQ156" s="53"/>
      <c r="AR156" s="53"/>
      <c r="AS156" s="53"/>
      <c r="AT156" s="54"/>
      <c r="AU156" s="56"/>
      <c r="AV156" s="53"/>
      <c r="AW156" s="53"/>
      <c r="AX156" s="53"/>
      <c r="AY156" s="54"/>
      <c r="AZ156" s="58"/>
      <c r="BA156" s="59"/>
      <c r="BG156" s="83"/>
      <c r="BO156" s="116"/>
      <c r="BP156" s="67"/>
      <c r="BQ156" s="21"/>
      <c r="BR156" s="74"/>
      <c r="BS156" s="74"/>
      <c r="BT156" s="68"/>
      <c r="BU156" s="1">
        <v>499</v>
      </c>
    </row>
    <row r="157" spans="1:214" ht="14.25" customHeight="1" thickBot="1" x14ac:dyDescent="0.35">
      <c r="A157" s="1">
        <v>500</v>
      </c>
      <c r="B157" s="117"/>
      <c r="C157" s="118"/>
      <c r="D157" s="119"/>
      <c r="E157" s="120" t="s">
        <v>8</v>
      </c>
      <c r="F157" s="121"/>
      <c r="G157" s="120" t="s">
        <v>9</v>
      </c>
      <c r="H157" s="122"/>
      <c r="I157" s="120" t="s">
        <v>9</v>
      </c>
      <c r="J157" s="122"/>
      <c r="K157" s="120" t="s">
        <v>10</v>
      </c>
      <c r="L157" s="122"/>
      <c r="M157" s="120" t="s">
        <v>11</v>
      </c>
      <c r="N157" s="122"/>
      <c r="O157" s="120" t="s">
        <v>12</v>
      </c>
      <c r="P157" s="120"/>
      <c r="Q157" s="122"/>
      <c r="R157" s="123"/>
      <c r="S157" s="51"/>
      <c r="T157" s="11"/>
      <c r="U157" s="11"/>
      <c r="V157" s="52"/>
      <c r="W157" s="53"/>
      <c r="X157" s="53"/>
      <c r="Y157" s="53"/>
      <c r="Z157" s="54"/>
      <c r="AA157" s="55"/>
      <c r="AB157" s="53"/>
      <c r="AC157" s="53"/>
      <c r="AD157" s="53"/>
      <c r="AE157" s="54"/>
      <c r="AF157" s="56"/>
      <c r="AG157" s="53"/>
      <c r="AH157" s="53"/>
      <c r="AI157" s="53"/>
      <c r="AJ157" s="54"/>
      <c r="AK157" s="57"/>
      <c r="AL157" s="53"/>
      <c r="AM157" s="53"/>
      <c r="AN157" s="53"/>
      <c r="AO157" s="54"/>
      <c r="AP157" s="56"/>
      <c r="AQ157" s="53"/>
      <c r="AR157" s="53"/>
      <c r="AS157" s="53"/>
      <c r="AT157" s="54"/>
      <c r="AU157" s="56"/>
      <c r="AV157" s="53"/>
      <c r="AW157" s="53"/>
      <c r="AX157" s="53"/>
      <c r="AY157" s="54"/>
      <c r="AZ157" s="58"/>
      <c r="BA157" s="59"/>
      <c r="BB157" s="124"/>
      <c r="BC157" s="124"/>
      <c r="BD157" s="124"/>
      <c r="BE157" s="124"/>
      <c r="BF157" s="124"/>
      <c r="BG157" s="124"/>
      <c r="BH157" s="124"/>
      <c r="BJ157" s="19"/>
      <c r="BK157" s="19"/>
      <c r="BL157" s="19"/>
      <c r="BM157" s="19"/>
      <c r="BN157" s="124"/>
      <c r="BO157" s="125"/>
      <c r="BP157" s="126"/>
      <c r="BQ157" s="21"/>
      <c r="BR157" s="68"/>
      <c r="BS157" s="68"/>
      <c r="BT157" s="68"/>
      <c r="BU157" s="1">
        <v>500</v>
      </c>
    </row>
    <row r="158" spans="1:214" s="69" customFormat="1" ht="15.75" customHeight="1" thickBot="1" x14ac:dyDescent="0.35">
      <c r="A158" s="1"/>
      <c r="B158" s="374">
        <v>148</v>
      </c>
      <c r="C158" s="34">
        <v>4</v>
      </c>
      <c r="D158" s="343" t="s">
        <v>126</v>
      </c>
      <c r="E158" s="363">
        <v>0</v>
      </c>
      <c r="F158" s="389" t="s">
        <v>132</v>
      </c>
      <c r="G158" s="363">
        <v>0</v>
      </c>
      <c r="H158" s="389" t="s">
        <v>132</v>
      </c>
      <c r="I158" s="233">
        <v>1</v>
      </c>
      <c r="J158" s="233"/>
      <c r="K158" s="363">
        <v>0</v>
      </c>
      <c r="L158" s="389" t="s">
        <v>132</v>
      </c>
      <c r="M158" s="363">
        <v>0</v>
      </c>
      <c r="N158" s="389" t="s">
        <v>132</v>
      </c>
      <c r="O158" s="363">
        <v>0</v>
      </c>
      <c r="P158" s="389" t="s">
        <v>132</v>
      </c>
      <c r="Q158" s="233">
        <v>1</v>
      </c>
      <c r="R158" s="50">
        <f>IF(Q158=1,1550,850)</f>
        <v>1550</v>
      </c>
      <c r="S158" s="51">
        <f t="shared" ref="S158" si="334">+BH158</f>
        <v>0</v>
      </c>
      <c r="T158" s="11">
        <f>+BA158</f>
        <v>207.14333333333332</v>
      </c>
      <c r="U158" s="52">
        <f t="shared" ref="U158" si="335">+BP158</f>
        <v>0</v>
      </c>
      <c r="V158" s="52">
        <f t="shared" ref="V158" si="336">+BG158</f>
        <v>0</v>
      </c>
      <c r="W158" s="53">
        <f>(R158-86.16)/6*E158</f>
        <v>0</v>
      </c>
      <c r="X158" s="53">
        <f t="shared" ref="X158:X163" si="337">$Y$2*E158*Q158</f>
        <v>0</v>
      </c>
      <c r="Y158" s="53">
        <f t="shared" ref="Y158:Y163" si="338">$Y$2*E158*Q158</f>
        <v>0</v>
      </c>
      <c r="Z158" s="54">
        <f t="shared" ref="Z158:Z163" si="339">Y158+X158+W158</f>
        <v>0</v>
      </c>
      <c r="AA158" s="55"/>
      <c r="AB158" s="53">
        <f>(R158-86.16)/6*G158</f>
        <v>0</v>
      </c>
      <c r="AC158" s="53">
        <f t="shared" ref="AC158:AC163" si="340">$Y$2*G158*Q158</f>
        <v>0</v>
      </c>
      <c r="AD158" s="53">
        <f t="shared" ref="AD158:AD163" si="341">$Y$2*G158*Q158</f>
        <v>0</v>
      </c>
      <c r="AE158" s="54">
        <f t="shared" ref="AE158:AE163" si="342">AD158+AC158+AB158</f>
        <v>0</v>
      </c>
      <c r="AF158" s="56"/>
      <c r="AG158" s="53">
        <f>(R158-86.16)/6*I158</f>
        <v>243.97333333333333</v>
      </c>
      <c r="AH158" s="53">
        <f t="shared" ref="AH158:AH163" si="343">$Y$2*I158*Q158</f>
        <v>7.18</v>
      </c>
      <c r="AI158" s="53">
        <f t="shared" ref="AI158:AI163" si="344">$Y$2*I158*Q158</f>
        <v>7.18</v>
      </c>
      <c r="AJ158" s="54">
        <f t="shared" ref="AJ158:AJ163" si="345">AI158+AH158+AG158</f>
        <v>258.33333333333331</v>
      </c>
      <c r="AK158" s="57"/>
      <c r="AL158" s="53">
        <f>(R158-86.16)/6*K158</f>
        <v>0</v>
      </c>
      <c r="AM158" s="53">
        <f t="shared" ref="AM158:AM163" si="346">$Y$2*K158*Q158</f>
        <v>0</v>
      </c>
      <c r="AN158" s="53">
        <f t="shared" ref="AN158:AN163" si="347">$Y$2*K158*Q158</f>
        <v>0</v>
      </c>
      <c r="AO158" s="54">
        <f t="shared" ref="AO158:AO163" si="348">AN158+AM158+AL158</f>
        <v>0</v>
      </c>
      <c r="AP158" s="56"/>
      <c r="AQ158" s="53">
        <f>(R158-86.16)/6*M158</f>
        <v>0</v>
      </c>
      <c r="AR158" s="53">
        <f t="shared" ref="AR158:AR163" si="349">$Y$2*M158*Q158</f>
        <v>0</v>
      </c>
      <c r="AS158" s="53">
        <f t="shared" ref="AS158:AS163" si="350">$Y$2*M158*Q158</f>
        <v>0</v>
      </c>
      <c r="AT158" s="54">
        <f t="shared" ref="AT158:AT163" si="351">AS158+AR158+AQ158</f>
        <v>0</v>
      </c>
      <c r="AU158" s="56"/>
      <c r="AV158" s="53">
        <f>(R158-86.16)/6*O158</f>
        <v>0</v>
      </c>
      <c r="AW158" s="53">
        <f t="shared" ref="AW158:AW163" si="352">$Y$2*O158*Q158</f>
        <v>0</v>
      </c>
      <c r="AX158" s="53">
        <f t="shared" ref="AX158:AX163" si="353">$Y$2*O158*Q158</f>
        <v>0</v>
      </c>
      <c r="AY158" s="54">
        <f t="shared" ref="AY158:AY163" si="354">AX158+AW158+AV158</f>
        <v>0</v>
      </c>
      <c r="AZ158" s="58">
        <f t="shared" ref="AZ158:AZ163" si="355">+AY158+AT158+AO158++AJ158+AE158+Z158</f>
        <v>258.33333333333331</v>
      </c>
      <c r="BA158" s="59">
        <f t="shared" ref="BA158:BA163" si="356">((AZ158-BB158-BC158-BD158-BE158-BF158)+BI158+BJ158+BK158+BL158+BM158+BN158+BO158)</f>
        <v>207.14333333333332</v>
      </c>
      <c r="BB158" s="60">
        <v>51.19</v>
      </c>
      <c r="BC158" s="60"/>
      <c r="BD158" s="60"/>
      <c r="BE158" s="60"/>
      <c r="BF158" s="60"/>
      <c r="BG158" s="61"/>
      <c r="BH158" s="62"/>
      <c r="BI158" s="63"/>
      <c r="BJ158" s="63"/>
      <c r="BK158" s="64"/>
      <c r="BL158" s="63"/>
      <c r="BM158" s="65"/>
      <c r="BN158" s="65"/>
      <c r="BO158" s="66"/>
      <c r="BP158" s="67"/>
      <c r="BQ158" s="21"/>
      <c r="BR158" s="48"/>
      <c r="BS158" s="48"/>
      <c r="BT158" s="68"/>
      <c r="BU158" s="1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</row>
    <row r="159" spans="1:214" ht="15.75" customHeight="1" thickBot="1" x14ac:dyDescent="0.35">
      <c r="A159" s="1"/>
      <c r="B159" s="275">
        <v>58</v>
      </c>
      <c r="C159" s="34">
        <f>+C157+1</f>
        <v>1</v>
      </c>
      <c r="D159" s="274" t="s">
        <v>81</v>
      </c>
      <c r="E159" s="233">
        <v>1</v>
      </c>
      <c r="F159" s="233"/>
      <c r="G159" s="233">
        <v>1</v>
      </c>
      <c r="H159" s="233"/>
      <c r="I159" s="233">
        <v>1</v>
      </c>
      <c r="J159" s="233"/>
      <c r="K159" s="233">
        <v>1</v>
      </c>
      <c r="L159" s="233"/>
      <c r="M159" s="233">
        <v>1</v>
      </c>
      <c r="N159" s="233"/>
      <c r="O159" s="233">
        <v>1</v>
      </c>
      <c r="P159" s="233"/>
      <c r="Q159" s="233">
        <v>1</v>
      </c>
      <c r="R159" s="339">
        <v>6000</v>
      </c>
      <c r="S159" s="51">
        <f>+BH159</f>
        <v>0</v>
      </c>
      <c r="T159" s="11">
        <f>+BA159</f>
        <v>6000</v>
      </c>
      <c r="U159" s="52">
        <f>+BP159</f>
        <v>0</v>
      </c>
      <c r="V159" s="52">
        <f>+BG159</f>
        <v>0</v>
      </c>
      <c r="W159" s="53">
        <f t="shared" ref="W159:W163" si="357">(R159-86.16)/6*E159</f>
        <v>985.64</v>
      </c>
      <c r="X159" s="53">
        <f t="shared" si="337"/>
        <v>7.18</v>
      </c>
      <c r="Y159" s="53">
        <f t="shared" si="338"/>
        <v>7.18</v>
      </c>
      <c r="Z159" s="54">
        <f t="shared" si="339"/>
        <v>1000</v>
      </c>
      <c r="AA159" s="55"/>
      <c r="AB159" s="53">
        <f t="shared" ref="AB159:AB163" si="358">(R159-86.16)/6*G159</f>
        <v>985.64</v>
      </c>
      <c r="AC159" s="53">
        <f t="shared" si="340"/>
        <v>7.18</v>
      </c>
      <c r="AD159" s="53">
        <f t="shared" si="341"/>
        <v>7.18</v>
      </c>
      <c r="AE159" s="54">
        <f t="shared" si="342"/>
        <v>1000</v>
      </c>
      <c r="AF159" s="56"/>
      <c r="AG159" s="53">
        <f t="shared" ref="AG159:AG163" si="359">(R159-86.16)/6*I159</f>
        <v>985.64</v>
      </c>
      <c r="AH159" s="53">
        <f t="shared" si="343"/>
        <v>7.18</v>
      </c>
      <c r="AI159" s="53">
        <f t="shared" si="344"/>
        <v>7.18</v>
      </c>
      <c r="AJ159" s="54">
        <f t="shared" si="345"/>
        <v>1000</v>
      </c>
      <c r="AK159" s="57"/>
      <c r="AL159" s="53">
        <f t="shared" ref="AL159:AL163" si="360">(R159-86.16)/6*K159</f>
        <v>985.64</v>
      </c>
      <c r="AM159" s="53">
        <f t="shared" si="346"/>
        <v>7.18</v>
      </c>
      <c r="AN159" s="53">
        <f t="shared" si="347"/>
        <v>7.18</v>
      </c>
      <c r="AO159" s="54">
        <f t="shared" si="348"/>
        <v>1000</v>
      </c>
      <c r="AP159" s="56"/>
      <c r="AQ159" s="53">
        <f t="shared" ref="AQ159:AQ163" si="361">(R159-86.16)/6*M159</f>
        <v>985.64</v>
      </c>
      <c r="AR159" s="53">
        <f t="shared" si="349"/>
        <v>7.18</v>
      </c>
      <c r="AS159" s="53">
        <f t="shared" si="350"/>
        <v>7.18</v>
      </c>
      <c r="AT159" s="54">
        <f t="shared" si="351"/>
        <v>1000</v>
      </c>
      <c r="AU159" s="56"/>
      <c r="AV159" s="53">
        <f t="shared" ref="AV159:AV163" si="362">(R159-86.16)/6*O159</f>
        <v>985.64</v>
      </c>
      <c r="AW159" s="53">
        <f t="shared" si="352"/>
        <v>7.18</v>
      </c>
      <c r="AX159" s="53">
        <f t="shared" si="353"/>
        <v>7.18</v>
      </c>
      <c r="AY159" s="54">
        <f t="shared" si="354"/>
        <v>1000</v>
      </c>
      <c r="AZ159" s="58">
        <f t="shared" si="355"/>
        <v>6000</v>
      </c>
      <c r="BA159" s="59">
        <f t="shared" si="356"/>
        <v>6000</v>
      </c>
      <c r="BB159" s="60"/>
      <c r="BC159" s="60"/>
      <c r="BD159" s="60"/>
      <c r="BE159" s="60"/>
      <c r="BF159" s="60"/>
      <c r="BG159" s="61"/>
      <c r="BH159" s="62"/>
      <c r="BI159" s="63"/>
      <c r="BJ159" s="63"/>
      <c r="BK159" s="64"/>
      <c r="BL159" s="63"/>
      <c r="BM159" s="65"/>
      <c r="BN159" s="65"/>
      <c r="BO159" s="66"/>
      <c r="BP159" s="67"/>
      <c r="BQ159" s="21"/>
      <c r="BR159" s="48"/>
      <c r="BS159" s="48"/>
      <c r="BT159" s="68"/>
      <c r="BU159" s="1"/>
      <c r="GG159" s="69"/>
      <c r="GH159" s="69"/>
      <c r="GI159" s="69"/>
      <c r="GJ159" s="69"/>
      <c r="GK159" s="69"/>
      <c r="GL159" s="69"/>
      <c r="GM159" s="69"/>
      <c r="GN159" s="69"/>
      <c r="GO159" s="69"/>
      <c r="GP159" s="69"/>
      <c r="GQ159" s="69"/>
      <c r="GR159" s="69"/>
      <c r="GS159" s="69"/>
      <c r="GT159" s="69"/>
      <c r="GU159" s="69"/>
      <c r="GV159" s="69"/>
      <c r="GW159" s="69"/>
      <c r="GX159" s="69"/>
      <c r="GY159" s="69"/>
      <c r="GZ159" s="69"/>
      <c r="HA159" s="69"/>
      <c r="HB159" s="69"/>
      <c r="HC159" s="69"/>
      <c r="HD159" s="69"/>
      <c r="HE159" s="69"/>
      <c r="HF159" s="69"/>
    </row>
    <row r="160" spans="1:214" ht="15.75" customHeight="1" thickBot="1" x14ac:dyDescent="0.35">
      <c r="A160" s="1"/>
      <c r="B160" s="374">
        <v>74</v>
      </c>
      <c r="C160" s="34">
        <f>+C159+1</f>
        <v>2</v>
      </c>
      <c r="D160" s="375" t="s">
        <v>85</v>
      </c>
      <c r="E160" s="233">
        <v>1</v>
      </c>
      <c r="F160" s="233"/>
      <c r="G160" s="233">
        <v>1</v>
      </c>
      <c r="H160" s="233"/>
      <c r="I160" s="233">
        <v>1</v>
      </c>
      <c r="J160" s="233"/>
      <c r="K160" s="233">
        <v>1</v>
      </c>
      <c r="L160" s="233"/>
      <c r="M160" s="233">
        <v>1</v>
      </c>
      <c r="N160" s="233"/>
      <c r="O160" s="233">
        <v>1</v>
      </c>
      <c r="P160" s="233"/>
      <c r="Q160" s="233">
        <v>1</v>
      </c>
      <c r="R160" s="50">
        <f>IF(Q160=1,1550,850)</f>
        <v>1550</v>
      </c>
      <c r="S160" s="51">
        <f>+BH160</f>
        <v>0</v>
      </c>
      <c r="T160" s="11">
        <f t="shared" ref="T160:T163" si="363">+BA160</f>
        <v>1949.9999999999998</v>
      </c>
      <c r="U160" s="52">
        <f>+BP160</f>
        <v>0</v>
      </c>
      <c r="V160" s="52" t="str">
        <f>+BG160</f>
        <v>BONO+B ASIS</v>
      </c>
      <c r="W160" s="53">
        <f t="shared" si="357"/>
        <v>243.97333333333333</v>
      </c>
      <c r="X160" s="53">
        <f t="shared" si="337"/>
        <v>7.18</v>
      </c>
      <c r="Y160" s="53">
        <f t="shared" si="338"/>
        <v>7.18</v>
      </c>
      <c r="Z160" s="54">
        <f t="shared" si="339"/>
        <v>258.33333333333331</v>
      </c>
      <c r="AA160" s="55"/>
      <c r="AB160" s="53">
        <f t="shared" si="358"/>
        <v>243.97333333333333</v>
      </c>
      <c r="AC160" s="53">
        <f t="shared" si="340"/>
        <v>7.18</v>
      </c>
      <c r="AD160" s="53">
        <f t="shared" si="341"/>
        <v>7.18</v>
      </c>
      <c r="AE160" s="54">
        <f t="shared" si="342"/>
        <v>258.33333333333331</v>
      </c>
      <c r="AF160" s="56"/>
      <c r="AG160" s="53">
        <f t="shared" si="359"/>
        <v>243.97333333333333</v>
      </c>
      <c r="AH160" s="53">
        <f t="shared" si="343"/>
        <v>7.18</v>
      </c>
      <c r="AI160" s="53">
        <f t="shared" si="344"/>
        <v>7.18</v>
      </c>
      <c r="AJ160" s="54">
        <f t="shared" si="345"/>
        <v>258.33333333333331</v>
      </c>
      <c r="AK160" s="57"/>
      <c r="AL160" s="53">
        <f t="shared" si="360"/>
        <v>243.97333333333333</v>
      </c>
      <c r="AM160" s="53">
        <f t="shared" si="346"/>
        <v>7.18</v>
      </c>
      <c r="AN160" s="53">
        <f t="shared" si="347"/>
        <v>7.18</v>
      </c>
      <c r="AO160" s="54">
        <f t="shared" si="348"/>
        <v>258.33333333333331</v>
      </c>
      <c r="AP160" s="56"/>
      <c r="AQ160" s="53">
        <f t="shared" si="361"/>
        <v>243.97333333333333</v>
      </c>
      <c r="AR160" s="53">
        <f t="shared" si="349"/>
        <v>7.18</v>
      </c>
      <c r="AS160" s="53">
        <f t="shared" si="350"/>
        <v>7.18</v>
      </c>
      <c r="AT160" s="54">
        <f t="shared" si="351"/>
        <v>258.33333333333331</v>
      </c>
      <c r="AU160" s="56"/>
      <c r="AV160" s="53">
        <f t="shared" si="362"/>
        <v>243.97333333333333</v>
      </c>
      <c r="AW160" s="53">
        <f t="shared" si="352"/>
        <v>7.18</v>
      </c>
      <c r="AX160" s="53">
        <f t="shared" si="353"/>
        <v>7.18</v>
      </c>
      <c r="AY160" s="54">
        <f t="shared" si="354"/>
        <v>258.33333333333331</v>
      </c>
      <c r="AZ160" s="58">
        <f t="shared" si="355"/>
        <v>1549.9999999999998</v>
      </c>
      <c r="BA160" s="59">
        <f t="shared" si="356"/>
        <v>1949.9999999999998</v>
      </c>
      <c r="BB160" s="60"/>
      <c r="BC160" s="60"/>
      <c r="BD160" s="60"/>
      <c r="BE160" s="60"/>
      <c r="BF160" s="60"/>
      <c r="BG160" s="61" t="s">
        <v>133</v>
      </c>
      <c r="BH160" s="62"/>
      <c r="BI160" s="63">
        <v>250</v>
      </c>
      <c r="BJ160" s="64">
        <v>150</v>
      </c>
      <c r="BL160" s="63"/>
      <c r="BM160" s="65"/>
      <c r="BN160" s="65"/>
      <c r="BO160" s="66"/>
      <c r="BP160" s="67"/>
      <c r="BQ160" s="21"/>
      <c r="BR160" s="48"/>
      <c r="BS160" s="48"/>
      <c r="BT160" s="68"/>
      <c r="BU160" s="1"/>
      <c r="GG160" s="69"/>
      <c r="GH160" s="69"/>
      <c r="GI160" s="69"/>
      <c r="GJ160" s="69"/>
      <c r="GK160" s="69"/>
      <c r="GL160" s="69"/>
      <c r="GM160" s="69"/>
      <c r="GN160" s="69"/>
      <c r="GO160" s="69"/>
      <c r="GP160" s="69"/>
      <c r="GQ160" s="69"/>
      <c r="GR160" s="69"/>
      <c r="GS160" s="69"/>
      <c r="GT160" s="69"/>
      <c r="GU160" s="69"/>
      <c r="GV160" s="69"/>
      <c r="GW160" s="69"/>
      <c r="GX160" s="69"/>
      <c r="GY160" s="69"/>
      <c r="GZ160" s="69"/>
      <c r="HA160" s="69"/>
      <c r="HB160" s="69"/>
      <c r="HC160" s="69"/>
      <c r="HD160" s="69"/>
      <c r="HE160" s="69"/>
      <c r="HF160" s="69"/>
    </row>
    <row r="161" spans="1:214" s="69" customFormat="1" ht="15.75" customHeight="1" thickBot="1" x14ac:dyDescent="0.35">
      <c r="A161" s="1">
        <v>426</v>
      </c>
      <c r="B161" s="374">
        <v>29</v>
      </c>
      <c r="C161" s="34">
        <f>+C160+1</f>
        <v>3</v>
      </c>
      <c r="D161" s="375" t="s">
        <v>53</v>
      </c>
      <c r="E161" s="233">
        <v>1</v>
      </c>
      <c r="F161" s="233"/>
      <c r="G161" s="233">
        <v>1</v>
      </c>
      <c r="H161" s="233"/>
      <c r="I161" s="233">
        <v>1</v>
      </c>
      <c r="J161" s="233"/>
      <c r="K161" s="233">
        <v>1</v>
      </c>
      <c r="L161" s="233"/>
      <c r="M161" s="233">
        <v>1</v>
      </c>
      <c r="N161" s="233"/>
      <c r="O161" s="233">
        <v>1</v>
      </c>
      <c r="P161" s="233"/>
      <c r="Q161" s="233">
        <v>1</v>
      </c>
      <c r="R161" s="50">
        <f>IF(Q161=1,1550,850)</f>
        <v>1550</v>
      </c>
      <c r="S161" s="51">
        <f>+BH161</f>
        <v>0</v>
      </c>
      <c r="T161" s="11">
        <f t="shared" si="363"/>
        <v>1999.9999999999998</v>
      </c>
      <c r="U161" s="52">
        <f>+BP161</f>
        <v>0</v>
      </c>
      <c r="V161" s="52" t="str">
        <f>+BG161</f>
        <v>BONO+B ASIS</v>
      </c>
      <c r="W161" s="53">
        <f t="shared" si="357"/>
        <v>243.97333333333333</v>
      </c>
      <c r="X161" s="53">
        <f t="shared" si="337"/>
        <v>7.18</v>
      </c>
      <c r="Y161" s="53">
        <f t="shared" si="338"/>
        <v>7.18</v>
      </c>
      <c r="Z161" s="54">
        <f t="shared" si="339"/>
        <v>258.33333333333331</v>
      </c>
      <c r="AA161" s="55"/>
      <c r="AB161" s="53">
        <f t="shared" si="358"/>
        <v>243.97333333333333</v>
      </c>
      <c r="AC161" s="53">
        <f t="shared" si="340"/>
        <v>7.18</v>
      </c>
      <c r="AD161" s="53">
        <f t="shared" si="341"/>
        <v>7.18</v>
      </c>
      <c r="AE161" s="54">
        <f t="shared" si="342"/>
        <v>258.33333333333331</v>
      </c>
      <c r="AF161" s="56"/>
      <c r="AG161" s="53">
        <f t="shared" si="359"/>
        <v>243.97333333333333</v>
      </c>
      <c r="AH161" s="53">
        <f t="shared" si="343"/>
        <v>7.18</v>
      </c>
      <c r="AI161" s="53">
        <f t="shared" si="344"/>
        <v>7.18</v>
      </c>
      <c r="AJ161" s="54">
        <f t="shared" si="345"/>
        <v>258.33333333333331</v>
      </c>
      <c r="AK161" s="57"/>
      <c r="AL161" s="53">
        <f t="shared" si="360"/>
        <v>243.97333333333333</v>
      </c>
      <c r="AM161" s="53">
        <f t="shared" si="346"/>
        <v>7.18</v>
      </c>
      <c r="AN161" s="53">
        <f t="shared" si="347"/>
        <v>7.18</v>
      </c>
      <c r="AO161" s="54">
        <f t="shared" si="348"/>
        <v>258.33333333333331</v>
      </c>
      <c r="AP161" s="56"/>
      <c r="AQ161" s="53">
        <f t="shared" si="361"/>
        <v>243.97333333333333</v>
      </c>
      <c r="AR161" s="53">
        <f t="shared" si="349"/>
        <v>7.18</v>
      </c>
      <c r="AS161" s="53">
        <f t="shared" si="350"/>
        <v>7.18</v>
      </c>
      <c r="AT161" s="54">
        <f t="shared" si="351"/>
        <v>258.33333333333331</v>
      </c>
      <c r="AU161" s="56"/>
      <c r="AV161" s="53">
        <f t="shared" si="362"/>
        <v>243.97333333333333</v>
      </c>
      <c r="AW161" s="53">
        <f t="shared" si="352"/>
        <v>7.18</v>
      </c>
      <c r="AX161" s="53">
        <f t="shared" si="353"/>
        <v>7.18</v>
      </c>
      <c r="AY161" s="54">
        <f t="shared" si="354"/>
        <v>258.33333333333331</v>
      </c>
      <c r="AZ161" s="58">
        <f t="shared" si="355"/>
        <v>1549.9999999999998</v>
      </c>
      <c r="BA161" s="59">
        <f t="shared" si="356"/>
        <v>1999.9999999999998</v>
      </c>
      <c r="BB161" s="60"/>
      <c r="BC161" s="60"/>
      <c r="BD161" s="60"/>
      <c r="BE161" s="60"/>
      <c r="BF161" s="60"/>
      <c r="BG161" s="61" t="s">
        <v>133</v>
      </c>
      <c r="BH161" s="62"/>
      <c r="BI161" s="18">
        <v>200</v>
      </c>
      <c r="BJ161" s="63">
        <v>250</v>
      </c>
      <c r="BK161" s="64"/>
      <c r="BL161" s="63"/>
      <c r="BM161" s="65"/>
      <c r="BN161" s="65"/>
      <c r="BO161" s="66"/>
      <c r="BP161" s="67"/>
      <c r="BQ161" s="21"/>
      <c r="BR161" s="48"/>
      <c r="BS161" s="48"/>
      <c r="BT161" s="68"/>
      <c r="BU161" s="1">
        <v>426</v>
      </c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</row>
    <row r="162" spans="1:214" s="69" customFormat="1" ht="15.75" customHeight="1" thickBot="1" x14ac:dyDescent="0.35">
      <c r="A162" s="1">
        <v>426</v>
      </c>
      <c r="B162" s="380">
        <v>30</v>
      </c>
      <c r="C162" s="34">
        <f>+C161+1</f>
        <v>4</v>
      </c>
      <c r="D162" s="259" t="s">
        <v>58</v>
      </c>
      <c r="E162" s="233">
        <v>1</v>
      </c>
      <c r="F162" s="233"/>
      <c r="G162" s="233">
        <v>1</v>
      </c>
      <c r="H162" s="233"/>
      <c r="I162" s="233">
        <v>1</v>
      </c>
      <c r="J162" s="233"/>
      <c r="K162" s="233">
        <v>1</v>
      </c>
      <c r="L162" s="233"/>
      <c r="M162" s="233">
        <v>1</v>
      </c>
      <c r="N162" s="233"/>
      <c r="O162" s="233">
        <v>1</v>
      </c>
      <c r="P162" s="233"/>
      <c r="Q162" s="233">
        <v>1</v>
      </c>
      <c r="R162" s="365">
        <f>IF(Q162=1,1600,850)</f>
        <v>1600</v>
      </c>
      <c r="S162" s="51">
        <f>+BH162</f>
        <v>0</v>
      </c>
      <c r="T162" s="11">
        <f t="shared" si="363"/>
        <v>2149.9999999999995</v>
      </c>
      <c r="U162" s="52">
        <f>+BP162</f>
        <v>0</v>
      </c>
      <c r="V162" s="52" t="str">
        <f>+BG162</f>
        <v>BONO+B ASIS</v>
      </c>
      <c r="W162" s="53">
        <f t="shared" si="357"/>
        <v>252.30666666666664</v>
      </c>
      <c r="X162" s="53">
        <f t="shared" si="337"/>
        <v>7.18</v>
      </c>
      <c r="Y162" s="53">
        <f t="shared" si="338"/>
        <v>7.18</v>
      </c>
      <c r="Z162" s="54">
        <f t="shared" si="339"/>
        <v>266.66666666666663</v>
      </c>
      <c r="AA162" s="55"/>
      <c r="AB162" s="53">
        <f t="shared" si="358"/>
        <v>252.30666666666664</v>
      </c>
      <c r="AC162" s="53">
        <f t="shared" si="340"/>
        <v>7.18</v>
      </c>
      <c r="AD162" s="53">
        <f t="shared" si="341"/>
        <v>7.18</v>
      </c>
      <c r="AE162" s="54">
        <f t="shared" si="342"/>
        <v>266.66666666666663</v>
      </c>
      <c r="AF162" s="56"/>
      <c r="AG162" s="53">
        <f t="shared" si="359"/>
        <v>252.30666666666664</v>
      </c>
      <c r="AH162" s="53">
        <f t="shared" si="343"/>
        <v>7.18</v>
      </c>
      <c r="AI162" s="53">
        <f t="shared" si="344"/>
        <v>7.18</v>
      </c>
      <c r="AJ162" s="54">
        <f t="shared" si="345"/>
        <v>266.66666666666663</v>
      </c>
      <c r="AK162" s="57"/>
      <c r="AL162" s="53">
        <f t="shared" si="360"/>
        <v>252.30666666666664</v>
      </c>
      <c r="AM162" s="53">
        <f t="shared" si="346"/>
        <v>7.18</v>
      </c>
      <c r="AN162" s="53">
        <f t="shared" si="347"/>
        <v>7.18</v>
      </c>
      <c r="AO162" s="54">
        <f t="shared" si="348"/>
        <v>266.66666666666663</v>
      </c>
      <c r="AP162" s="56"/>
      <c r="AQ162" s="53">
        <f t="shared" si="361"/>
        <v>252.30666666666664</v>
      </c>
      <c r="AR162" s="53">
        <f t="shared" si="349"/>
        <v>7.18</v>
      </c>
      <c r="AS162" s="53">
        <f t="shared" si="350"/>
        <v>7.18</v>
      </c>
      <c r="AT162" s="54">
        <f t="shared" si="351"/>
        <v>266.66666666666663</v>
      </c>
      <c r="AU162" s="56"/>
      <c r="AV162" s="53">
        <f t="shared" si="362"/>
        <v>252.30666666666664</v>
      </c>
      <c r="AW162" s="53">
        <f t="shared" si="352"/>
        <v>7.18</v>
      </c>
      <c r="AX162" s="53">
        <f t="shared" si="353"/>
        <v>7.18</v>
      </c>
      <c r="AY162" s="54">
        <f t="shared" si="354"/>
        <v>266.66666666666663</v>
      </c>
      <c r="AZ162" s="58">
        <f t="shared" si="355"/>
        <v>1599.9999999999995</v>
      </c>
      <c r="BA162" s="59">
        <f t="shared" si="356"/>
        <v>2149.9999999999995</v>
      </c>
      <c r="BB162" s="60"/>
      <c r="BC162" s="60"/>
      <c r="BD162" s="60"/>
      <c r="BE162" s="60"/>
      <c r="BF162" s="60"/>
      <c r="BG162" s="61" t="s">
        <v>133</v>
      </c>
      <c r="BH162" s="62"/>
      <c r="BI162" s="63">
        <v>300</v>
      </c>
      <c r="BJ162" s="63">
        <v>250</v>
      </c>
      <c r="BK162" s="64"/>
      <c r="BL162" s="63"/>
      <c r="BM162" s="65"/>
      <c r="BN162" s="65"/>
      <c r="BO162" s="66"/>
      <c r="BP162" s="67"/>
      <c r="BQ162" s="21"/>
      <c r="BR162" s="48"/>
      <c r="BS162" s="48"/>
      <c r="BT162" s="68"/>
      <c r="BU162" s="1">
        <v>426</v>
      </c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</row>
    <row r="163" spans="1:214" s="69" customFormat="1" ht="15.75" customHeight="1" thickBot="1" x14ac:dyDescent="0.35">
      <c r="A163" s="279"/>
      <c r="B163" s="379">
        <v>137</v>
      </c>
      <c r="C163" s="34">
        <f>+C162+1</f>
        <v>5</v>
      </c>
      <c r="D163" s="378" t="s">
        <v>118</v>
      </c>
      <c r="E163" s="233">
        <v>1</v>
      </c>
      <c r="F163" s="233"/>
      <c r="G163" s="233">
        <v>1</v>
      </c>
      <c r="H163" s="233"/>
      <c r="I163" s="233">
        <v>1</v>
      </c>
      <c r="J163" s="233"/>
      <c r="K163" s="233">
        <v>1</v>
      </c>
      <c r="L163" s="233"/>
      <c r="M163" s="233">
        <v>1</v>
      </c>
      <c r="N163" s="233"/>
      <c r="O163" s="233">
        <v>1</v>
      </c>
      <c r="P163" s="233"/>
      <c r="Q163" s="233">
        <v>1</v>
      </c>
      <c r="R163" s="50">
        <f>IF(Q163=1,1550,850)</f>
        <v>1550</v>
      </c>
      <c r="S163" s="51">
        <f>+BH163</f>
        <v>0</v>
      </c>
      <c r="T163" s="11">
        <f t="shared" si="363"/>
        <v>1949.9999999999998</v>
      </c>
      <c r="U163" s="52">
        <f>+BP163</f>
        <v>0</v>
      </c>
      <c r="V163" s="52" t="str">
        <f>+BG163</f>
        <v>BONO+B ASIS</v>
      </c>
      <c r="W163" s="53">
        <f t="shared" si="357"/>
        <v>243.97333333333333</v>
      </c>
      <c r="X163" s="53">
        <f t="shared" si="337"/>
        <v>7.18</v>
      </c>
      <c r="Y163" s="53">
        <f t="shared" si="338"/>
        <v>7.18</v>
      </c>
      <c r="Z163" s="54">
        <f t="shared" si="339"/>
        <v>258.33333333333331</v>
      </c>
      <c r="AA163" s="55"/>
      <c r="AB163" s="53">
        <f t="shared" si="358"/>
        <v>243.97333333333333</v>
      </c>
      <c r="AC163" s="53">
        <f t="shared" si="340"/>
        <v>7.18</v>
      </c>
      <c r="AD163" s="53">
        <f t="shared" si="341"/>
        <v>7.18</v>
      </c>
      <c r="AE163" s="54">
        <f t="shared" si="342"/>
        <v>258.33333333333331</v>
      </c>
      <c r="AF163" s="56"/>
      <c r="AG163" s="53">
        <f t="shared" si="359"/>
        <v>243.97333333333333</v>
      </c>
      <c r="AH163" s="53">
        <f t="shared" si="343"/>
        <v>7.18</v>
      </c>
      <c r="AI163" s="53">
        <f t="shared" si="344"/>
        <v>7.18</v>
      </c>
      <c r="AJ163" s="54">
        <f t="shared" si="345"/>
        <v>258.33333333333331</v>
      </c>
      <c r="AK163" s="57"/>
      <c r="AL163" s="53">
        <f t="shared" si="360"/>
        <v>243.97333333333333</v>
      </c>
      <c r="AM163" s="53">
        <f t="shared" si="346"/>
        <v>7.18</v>
      </c>
      <c r="AN163" s="53">
        <f t="shared" si="347"/>
        <v>7.18</v>
      </c>
      <c r="AO163" s="54">
        <f t="shared" si="348"/>
        <v>258.33333333333331</v>
      </c>
      <c r="AP163" s="56"/>
      <c r="AQ163" s="53">
        <f t="shared" si="361"/>
        <v>243.97333333333333</v>
      </c>
      <c r="AR163" s="53">
        <f t="shared" si="349"/>
        <v>7.18</v>
      </c>
      <c r="AS163" s="53">
        <f t="shared" si="350"/>
        <v>7.18</v>
      </c>
      <c r="AT163" s="54">
        <f t="shared" si="351"/>
        <v>258.33333333333331</v>
      </c>
      <c r="AU163" s="56"/>
      <c r="AV163" s="53">
        <f t="shared" si="362"/>
        <v>243.97333333333333</v>
      </c>
      <c r="AW163" s="53">
        <f t="shared" si="352"/>
        <v>7.18</v>
      </c>
      <c r="AX163" s="53">
        <f t="shared" si="353"/>
        <v>7.18</v>
      </c>
      <c r="AY163" s="54">
        <f t="shared" si="354"/>
        <v>258.33333333333331</v>
      </c>
      <c r="AZ163" s="58">
        <f t="shared" si="355"/>
        <v>1549.9999999999998</v>
      </c>
      <c r="BA163" s="59">
        <f t="shared" si="356"/>
        <v>1949.9999999999998</v>
      </c>
      <c r="BB163" s="280"/>
      <c r="BC163" s="280"/>
      <c r="BD163" s="280"/>
      <c r="BE163" s="280"/>
      <c r="BF163" s="280"/>
      <c r="BG163" s="61" t="s">
        <v>133</v>
      </c>
      <c r="BH163" s="281"/>
      <c r="BI163" s="282">
        <v>250</v>
      </c>
      <c r="BJ163" s="282">
        <v>150</v>
      </c>
      <c r="BK163" s="282"/>
      <c r="BL163" s="282"/>
      <c r="BM163" s="282"/>
      <c r="BN163" s="282"/>
      <c r="BO163" s="283"/>
      <c r="BP163" s="284"/>
      <c r="BQ163" s="285"/>
      <c r="BR163" s="286"/>
      <c r="BS163" s="286"/>
      <c r="BT163" s="287"/>
      <c r="BU163" s="279"/>
      <c r="BV163" s="287"/>
      <c r="BW163" s="287"/>
      <c r="BX163" s="287"/>
      <c r="BY163" s="287"/>
      <c r="BZ163" s="287"/>
      <c r="CA163" s="287"/>
      <c r="CB163" s="287"/>
      <c r="CC163" s="287"/>
      <c r="CD163" s="287"/>
      <c r="CE163" s="287"/>
      <c r="CF163" s="287"/>
      <c r="CG163" s="287"/>
      <c r="CH163" s="287"/>
      <c r="CI163" s="287"/>
      <c r="CJ163" s="287"/>
      <c r="CK163" s="287"/>
      <c r="CL163" s="287"/>
      <c r="CM163" s="287"/>
      <c r="CN163" s="287"/>
      <c r="CO163" s="287"/>
      <c r="CP163" s="287"/>
      <c r="CQ163" s="287"/>
      <c r="CR163" s="287"/>
      <c r="CS163" s="287"/>
      <c r="CT163" s="287"/>
      <c r="CU163" s="287"/>
      <c r="CV163" s="287"/>
      <c r="CW163" s="287"/>
      <c r="CX163" s="287"/>
      <c r="CY163" s="287"/>
      <c r="CZ163" s="287"/>
      <c r="DA163" s="287"/>
      <c r="DB163" s="287"/>
      <c r="DC163" s="287"/>
      <c r="DD163" s="287"/>
      <c r="DE163" s="287"/>
      <c r="DF163" s="287"/>
      <c r="DG163" s="287"/>
      <c r="DH163" s="287"/>
      <c r="DI163" s="287"/>
      <c r="DJ163" s="287"/>
      <c r="DK163" s="287"/>
      <c r="DL163" s="287"/>
      <c r="DM163" s="287"/>
      <c r="DN163" s="287"/>
      <c r="DO163" s="287"/>
      <c r="DP163" s="287"/>
      <c r="DQ163" s="287"/>
      <c r="DR163" s="287"/>
      <c r="DS163" s="287"/>
      <c r="DT163" s="287"/>
      <c r="DU163" s="287"/>
      <c r="DV163" s="287"/>
      <c r="DW163" s="287"/>
      <c r="DX163" s="287"/>
      <c r="DY163" s="287"/>
      <c r="DZ163" s="287"/>
      <c r="EA163" s="287"/>
      <c r="EB163" s="287"/>
      <c r="EC163" s="287"/>
      <c r="ED163" s="287"/>
      <c r="EE163" s="287"/>
      <c r="EF163" s="287"/>
      <c r="EG163" s="287"/>
      <c r="EH163" s="287"/>
      <c r="EI163" s="287"/>
      <c r="EJ163" s="287"/>
      <c r="EK163" s="287"/>
      <c r="EL163" s="287"/>
      <c r="EM163" s="287"/>
      <c r="EN163" s="287"/>
      <c r="EO163" s="287"/>
      <c r="EP163" s="287"/>
      <c r="EQ163" s="287"/>
      <c r="ER163" s="287"/>
      <c r="ES163" s="287"/>
      <c r="ET163" s="287"/>
      <c r="EU163" s="287"/>
      <c r="EV163" s="287"/>
      <c r="EW163" s="287"/>
      <c r="EX163" s="287"/>
      <c r="EY163" s="287"/>
      <c r="EZ163" s="287"/>
      <c r="FA163" s="287"/>
      <c r="FB163" s="287"/>
      <c r="FC163" s="287"/>
      <c r="FD163" s="287"/>
      <c r="FE163" s="287"/>
      <c r="FF163" s="287"/>
      <c r="FG163" s="287"/>
      <c r="FH163" s="287"/>
      <c r="FI163" s="287"/>
      <c r="FJ163" s="287"/>
      <c r="FK163" s="287"/>
      <c r="FL163" s="287"/>
      <c r="FM163" s="287"/>
      <c r="FN163" s="287"/>
      <c r="FO163" s="287"/>
      <c r="FP163" s="287"/>
      <c r="FQ163" s="287"/>
      <c r="FR163" s="287"/>
      <c r="FS163" s="287"/>
      <c r="FT163" s="287"/>
      <c r="FU163" s="287"/>
      <c r="FV163" s="287"/>
      <c r="FW163" s="287"/>
      <c r="FX163" s="287"/>
      <c r="FY163" s="287"/>
      <c r="FZ163" s="287"/>
      <c r="GA163" s="287"/>
      <c r="GB163" s="287"/>
      <c r="GC163" s="287"/>
      <c r="GD163" s="287"/>
      <c r="GE163" s="287"/>
      <c r="GF163" s="287"/>
      <c r="GG163" s="287"/>
      <c r="GH163" s="287"/>
      <c r="GI163" s="287"/>
      <c r="GJ163" s="287"/>
      <c r="GK163" s="287"/>
      <c r="GL163" s="287"/>
      <c r="GM163" s="287"/>
      <c r="GN163" s="287"/>
      <c r="GO163" s="287"/>
      <c r="GP163" s="287"/>
      <c r="GQ163" s="287"/>
      <c r="GR163" s="287"/>
      <c r="GS163" s="287"/>
      <c r="GT163" s="287"/>
      <c r="GU163" s="287"/>
      <c r="GV163" s="287"/>
      <c r="GW163" s="287"/>
      <c r="GX163" s="287"/>
      <c r="GY163" s="287"/>
      <c r="GZ163" s="287"/>
      <c r="HA163" s="287"/>
      <c r="HB163" s="287"/>
      <c r="HC163" s="287"/>
      <c r="HD163" s="287"/>
      <c r="HE163" s="287"/>
      <c r="HF163" s="287"/>
    </row>
    <row r="164" spans="1:214" ht="15.75" customHeight="1" thickBot="1" x14ac:dyDescent="0.35">
      <c r="A164" s="1">
        <v>504</v>
      </c>
      <c r="B164" s="78"/>
      <c r="C164" s="79"/>
      <c r="D164" s="21"/>
      <c r="E164" s="80">
        <f>SUM(E158:E163)</f>
        <v>5</v>
      </c>
      <c r="F164" s="80"/>
      <c r="G164" s="80">
        <f>SUM(G158:G163)</f>
        <v>5</v>
      </c>
      <c r="H164" s="80"/>
      <c r="I164" s="80">
        <f>SUM(I158:I163)</f>
        <v>6</v>
      </c>
      <c r="J164" s="81"/>
      <c r="K164" s="80">
        <f>SUM(K158:K163)</f>
        <v>5</v>
      </c>
      <c r="L164" s="81"/>
      <c r="M164" s="80">
        <f>SUM(M158:M163)</f>
        <v>5</v>
      </c>
      <c r="N164" s="80"/>
      <c r="O164" s="80">
        <f>SUM(O158:O163)</f>
        <v>5</v>
      </c>
      <c r="P164" s="80"/>
      <c r="Q164" s="8"/>
      <c r="R164" s="82"/>
      <c r="S164" s="51"/>
      <c r="T164" s="11"/>
      <c r="U164" s="52"/>
      <c r="V164" s="52"/>
      <c r="W164" s="53"/>
      <c r="X164" s="53"/>
      <c r="Y164" s="53"/>
      <c r="Z164" s="54"/>
      <c r="AA164" s="55"/>
      <c r="AB164" s="53"/>
      <c r="AC164" s="53"/>
      <c r="AD164" s="53"/>
      <c r="AE164" s="54"/>
      <c r="AF164" s="56"/>
      <c r="AG164" s="53"/>
      <c r="AH164" s="53"/>
      <c r="AI164" s="53"/>
      <c r="AJ164" s="54"/>
      <c r="AK164" s="57"/>
      <c r="AL164" s="53"/>
      <c r="AM164" s="53"/>
      <c r="AN164" s="53"/>
      <c r="AO164" s="54"/>
      <c r="AP164" s="56"/>
      <c r="AQ164" s="53"/>
      <c r="AR164" s="53"/>
      <c r="AS164" s="53"/>
      <c r="AT164" s="54"/>
      <c r="AU164" s="56"/>
      <c r="AV164" s="53"/>
      <c r="AW164" s="53"/>
      <c r="AX164" s="53"/>
      <c r="AY164" s="54"/>
      <c r="AZ164" s="58"/>
      <c r="BA164" s="59"/>
      <c r="BG164" s="83"/>
      <c r="BO164" s="67"/>
      <c r="BP164" s="67"/>
      <c r="BQ164" s="21"/>
      <c r="BR164" s="84"/>
      <c r="BS164" s="84"/>
      <c r="BU164" s="1">
        <v>504</v>
      </c>
    </row>
    <row r="165" spans="1:214" ht="15.75" customHeight="1" thickBot="1" x14ac:dyDescent="0.45">
      <c r="A165" s="1">
        <v>505</v>
      </c>
      <c r="C165" s="79"/>
      <c r="D165" s="21"/>
      <c r="E165" s="8"/>
      <c r="F165" s="85"/>
      <c r="G165" s="8"/>
      <c r="H165" s="22"/>
      <c r="I165" s="8"/>
      <c r="J165" s="22"/>
      <c r="K165" s="8"/>
      <c r="L165" s="22"/>
      <c r="M165" s="8"/>
      <c r="N165" s="22"/>
      <c r="O165" s="8"/>
      <c r="P165" s="22"/>
      <c r="Q165" s="8"/>
      <c r="R165" s="82"/>
      <c r="S165" s="51"/>
      <c r="T165" s="11"/>
      <c r="U165" s="52"/>
      <c r="V165" s="52"/>
      <c r="W165" s="53"/>
      <c r="X165" s="53"/>
      <c r="Y165" s="53"/>
      <c r="Z165" s="54"/>
      <c r="AA165" s="55"/>
      <c r="AB165" s="53"/>
      <c r="AC165" s="53"/>
      <c r="AD165" s="53"/>
      <c r="AE165" s="54"/>
      <c r="AF165" s="56"/>
      <c r="AG165" s="53"/>
      <c r="AH165" s="53"/>
      <c r="AI165" s="53"/>
      <c r="AJ165" s="54"/>
      <c r="AK165" s="57"/>
      <c r="AL165" s="53"/>
      <c r="AM165" s="53"/>
      <c r="AN165" s="53"/>
      <c r="AO165" s="54"/>
      <c r="AP165" s="56"/>
      <c r="AQ165" s="53"/>
      <c r="AR165" s="53"/>
      <c r="AS165" s="53"/>
      <c r="AT165" s="54"/>
      <c r="AU165" s="56"/>
      <c r="AV165" s="53"/>
      <c r="AW165" s="53"/>
      <c r="AX165" s="53"/>
      <c r="AY165" s="54"/>
      <c r="AZ165" s="58"/>
      <c r="BA165" s="59"/>
      <c r="BG165" s="83"/>
      <c r="BO165" s="86"/>
      <c r="BP165" s="87"/>
      <c r="BQ165" s="21"/>
      <c r="BT165" s="68"/>
      <c r="BU165" s="1">
        <v>505</v>
      </c>
    </row>
    <row r="166" spans="1:214" ht="15.75" customHeight="1" thickBot="1" x14ac:dyDescent="0.35">
      <c r="A166" s="1">
        <v>506</v>
      </c>
      <c r="B166" s="88" t="s">
        <v>26</v>
      </c>
      <c r="C166" s="89" t="s">
        <v>27</v>
      </c>
      <c r="D166" s="90"/>
      <c r="E166" s="8"/>
      <c r="F166" s="91"/>
      <c r="G166" s="42" t="s">
        <v>8</v>
      </c>
      <c r="H166" s="42"/>
      <c r="I166" s="42" t="s">
        <v>9</v>
      </c>
      <c r="J166" s="42"/>
      <c r="K166" s="42" t="s">
        <v>9</v>
      </c>
      <c r="L166" s="42"/>
      <c r="M166" s="42" t="s">
        <v>10</v>
      </c>
      <c r="N166" s="42"/>
      <c r="O166" s="42" t="s">
        <v>11</v>
      </c>
      <c r="P166" s="42"/>
      <c r="Q166" s="42" t="s">
        <v>12</v>
      </c>
      <c r="R166" s="42"/>
      <c r="S166" s="9"/>
      <c r="T166" s="11"/>
      <c r="U166" s="11"/>
      <c r="V166" s="11"/>
      <c r="W166" s="12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59"/>
      <c r="BO166" s="92"/>
      <c r="BP166" s="92"/>
      <c r="BQ166" s="21"/>
      <c r="BR166" s="21"/>
      <c r="BS166" s="21"/>
      <c r="BT166" s="68"/>
      <c r="BU166" s="1">
        <v>506</v>
      </c>
    </row>
    <row r="167" spans="1:214" ht="20.25" customHeight="1" thickBot="1" x14ac:dyDescent="0.35">
      <c r="A167" s="1">
        <v>507</v>
      </c>
      <c r="B167" s="21">
        <f>E164</f>
        <v>5</v>
      </c>
      <c r="C167" s="93">
        <f>G171</f>
        <v>5</v>
      </c>
      <c r="D167" s="94">
        <f t="shared" ref="D167:D172" si="364">+B167-C167</f>
        <v>0</v>
      </c>
      <c r="E167" s="95"/>
      <c r="F167" s="96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8" t="s">
        <v>28</v>
      </c>
      <c r="S167" s="10"/>
      <c r="T167" s="10"/>
      <c r="U167" s="94"/>
      <c r="V167" s="40"/>
      <c r="W167" s="42"/>
      <c r="X167" s="9"/>
      <c r="Y167" s="9"/>
      <c r="Z167" s="9"/>
      <c r="AA167" s="9"/>
      <c r="AB167" s="42"/>
      <c r="AC167" s="9"/>
      <c r="AD167" s="9"/>
      <c r="AE167" s="9"/>
      <c r="AF167" s="9"/>
      <c r="AG167" s="42"/>
      <c r="AH167" s="9"/>
      <c r="AI167" s="9"/>
      <c r="AJ167" s="9"/>
      <c r="AK167" s="9"/>
      <c r="AL167" s="9"/>
      <c r="AM167" s="9"/>
      <c r="AN167" s="9"/>
      <c r="AO167" s="9"/>
      <c r="AP167" s="9"/>
      <c r="AQ167" s="42"/>
      <c r="AR167" s="9"/>
      <c r="AS167" s="9"/>
      <c r="AT167" s="9"/>
      <c r="AU167" s="9"/>
      <c r="AV167" s="42"/>
      <c r="AW167" s="9"/>
      <c r="AX167" s="9"/>
      <c r="AY167" s="9"/>
      <c r="AZ167" s="99"/>
      <c r="BA167" s="59"/>
      <c r="BE167" s="100"/>
      <c r="BO167" s="101"/>
      <c r="BP167" s="92"/>
      <c r="BQ167" s="21"/>
      <c r="BR167" s="21"/>
      <c r="BS167" s="21"/>
      <c r="BT167" s="68"/>
      <c r="BU167" s="1">
        <v>507</v>
      </c>
    </row>
    <row r="168" spans="1:214" ht="20.25" customHeight="1" thickBot="1" x14ac:dyDescent="0.35">
      <c r="A168" s="1">
        <v>508</v>
      </c>
      <c r="B168" s="21">
        <f>G164</f>
        <v>5</v>
      </c>
      <c r="C168" s="93">
        <f>I171</f>
        <v>5</v>
      </c>
      <c r="D168" s="94">
        <f t="shared" si="364"/>
        <v>0</v>
      </c>
      <c r="E168" s="102" t="s">
        <v>30</v>
      </c>
      <c r="F168" s="103"/>
      <c r="G168" s="104">
        <v>1</v>
      </c>
      <c r="H168" s="105"/>
      <c r="I168" s="104">
        <v>1</v>
      </c>
      <c r="J168" s="105"/>
      <c r="K168" s="104">
        <v>1</v>
      </c>
      <c r="L168" s="105"/>
      <c r="M168" s="104">
        <v>1</v>
      </c>
      <c r="N168" s="105"/>
      <c r="O168" s="104">
        <v>1</v>
      </c>
      <c r="P168" s="105"/>
      <c r="Q168" s="104">
        <v>1</v>
      </c>
      <c r="R168" s="111">
        <f t="shared" ref="R168:R170" si="365">AVERAGE(G168,I168,K168,M168,O168,Q168)</f>
        <v>1</v>
      </c>
      <c r="S168" s="10"/>
      <c r="T168" s="11"/>
      <c r="U168" s="94"/>
      <c r="V168" s="40"/>
      <c r="W168" s="42"/>
      <c r="X168" s="9"/>
      <c r="Y168" s="9"/>
      <c r="Z168" s="9"/>
      <c r="AA168" s="9"/>
      <c r="AB168" s="42"/>
      <c r="AC168" s="9"/>
      <c r="AD168" s="9"/>
      <c r="AE168" s="9"/>
      <c r="AF168" s="9"/>
      <c r="AG168" s="42"/>
      <c r="AH168" s="9"/>
      <c r="AI168" s="9"/>
      <c r="AJ168" s="9"/>
      <c r="AK168" s="9"/>
      <c r="AL168" s="9"/>
      <c r="AM168" s="9"/>
      <c r="AN168" s="9"/>
      <c r="AO168" s="9"/>
      <c r="AP168" s="9"/>
      <c r="AQ168" s="42"/>
      <c r="AR168" s="9"/>
      <c r="AS168" s="9"/>
      <c r="AT168" s="9"/>
      <c r="AU168" s="9"/>
      <c r="AV168" s="42"/>
      <c r="AW168" s="9"/>
      <c r="AX168" s="9"/>
      <c r="AY168" s="9"/>
      <c r="AZ168" s="99"/>
      <c r="BA168" s="59"/>
      <c r="BE168" s="100"/>
      <c r="BO168" s="101"/>
      <c r="BP168" s="92"/>
      <c r="BQ168" s="21"/>
      <c r="BR168" s="21"/>
      <c r="BS168" s="21"/>
      <c r="BT168" s="68"/>
      <c r="BU168" s="1">
        <v>508</v>
      </c>
    </row>
    <row r="169" spans="1:214" ht="20.25" customHeight="1" thickBot="1" x14ac:dyDescent="0.35">
      <c r="A169" s="1"/>
      <c r="B169" s="21">
        <f>I164</f>
        <v>6</v>
      </c>
      <c r="C169" s="93">
        <f>K171</f>
        <v>6</v>
      </c>
      <c r="D169" s="94">
        <f t="shared" si="364"/>
        <v>0</v>
      </c>
      <c r="E169" s="102" t="s">
        <v>32</v>
      </c>
      <c r="F169" s="103"/>
      <c r="G169" s="104">
        <v>3</v>
      </c>
      <c r="H169" s="105"/>
      <c r="I169" s="104">
        <v>3</v>
      </c>
      <c r="J169" s="105"/>
      <c r="K169" s="104">
        <v>4</v>
      </c>
      <c r="L169" s="105"/>
      <c r="M169" s="104">
        <v>3</v>
      </c>
      <c r="N169" s="105"/>
      <c r="O169" s="104">
        <v>3</v>
      </c>
      <c r="P169" s="105"/>
      <c r="Q169" s="104">
        <v>3</v>
      </c>
      <c r="R169" s="111">
        <f t="shared" si="365"/>
        <v>3.1666666666666665</v>
      </c>
      <c r="S169" s="10"/>
      <c r="T169" s="11"/>
      <c r="U169" s="94"/>
      <c r="V169" s="40"/>
      <c r="W169" s="42"/>
      <c r="X169" s="9"/>
      <c r="Y169" s="9"/>
      <c r="Z169" s="9"/>
      <c r="AA169" s="9"/>
      <c r="AB169" s="42"/>
      <c r="AC169" s="9"/>
      <c r="AD169" s="9"/>
      <c r="AE169" s="9"/>
      <c r="AF169" s="9"/>
      <c r="AG169" s="42"/>
      <c r="AH169" s="9"/>
      <c r="AI169" s="9"/>
      <c r="AJ169" s="9"/>
      <c r="AK169" s="9"/>
      <c r="AL169" s="9"/>
      <c r="AM169" s="9"/>
      <c r="AN169" s="9"/>
      <c r="AO169" s="9"/>
      <c r="AP169" s="9"/>
      <c r="AQ169" s="42"/>
      <c r="AR169" s="9"/>
      <c r="AS169" s="9"/>
      <c r="AT169" s="9"/>
      <c r="AU169" s="9"/>
      <c r="AV169" s="42"/>
      <c r="AW169" s="9"/>
      <c r="AX169" s="9"/>
      <c r="AY169" s="9"/>
      <c r="AZ169" s="99"/>
      <c r="BA169" s="59"/>
      <c r="BE169" s="100"/>
      <c r="BO169" s="101"/>
      <c r="BP169" s="92"/>
      <c r="BQ169" s="21"/>
      <c r="BR169" s="21"/>
      <c r="BS169" s="21"/>
      <c r="BT169" s="68"/>
      <c r="BU169" s="1"/>
    </row>
    <row r="170" spans="1:214" ht="20.25" customHeight="1" thickBot="1" x14ac:dyDescent="0.35">
      <c r="A170" s="1"/>
      <c r="B170" s="21">
        <f>K164</f>
        <v>5</v>
      </c>
      <c r="C170" s="93">
        <f>M171</f>
        <v>5</v>
      </c>
      <c r="D170" s="94">
        <f t="shared" si="364"/>
        <v>0</v>
      </c>
      <c r="E170" s="135" t="s">
        <v>29</v>
      </c>
      <c r="F170" s="136"/>
      <c r="G170" s="137">
        <v>1</v>
      </c>
      <c r="H170" s="138"/>
      <c r="I170" s="137">
        <v>1</v>
      </c>
      <c r="J170" s="138"/>
      <c r="K170" s="137">
        <v>1</v>
      </c>
      <c r="L170" s="138"/>
      <c r="M170" s="137">
        <v>1</v>
      </c>
      <c r="N170" s="138"/>
      <c r="O170" s="137">
        <v>1</v>
      </c>
      <c r="P170" s="138"/>
      <c r="Q170" s="137">
        <v>1</v>
      </c>
      <c r="R170" s="111">
        <f t="shared" si="365"/>
        <v>1</v>
      </c>
      <c r="S170" s="10"/>
      <c r="T170" s="11"/>
      <c r="U170" s="94"/>
      <c r="V170" s="40"/>
      <c r="W170" s="42"/>
      <c r="X170" s="9"/>
      <c r="Y170" s="9"/>
      <c r="Z170" s="9"/>
      <c r="AA170" s="9"/>
      <c r="AB170" s="42"/>
      <c r="AC170" s="9"/>
      <c r="AD170" s="9"/>
      <c r="AE170" s="9"/>
      <c r="AF170" s="9"/>
      <c r="AG170" s="42"/>
      <c r="AH170" s="9"/>
      <c r="AI170" s="9"/>
      <c r="AJ170" s="9"/>
      <c r="AK170" s="9"/>
      <c r="AL170" s="9"/>
      <c r="AM170" s="9"/>
      <c r="AN170" s="9"/>
      <c r="AO170" s="9"/>
      <c r="AP170" s="9"/>
      <c r="AQ170" s="42"/>
      <c r="AR170" s="9"/>
      <c r="AS170" s="9"/>
      <c r="AT170" s="9"/>
      <c r="AU170" s="9"/>
      <c r="AV170" s="42"/>
      <c r="AW170" s="9"/>
      <c r="AX170" s="9"/>
      <c r="AY170" s="9"/>
      <c r="AZ170" s="99"/>
      <c r="BA170" s="59"/>
      <c r="BE170" s="100"/>
      <c r="BO170" s="101"/>
      <c r="BP170" s="92"/>
      <c r="BQ170" s="21"/>
      <c r="BR170" s="21"/>
      <c r="BS170" s="21"/>
      <c r="BT170" s="68"/>
      <c r="BU170" s="1"/>
    </row>
    <row r="171" spans="1:214" ht="20.25" customHeight="1" thickBot="1" x14ac:dyDescent="0.35">
      <c r="A171" s="1">
        <v>509</v>
      </c>
      <c r="B171" s="21">
        <f>M164</f>
        <v>5</v>
      </c>
      <c r="C171" s="93">
        <f>O171</f>
        <v>5</v>
      </c>
      <c r="D171" s="94">
        <f t="shared" si="364"/>
        <v>0</v>
      </c>
      <c r="E171" s="108"/>
      <c r="F171" s="109"/>
      <c r="G171" s="110">
        <f>SUM(G168:G170)</f>
        <v>5</v>
      </c>
      <c r="H171" s="110"/>
      <c r="I171" s="110">
        <f>SUM(I168:I170)</f>
        <v>5</v>
      </c>
      <c r="J171" s="110"/>
      <c r="K171" s="110">
        <f>SUM(K168:K170)</f>
        <v>6</v>
      </c>
      <c r="L171" s="110"/>
      <c r="M171" s="110">
        <f>SUM(M168:M170)</f>
        <v>5</v>
      </c>
      <c r="N171" s="110"/>
      <c r="O171" s="110">
        <f>SUM(O168:O170)</f>
        <v>5</v>
      </c>
      <c r="P171" s="110"/>
      <c r="Q171" s="110">
        <f>SUM(Q168:Q170)</f>
        <v>5</v>
      </c>
      <c r="R171" s="111">
        <f>AVERAGE(G171,I171,K171,M171,O171,Q171)</f>
        <v>5.166666666666667</v>
      </c>
      <c r="S171" s="10"/>
      <c r="T171" s="11"/>
      <c r="U171" s="94"/>
      <c r="V171" s="40"/>
      <c r="W171" s="42"/>
      <c r="X171" s="9"/>
      <c r="Y171" s="9"/>
      <c r="Z171" s="9"/>
      <c r="AA171" s="9"/>
      <c r="AB171" s="42"/>
      <c r="AC171" s="9"/>
      <c r="AD171" s="9"/>
      <c r="AE171" s="9"/>
      <c r="AF171" s="9"/>
      <c r="AG171" s="42"/>
      <c r="AH171" s="9"/>
      <c r="AI171" s="9"/>
      <c r="AJ171" s="9"/>
      <c r="AK171" s="9"/>
      <c r="AL171" s="9"/>
      <c r="AM171" s="9"/>
      <c r="AN171" s="9"/>
      <c r="AO171" s="9"/>
      <c r="AP171" s="9"/>
      <c r="AQ171" s="42"/>
      <c r="AR171" s="9"/>
      <c r="AS171" s="9"/>
      <c r="AT171" s="9"/>
      <c r="AU171" s="9"/>
      <c r="AV171" s="42"/>
      <c r="AW171" s="9"/>
      <c r="AX171" s="9"/>
      <c r="AY171" s="9"/>
      <c r="AZ171" s="99"/>
      <c r="BA171" s="59"/>
      <c r="BE171" s="100"/>
      <c r="BO171" s="101"/>
      <c r="BP171" s="92"/>
      <c r="BQ171" s="21"/>
      <c r="BR171" s="21"/>
      <c r="BS171" s="21"/>
      <c r="BT171" s="68"/>
      <c r="BU171" s="1">
        <v>509</v>
      </c>
    </row>
    <row r="172" spans="1:214" ht="20.25" customHeight="1" x14ac:dyDescent="0.3">
      <c r="A172" s="1">
        <v>510</v>
      </c>
      <c r="B172" s="21">
        <f>O164</f>
        <v>5</v>
      </c>
      <c r="C172" s="93">
        <f>Q171</f>
        <v>5</v>
      </c>
      <c r="D172" s="94">
        <f t="shared" si="364"/>
        <v>0</v>
      </c>
      <c r="E172" s="112"/>
      <c r="F172" s="113"/>
      <c r="G172" s="112"/>
      <c r="H172" s="114"/>
      <c r="I172" s="112"/>
      <c r="J172" s="114"/>
      <c r="K172" s="112"/>
      <c r="L172" s="114"/>
      <c r="M172" s="112"/>
      <c r="N172" s="114"/>
      <c r="O172" s="112"/>
      <c r="P172" s="114"/>
      <c r="Q172" s="112"/>
      <c r="R172" s="115"/>
      <c r="S172" s="10"/>
      <c r="T172" s="128">
        <f>SUM(R168:R170)</f>
        <v>5.1666666666666661</v>
      </c>
      <c r="U172" s="94"/>
      <c r="V172" s="40"/>
      <c r="W172" s="42"/>
      <c r="X172" s="9"/>
      <c r="Y172" s="9"/>
      <c r="Z172" s="9"/>
      <c r="AA172" s="9"/>
      <c r="AB172" s="42"/>
      <c r="AC172" s="9"/>
      <c r="AD172" s="9"/>
      <c r="AE172" s="9"/>
      <c r="AF172" s="9"/>
      <c r="AG172" s="42"/>
      <c r="AH172" s="9"/>
      <c r="AI172" s="9"/>
      <c r="AJ172" s="9"/>
      <c r="AK172" s="9"/>
      <c r="AL172" s="9"/>
      <c r="AM172" s="9"/>
      <c r="AN172" s="9"/>
      <c r="AO172" s="9"/>
      <c r="AP172" s="9"/>
      <c r="AQ172" s="42"/>
      <c r="AR172" s="9"/>
      <c r="AS172" s="9"/>
      <c r="AT172" s="9"/>
      <c r="AU172" s="9"/>
      <c r="AV172" s="42"/>
      <c r="AW172" s="9"/>
      <c r="AX172" s="9"/>
      <c r="AY172" s="9"/>
      <c r="AZ172" s="99"/>
      <c r="BA172" s="59"/>
      <c r="BE172" s="100"/>
      <c r="BO172" s="101"/>
      <c r="BP172" s="92"/>
      <c r="BQ172" s="21"/>
      <c r="BR172" s="21"/>
      <c r="BS172" s="21"/>
      <c r="BT172" s="68"/>
      <c r="BU172" s="1">
        <v>510</v>
      </c>
    </row>
    <row r="173" spans="1:214" ht="20.25" customHeight="1" x14ac:dyDescent="0.4">
      <c r="A173" s="1">
        <v>513</v>
      </c>
      <c r="B173" s="22"/>
      <c r="C173" s="22"/>
      <c r="D173" s="22"/>
      <c r="E173" s="8"/>
      <c r="F173" s="85"/>
      <c r="G173" s="8"/>
      <c r="H173" s="22"/>
      <c r="I173" s="8"/>
      <c r="J173" s="22"/>
      <c r="K173" s="8"/>
      <c r="L173" s="22"/>
      <c r="M173" s="8"/>
      <c r="N173" s="22"/>
      <c r="O173" s="8"/>
      <c r="P173" s="22"/>
      <c r="Q173" s="8"/>
      <c r="R173" s="82"/>
      <c r="S173" s="51"/>
      <c r="T173" s="22"/>
      <c r="U173" s="133"/>
      <c r="V173" s="52"/>
      <c r="W173" s="9"/>
      <c r="X173" s="9"/>
      <c r="Y173" s="9"/>
      <c r="Z173" s="9"/>
      <c r="AA173" s="42"/>
      <c r="AB173" s="9"/>
      <c r="AC173" s="9"/>
      <c r="AD173" s="9"/>
      <c r="AE173" s="9"/>
      <c r="AF173" s="42"/>
      <c r="AG173" s="9"/>
      <c r="AH173" s="9"/>
      <c r="AI173" s="9"/>
      <c r="AJ173" s="9"/>
      <c r="AK173" s="9"/>
      <c r="AL173" s="9"/>
      <c r="AM173" s="9"/>
      <c r="AN173" s="9"/>
      <c r="AO173" s="9"/>
      <c r="AP173" s="42"/>
      <c r="AQ173" s="9"/>
      <c r="AR173" s="9"/>
      <c r="AS173" s="9"/>
      <c r="AT173" s="9"/>
      <c r="AU173" s="42"/>
      <c r="AV173" s="9"/>
      <c r="AW173" s="9"/>
      <c r="AX173" s="9"/>
      <c r="AY173" s="9"/>
      <c r="AZ173" s="58"/>
      <c r="BA173" s="59"/>
      <c r="BG173" s="83"/>
      <c r="BO173" s="86"/>
      <c r="BP173" s="87"/>
      <c r="BQ173" s="21"/>
      <c r="BT173" s="68"/>
      <c r="BU173" s="1">
        <v>513</v>
      </c>
    </row>
    <row r="174" spans="1:214" ht="20.25" customHeight="1" thickBot="1" x14ac:dyDescent="0.45">
      <c r="A174" s="1">
        <v>514</v>
      </c>
      <c r="D174" s="21"/>
      <c r="E174" s="8"/>
      <c r="F174" s="85"/>
      <c r="G174" s="8"/>
      <c r="H174" s="22"/>
      <c r="I174" s="8"/>
      <c r="J174" s="22"/>
      <c r="K174" s="8"/>
      <c r="L174" s="22"/>
      <c r="M174" s="8"/>
      <c r="N174" s="22"/>
      <c r="O174" s="8"/>
      <c r="P174" s="22"/>
      <c r="Q174" s="8"/>
      <c r="R174" s="82"/>
      <c r="S174" s="51"/>
      <c r="T174" s="22"/>
      <c r="U174" s="133"/>
      <c r="V174" s="52"/>
      <c r="W174" s="9"/>
      <c r="X174" s="9"/>
      <c r="Y174" s="9"/>
      <c r="Z174" s="9"/>
      <c r="AA174" s="42"/>
      <c r="AB174" s="9"/>
      <c r="AC174" s="9"/>
      <c r="AD174" s="9"/>
      <c r="AE174" s="9"/>
      <c r="AF174" s="42"/>
      <c r="AG174" s="9"/>
      <c r="AH174" s="9"/>
      <c r="AI174" s="9"/>
      <c r="AJ174" s="9"/>
      <c r="AK174" s="9"/>
      <c r="AL174" s="9"/>
      <c r="AM174" s="9"/>
      <c r="AN174" s="9"/>
      <c r="AO174" s="9"/>
      <c r="AP174" s="42"/>
      <c r="AQ174" s="9"/>
      <c r="AR174" s="9"/>
      <c r="AS174" s="9"/>
      <c r="AT174" s="9"/>
      <c r="AU174" s="42"/>
      <c r="AV174" s="9"/>
      <c r="AW174" s="9"/>
      <c r="AX174" s="9"/>
      <c r="AY174" s="9"/>
      <c r="AZ174" s="58"/>
      <c r="BA174" s="59"/>
      <c r="BG174" s="83"/>
      <c r="BO174" s="86"/>
      <c r="BP174" s="87"/>
      <c r="BQ174" s="21"/>
      <c r="BT174" s="68"/>
      <c r="BU174" s="1">
        <v>514</v>
      </c>
    </row>
    <row r="175" spans="1:214" ht="28.5" customHeight="1" thickBot="1" x14ac:dyDescent="0.45">
      <c r="A175" s="1">
        <v>515</v>
      </c>
      <c r="B175" s="817" t="s">
        <v>60</v>
      </c>
      <c r="C175" s="818"/>
      <c r="D175" s="818" t="s">
        <v>35</v>
      </c>
      <c r="E175" s="818"/>
      <c r="F175" s="818"/>
      <c r="G175" s="818"/>
      <c r="H175" s="818"/>
      <c r="I175" s="818"/>
      <c r="J175" s="818"/>
      <c r="K175" s="818"/>
      <c r="L175" s="818"/>
      <c r="M175" s="818"/>
      <c r="N175" s="818"/>
      <c r="O175" s="818"/>
      <c r="P175" s="818"/>
      <c r="Q175" s="818"/>
      <c r="R175" s="23" t="str">
        <f>$V2</f>
        <v>DEL 08 AL 14 ENERO 24</v>
      </c>
      <c r="S175" s="51"/>
      <c r="T175" s="11"/>
      <c r="U175" s="11"/>
      <c r="V175" s="52"/>
      <c r="W175" s="53"/>
      <c r="X175" s="53"/>
      <c r="Y175" s="53"/>
      <c r="Z175" s="54"/>
      <c r="AA175" s="55"/>
      <c r="AB175" s="53"/>
      <c r="AC175" s="53"/>
      <c r="AD175" s="53"/>
      <c r="AE175" s="54"/>
      <c r="AF175" s="56"/>
      <c r="AG175" s="53"/>
      <c r="AH175" s="53"/>
      <c r="AI175" s="53"/>
      <c r="AJ175" s="54"/>
      <c r="AK175" s="57"/>
      <c r="AL175" s="53"/>
      <c r="AM175" s="53"/>
      <c r="AN175" s="53"/>
      <c r="AO175" s="54"/>
      <c r="AP175" s="56"/>
      <c r="AQ175" s="53"/>
      <c r="AR175" s="53"/>
      <c r="AS175" s="53"/>
      <c r="AT175" s="54"/>
      <c r="AU175" s="56"/>
      <c r="AV175" s="53"/>
      <c r="AW175" s="53"/>
      <c r="AX175" s="53"/>
      <c r="AY175" s="54"/>
      <c r="AZ175" s="58"/>
      <c r="BA175" s="59"/>
      <c r="BG175" s="83"/>
      <c r="BO175" s="116"/>
      <c r="BP175" s="67"/>
      <c r="BQ175" s="21"/>
      <c r="BR175" s="74"/>
      <c r="BS175" s="74"/>
      <c r="BT175" s="68"/>
      <c r="BU175" s="1">
        <v>515</v>
      </c>
    </row>
    <row r="176" spans="1:214" ht="15" thickBot="1" x14ac:dyDescent="0.35">
      <c r="A176" s="1">
        <v>516</v>
      </c>
      <c r="B176" s="117"/>
      <c r="C176" s="118"/>
      <c r="D176" s="119"/>
      <c r="E176" s="120" t="s">
        <v>8</v>
      </c>
      <c r="F176" s="121"/>
      <c r="G176" s="120" t="s">
        <v>9</v>
      </c>
      <c r="H176" s="122"/>
      <c r="I176" s="120" t="s">
        <v>9</v>
      </c>
      <c r="J176" s="122"/>
      <c r="K176" s="120" t="s">
        <v>10</v>
      </c>
      <c r="L176" s="122"/>
      <c r="M176" s="120" t="s">
        <v>11</v>
      </c>
      <c r="N176" s="122"/>
      <c r="O176" s="120" t="s">
        <v>12</v>
      </c>
      <c r="P176" s="120"/>
      <c r="Q176" s="122"/>
      <c r="R176" s="123"/>
      <c r="S176" s="51"/>
      <c r="T176" s="11"/>
      <c r="U176" s="11"/>
      <c r="V176" s="52"/>
      <c r="W176" s="53"/>
      <c r="X176" s="53"/>
      <c r="Y176" s="53"/>
      <c r="Z176" s="54"/>
      <c r="AA176" s="55"/>
      <c r="AB176" s="53"/>
      <c r="AC176" s="53"/>
      <c r="AD176" s="53"/>
      <c r="AE176" s="54"/>
      <c r="AF176" s="56"/>
      <c r="AG176" s="53"/>
      <c r="AH176" s="53"/>
      <c r="AI176" s="53"/>
      <c r="AJ176" s="54"/>
      <c r="AK176" s="57"/>
      <c r="AL176" s="53"/>
      <c r="AM176" s="53"/>
      <c r="AN176" s="53"/>
      <c r="AO176" s="54"/>
      <c r="AP176" s="56"/>
      <c r="AQ176" s="53"/>
      <c r="AR176" s="53"/>
      <c r="AS176" s="53"/>
      <c r="AT176" s="54"/>
      <c r="AU176" s="56"/>
      <c r="AV176" s="53"/>
      <c r="AW176" s="53"/>
      <c r="AX176" s="53"/>
      <c r="AY176" s="54"/>
      <c r="AZ176" s="58"/>
      <c r="BA176" s="59"/>
      <c r="BB176" s="129"/>
      <c r="BC176" s="129"/>
      <c r="BD176" s="129"/>
      <c r="BE176" s="129"/>
      <c r="BF176" s="129"/>
      <c r="BG176" s="129"/>
      <c r="BH176" s="124"/>
      <c r="BJ176" s="19"/>
      <c r="BK176" s="19"/>
      <c r="BL176" s="19"/>
      <c r="BM176" s="19"/>
      <c r="BN176" s="124"/>
      <c r="BO176" s="125"/>
      <c r="BP176" s="126"/>
      <c r="BQ176" s="21"/>
      <c r="BR176" s="68"/>
      <c r="BS176" s="68"/>
      <c r="BT176" s="68"/>
      <c r="BU176" s="1">
        <v>516</v>
      </c>
    </row>
    <row r="177" spans="1:214" ht="15" thickBot="1" x14ac:dyDescent="0.35">
      <c r="A177" s="1"/>
      <c r="B177" s="344">
        <v>122</v>
      </c>
      <c r="C177" s="271">
        <f t="shared" ref="C177:C188" si="366">C176+1</f>
        <v>1</v>
      </c>
      <c r="D177" s="278" t="s">
        <v>111</v>
      </c>
      <c r="E177" s="49">
        <v>1</v>
      </c>
      <c r="F177" s="49"/>
      <c r="G177" s="49">
        <v>1</v>
      </c>
      <c r="H177" s="49"/>
      <c r="I177" s="49">
        <v>1</v>
      </c>
      <c r="J177" s="49"/>
      <c r="K177" s="49">
        <v>1</v>
      </c>
      <c r="L177" s="49"/>
      <c r="M177" s="49">
        <v>1</v>
      </c>
      <c r="N177" s="49"/>
      <c r="O177" s="49">
        <v>1</v>
      </c>
      <c r="P177" s="49"/>
      <c r="Q177" s="49">
        <f>IF((E177+G177+I177+K177+M177+O177)=6,1,0)</f>
        <v>1</v>
      </c>
      <c r="R177" s="50">
        <f>IF(Q177=1,3000,850)</f>
        <v>3000</v>
      </c>
      <c r="S177" s="51">
        <f t="shared" ref="S177:S188" si="367">+BH177</f>
        <v>0</v>
      </c>
      <c r="T177" s="11">
        <f t="shared" ref="T177:T187" si="368">+BA177</f>
        <v>3000.0000000000005</v>
      </c>
      <c r="U177" s="52">
        <f t="shared" ref="U177:U188" si="369">+BP177</f>
        <v>0</v>
      </c>
      <c r="V177" s="52">
        <f t="shared" ref="V177:V188" si="370">+BG177</f>
        <v>0</v>
      </c>
      <c r="W177" s="53">
        <f t="shared" ref="W177:W188" si="371">(R177-86.16)/6*E177</f>
        <v>485.64000000000004</v>
      </c>
      <c r="X177" s="53">
        <f t="shared" ref="X177:X188" si="372">$Y$2*E177*Q177</f>
        <v>7.18</v>
      </c>
      <c r="Y177" s="53">
        <f t="shared" ref="Y177:Y188" si="373">$Y$2*E177*Q177</f>
        <v>7.18</v>
      </c>
      <c r="Z177" s="54">
        <f t="shared" ref="Z177:Z188" si="374">Y177+X177+W177</f>
        <v>500.00000000000006</v>
      </c>
      <c r="AA177" s="55"/>
      <c r="AB177" s="53">
        <f t="shared" ref="AB177:AB188" si="375">(R177-86.16)/6*G177</f>
        <v>485.64000000000004</v>
      </c>
      <c r="AC177" s="53">
        <f t="shared" ref="AC177:AC188" si="376">$Y$2*G177*Q177</f>
        <v>7.18</v>
      </c>
      <c r="AD177" s="53">
        <f t="shared" ref="AD177:AD188" si="377">$Y$2*G177*Q177</f>
        <v>7.18</v>
      </c>
      <c r="AE177" s="54">
        <f t="shared" ref="AE177:AE188" si="378">AD177+AC177+AB177</f>
        <v>500.00000000000006</v>
      </c>
      <c r="AF177" s="56"/>
      <c r="AG177" s="53">
        <f t="shared" ref="AG177:AG188" si="379">(R177-86.16)/6*I177</f>
        <v>485.64000000000004</v>
      </c>
      <c r="AH177" s="53">
        <f t="shared" ref="AH177:AH188" si="380">$Y$2*I177*Q177</f>
        <v>7.18</v>
      </c>
      <c r="AI177" s="53">
        <f t="shared" ref="AI177:AI188" si="381">$Y$2*I177*Q177</f>
        <v>7.18</v>
      </c>
      <c r="AJ177" s="54">
        <f t="shared" ref="AJ177:AJ188" si="382">AI177+AH177+AG177</f>
        <v>500.00000000000006</v>
      </c>
      <c r="AK177" s="57"/>
      <c r="AL177" s="53">
        <f t="shared" ref="AL177:AL188" si="383">(R177-86.16)/6*K177</f>
        <v>485.64000000000004</v>
      </c>
      <c r="AM177" s="53">
        <f t="shared" ref="AM177:AM188" si="384">$Y$2*K177*Q177</f>
        <v>7.18</v>
      </c>
      <c r="AN177" s="53">
        <f t="shared" ref="AN177:AN188" si="385">$Y$2*K177*Q177</f>
        <v>7.18</v>
      </c>
      <c r="AO177" s="54">
        <f t="shared" ref="AO177:AO188" si="386">AN177+AM177+AL177</f>
        <v>500.00000000000006</v>
      </c>
      <c r="AP177" s="56"/>
      <c r="AQ177" s="53">
        <f t="shared" ref="AQ177:AQ188" si="387">(R177-86.16)/6*M177</f>
        <v>485.64000000000004</v>
      </c>
      <c r="AR177" s="53">
        <f t="shared" ref="AR177:AR188" si="388">$Y$2*M177*Q177</f>
        <v>7.18</v>
      </c>
      <c r="AS177" s="53">
        <f t="shared" ref="AS177:AS188" si="389">$Y$2*M177*Q177</f>
        <v>7.18</v>
      </c>
      <c r="AT177" s="54">
        <f t="shared" ref="AT177:AT188" si="390">AS177+AR177+AQ177</f>
        <v>500.00000000000006</v>
      </c>
      <c r="AU177" s="56"/>
      <c r="AV177" s="53">
        <f t="shared" ref="AV177:AV188" si="391">(R177-86.16)/6*O177</f>
        <v>485.64000000000004</v>
      </c>
      <c r="AW177" s="53">
        <f t="shared" ref="AW177:AW188" si="392">$Y$2*O177*Q177</f>
        <v>7.18</v>
      </c>
      <c r="AX177" s="53">
        <f t="shared" ref="AX177:AX188" si="393">$Y$2*O177*Q177</f>
        <v>7.18</v>
      </c>
      <c r="AY177" s="54">
        <f t="shared" ref="AY177:AY188" si="394">AX177+AW177+AV177</f>
        <v>500.00000000000006</v>
      </c>
      <c r="AZ177" s="58">
        <f t="shared" ref="AZ177:AZ188" si="395">+AY177+AT177+AO177++AJ177+AE177+Z177</f>
        <v>3000.0000000000005</v>
      </c>
      <c r="BA177" s="59">
        <f>((AZ177-BB177-BC177-BD177-BE177-BF177)+BI177+BJ177+BK177+BL177+BM177+BN177+BO177)</f>
        <v>3000.0000000000005</v>
      </c>
      <c r="BB177" s="60"/>
      <c r="BC177" s="60"/>
      <c r="BD177" s="60"/>
      <c r="BE177" s="60"/>
      <c r="BF177" s="60"/>
      <c r="BG177" s="131"/>
      <c r="BH177" s="124"/>
      <c r="BJ177" s="19"/>
      <c r="BK177" s="19"/>
      <c r="BL177" s="63"/>
      <c r="BM177" s="19"/>
      <c r="BN177" s="124"/>
      <c r="BO177" s="125"/>
      <c r="BP177" s="126"/>
      <c r="BQ177" s="21"/>
      <c r="BR177" s="68"/>
      <c r="BS177" s="68"/>
      <c r="BT177" s="68"/>
      <c r="BU177" s="1"/>
    </row>
    <row r="178" spans="1:214" ht="17.399999999999999" thickBot="1" x14ac:dyDescent="0.35">
      <c r="A178" s="1"/>
      <c r="B178" s="276">
        <v>108</v>
      </c>
      <c r="C178" s="271">
        <f t="shared" si="366"/>
        <v>2</v>
      </c>
      <c r="D178" s="277" t="s">
        <v>104</v>
      </c>
      <c r="E178" s="49">
        <v>1</v>
      </c>
      <c r="F178" s="49"/>
      <c r="G178" s="49">
        <v>1</v>
      </c>
      <c r="H178" s="49"/>
      <c r="I178" s="49">
        <v>1</v>
      </c>
      <c r="J178" s="49"/>
      <c r="K178" s="49">
        <v>1</v>
      </c>
      <c r="L178" s="49"/>
      <c r="M178" s="49">
        <v>1</v>
      </c>
      <c r="N178" s="49"/>
      <c r="O178" s="49">
        <v>1</v>
      </c>
      <c r="P178" s="49"/>
      <c r="Q178" s="49">
        <f t="shared" ref="Q178:Q188" si="396">IF((E178+G178+I178+K178+M178+O178)=6,1,0)</f>
        <v>1</v>
      </c>
      <c r="R178" s="50">
        <f>IF(Q178=1,1450,850)</f>
        <v>1450</v>
      </c>
      <c r="S178" s="51">
        <f t="shared" si="367"/>
        <v>0</v>
      </c>
      <c r="T178" s="11">
        <f t="shared" si="368"/>
        <v>1899.9999999999995</v>
      </c>
      <c r="U178" s="52">
        <f t="shared" si="369"/>
        <v>0</v>
      </c>
      <c r="V178" s="52" t="str">
        <f t="shared" si="370"/>
        <v>BONO+B ASIS</v>
      </c>
      <c r="W178" s="53">
        <f t="shared" si="371"/>
        <v>227.30666666666664</v>
      </c>
      <c r="X178" s="53">
        <f t="shared" si="372"/>
        <v>7.18</v>
      </c>
      <c r="Y178" s="53">
        <f t="shared" si="373"/>
        <v>7.18</v>
      </c>
      <c r="Z178" s="54">
        <f t="shared" si="374"/>
        <v>241.66666666666663</v>
      </c>
      <c r="AA178" s="55"/>
      <c r="AB178" s="53">
        <f t="shared" si="375"/>
        <v>227.30666666666664</v>
      </c>
      <c r="AC178" s="53">
        <f t="shared" si="376"/>
        <v>7.18</v>
      </c>
      <c r="AD178" s="53">
        <f t="shared" si="377"/>
        <v>7.18</v>
      </c>
      <c r="AE178" s="54">
        <f t="shared" si="378"/>
        <v>241.66666666666663</v>
      </c>
      <c r="AF178" s="56"/>
      <c r="AG178" s="53">
        <f t="shared" si="379"/>
        <v>227.30666666666664</v>
      </c>
      <c r="AH178" s="53">
        <f t="shared" si="380"/>
        <v>7.18</v>
      </c>
      <c r="AI178" s="53">
        <f t="shared" si="381"/>
        <v>7.18</v>
      </c>
      <c r="AJ178" s="54">
        <f t="shared" si="382"/>
        <v>241.66666666666663</v>
      </c>
      <c r="AK178" s="57"/>
      <c r="AL178" s="53">
        <f t="shared" si="383"/>
        <v>227.30666666666664</v>
      </c>
      <c r="AM178" s="53">
        <f t="shared" si="384"/>
        <v>7.18</v>
      </c>
      <c r="AN178" s="53">
        <f t="shared" si="385"/>
        <v>7.18</v>
      </c>
      <c r="AO178" s="54">
        <f t="shared" si="386"/>
        <v>241.66666666666663</v>
      </c>
      <c r="AP178" s="56"/>
      <c r="AQ178" s="53">
        <f t="shared" si="387"/>
        <v>227.30666666666664</v>
      </c>
      <c r="AR178" s="53">
        <f t="shared" si="388"/>
        <v>7.18</v>
      </c>
      <c r="AS178" s="53">
        <f t="shared" si="389"/>
        <v>7.18</v>
      </c>
      <c r="AT178" s="54">
        <f t="shared" si="390"/>
        <v>241.66666666666663</v>
      </c>
      <c r="AU178" s="56"/>
      <c r="AV178" s="53">
        <f t="shared" si="391"/>
        <v>227.30666666666664</v>
      </c>
      <c r="AW178" s="53">
        <f t="shared" si="392"/>
        <v>7.18</v>
      </c>
      <c r="AX178" s="53">
        <f t="shared" si="393"/>
        <v>7.18</v>
      </c>
      <c r="AY178" s="54">
        <f t="shared" si="394"/>
        <v>241.66666666666663</v>
      </c>
      <c r="AZ178" s="58">
        <f t="shared" si="395"/>
        <v>1449.9999999999995</v>
      </c>
      <c r="BA178" s="59">
        <f t="shared" ref="BA178:BA188" si="397">((AZ178-BB178-BC178-BD178-BE178-BF178)+BI178+BJ178+BK178+BL178+BM178+BN178+BO178)</f>
        <v>1899.9999999999995</v>
      </c>
      <c r="BB178" s="60"/>
      <c r="BC178" s="60"/>
      <c r="BD178" s="60"/>
      <c r="BE178" s="60"/>
      <c r="BF178" s="60"/>
      <c r="BG178" s="131" t="s">
        <v>133</v>
      </c>
      <c r="BH178" s="124"/>
      <c r="BI178" s="18">
        <v>200</v>
      </c>
      <c r="BJ178" s="18">
        <v>250</v>
      </c>
      <c r="BK178" s="19"/>
      <c r="BL178" s="63"/>
      <c r="BM178" s="19"/>
      <c r="BN178" s="124"/>
      <c r="BO178" s="125"/>
      <c r="BP178" s="126"/>
      <c r="BQ178" s="21"/>
      <c r="BR178" s="68"/>
      <c r="BS178" s="68"/>
      <c r="BT178" s="68"/>
      <c r="BU178" s="1"/>
    </row>
    <row r="179" spans="1:214" s="69" customFormat="1" ht="15" thickBot="1" x14ac:dyDescent="0.35">
      <c r="A179" s="1"/>
      <c r="B179" s="382">
        <v>97</v>
      </c>
      <c r="C179" s="271">
        <f t="shared" si="366"/>
        <v>3</v>
      </c>
      <c r="D179" s="381" t="s">
        <v>101</v>
      </c>
      <c r="E179" s="49">
        <v>1</v>
      </c>
      <c r="F179" s="49"/>
      <c r="G179" s="49">
        <v>1</v>
      </c>
      <c r="H179" s="49"/>
      <c r="I179" s="49">
        <v>1</v>
      </c>
      <c r="J179" s="49"/>
      <c r="K179" s="49">
        <v>1</v>
      </c>
      <c r="L179" s="49"/>
      <c r="M179" s="49">
        <v>1</v>
      </c>
      <c r="N179" s="49"/>
      <c r="O179" s="49">
        <v>1</v>
      </c>
      <c r="P179" s="49"/>
      <c r="Q179" s="49">
        <f t="shared" si="396"/>
        <v>1</v>
      </c>
      <c r="R179" s="50">
        <f>IF(Q179=1,2500,850)</f>
        <v>2500</v>
      </c>
      <c r="S179" s="51">
        <f t="shared" si="367"/>
        <v>0</v>
      </c>
      <c r="T179" s="11">
        <f t="shared" si="368"/>
        <v>2500</v>
      </c>
      <c r="U179" s="52">
        <f t="shared" si="369"/>
        <v>0</v>
      </c>
      <c r="V179" s="52">
        <f t="shared" si="370"/>
        <v>0</v>
      </c>
      <c r="W179" s="53">
        <f t="shared" si="371"/>
        <v>402.30666666666667</v>
      </c>
      <c r="X179" s="53">
        <f t="shared" si="372"/>
        <v>7.18</v>
      </c>
      <c r="Y179" s="53">
        <f t="shared" si="373"/>
        <v>7.18</v>
      </c>
      <c r="Z179" s="54">
        <f t="shared" si="374"/>
        <v>416.66666666666669</v>
      </c>
      <c r="AA179" s="55"/>
      <c r="AB179" s="53">
        <f t="shared" si="375"/>
        <v>402.30666666666667</v>
      </c>
      <c r="AC179" s="53">
        <f t="shared" si="376"/>
        <v>7.18</v>
      </c>
      <c r="AD179" s="53">
        <f t="shared" si="377"/>
        <v>7.18</v>
      </c>
      <c r="AE179" s="54">
        <f t="shared" si="378"/>
        <v>416.66666666666669</v>
      </c>
      <c r="AF179" s="56"/>
      <c r="AG179" s="53">
        <f t="shared" si="379"/>
        <v>402.30666666666667</v>
      </c>
      <c r="AH179" s="53">
        <f t="shared" si="380"/>
        <v>7.18</v>
      </c>
      <c r="AI179" s="53">
        <f t="shared" si="381"/>
        <v>7.18</v>
      </c>
      <c r="AJ179" s="54">
        <f t="shared" si="382"/>
        <v>416.66666666666669</v>
      </c>
      <c r="AK179" s="57"/>
      <c r="AL179" s="53">
        <f t="shared" si="383"/>
        <v>402.30666666666667</v>
      </c>
      <c r="AM179" s="53">
        <f t="shared" si="384"/>
        <v>7.18</v>
      </c>
      <c r="AN179" s="53">
        <f t="shared" si="385"/>
        <v>7.18</v>
      </c>
      <c r="AO179" s="54">
        <f t="shared" si="386"/>
        <v>416.66666666666669</v>
      </c>
      <c r="AP179" s="56"/>
      <c r="AQ179" s="53">
        <f t="shared" si="387"/>
        <v>402.30666666666667</v>
      </c>
      <c r="AR179" s="53">
        <f t="shared" si="388"/>
        <v>7.18</v>
      </c>
      <c r="AS179" s="53">
        <f t="shared" si="389"/>
        <v>7.18</v>
      </c>
      <c r="AT179" s="54">
        <f t="shared" si="390"/>
        <v>416.66666666666669</v>
      </c>
      <c r="AU179" s="56"/>
      <c r="AV179" s="53">
        <f t="shared" si="391"/>
        <v>402.30666666666667</v>
      </c>
      <c r="AW179" s="53">
        <f t="shared" si="392"/>
        <v>7.18</v>
      </c>
      <c r="AX179" s="53">
        <f t="shared" si="393"/>
        <v>7.18</v>
      </c>
      <c r="AY179" s="54">
        <f t="shared" si="394"/>
        <v>416.66666666666669</v>
      </c>
      <c r="AZ179" s="58">
        <f t="shared" si="395"/>
        <v>2500</v>
      </c>
      <c r="BA179" s="59">
        <f t="shared" si="397"/>
        <v>2500</v>
      </c>
      <c r="BB179" s="60"/>
      <c r="BC179" s="60"/>
      <c r="BD179" s="60"/>
      <c r="BE179" s="60"/>
      <c r="BF179" s="60"/>
      <c r="BG179" s="131"/>
      <c r="BH179" s="17"/>
      <c r="BI179" s="64"/>
      <c r="BJ179" s="18"/>
      <c r="BK179" s="64"/>
      <c r="BL179" s="63"/>
      <c r="BM179" s="65"/>
      <c r="BN179" s="65"/>
      <c r="BO179" s="66"/>
      <c r="BP179" s="67"/>
      <c r="BQ179" s="21"/>
      <c r="BR179" s="48"/>
      <c r="BS179" s="48"/>
      <c r="BT179" s="68"/>
      <c r="BU179" s="1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</row>
    <row r="180" spans="1:214" s="69" customFormat="1" ht="19.5" customHeight="1" thickBot="1" x14ac:dyDescent="0.35">
      <c r="A180" s="1">
        <v>517</v>
      </c>
      <c r="B180" s="272">
        <v>8</v>
      </c>
      <c r="C180" s="271">
        <f t="shared" si="366"/>
        <v>4</v>
      </c>
      <c r="D180" s="142" t="s">
        <v>61</v>
      </c>
      <c r="E180" s="49">
        <v>1</v>
      </c>
      <c r="F180" s="49"/>
      <c r="G180" s="49">
        <v>1</v>
      </c>
      <c r="H180" s="49"/>
      <c r="I180" s="49">
        <v>1</v>
      </c>
      <c r="J180" s="49"/>
      <c r="K180" s="49">
        <v>1</v>
      </c>
      <c r="L180" s="49"/>
      <c r="M180" s="49">
        <v>1</v>
      </c>
      <c r="N180" s="49"/>
      <c r="O180" s="49">
        <v>1</v>
      </c>
      <c r="P180" s="49"/>
      <c r="Q180" s="49">
        <f t="shared" si="396"/>
        <v>1</v>
      </c>
      <c r="R180" s="50">
        <f>IF(Q180=1,1550,850)</f>
        <v>1550</v>
      </c>
      <c r="S180" s="51">
        <f t="shared" si="367"/>
        <v>0</v>
      </c>
      <c r="T180" s="11">
        <f t="shared" si="368"/>
        <v>1899.9999999999998</v>
      </c>
      <c r="U180" s="52">
        <f t="shared" si="369"/>
        <v>0</v>
      </c>
      <c r="V180" s="52" t="str">
        <f t="shared" si="370"/>
        <v>BONO+B ASIS+ DIF BONO</v>
      </c>
      <c r="W180" s="53">
        <f t="shared" si="371"/>
        <v>243.97333333333333</v>
      </c>
      <c r="X180" s="53">
        <f t="shared" si="372"/>
        <v>7.18</v>
      </c>
      <c r="Y180" s="53">
        <f t="shared" si="373"/>
        <v>7.18</v>
      </c>
      <c r="Z180" s="54">
        <f t="shared" si="374"/>
        <v>258.33333333333331</v>
      </c>
      <c r="AA180" s="55"/>
      <c r="AB180" s="53">
        <f t="shared" si="375"/>
        <v>243.97333333333333</v>
      </c>
      <c r="AC180" s="53">
        <f t="shared" si="376"/>
        <v>7.18</v>
      </c>
      <c r="AD180" s="53">
        <f t="shared" si="377"/>
        <v>7.18</v>
      </c>
      <c r="AE180" s="54">
        <f t="shared" si="378"/>
        <v>258.33333333333331</v>
      </c>
      <c r="AF180" s="56"/>
      <c r="AG180" s="53">
        <f t="shared" si="379"/>
        <v>243.97333333333333</v>
      </c>
      <c r="AH180" s="53">
        <f t="shared" si="380"/>
        <v>7.18</v>
      </c>
      <c r="AI180" s="53">
        <f t="shared" si="381"/>
        <v>7.18</v>
      </c>
      <c r="AJ180" s="54">
        <f t="shared" si="382"/>
        <v>258.33333333333331</v>
      </c>
      <c r="AK180" s="57"/>
      <c r="AL180" s="53">
        <f t="shared" si="383"/>
        <v>243.97333333333333</v>
      </c>
      <c r="AM180" s="53">
        <f t="shared" si="384"/>
        <v>7.18</v>
      </c>
      <c r="AN180" s="53">
        <f t="shared" si="385"/>
        <v>7.18</v>
      </c>
      <c r="AO180" s="54">
        <f t="shared" si="386"/>
        <v>258.33333333333331</v>
      </c>
      <c r="AP180" s="56"/>
      <c r="AQ180" s="53">
        <f t="shared" si="387"/>
        <v>243.97333333333333</v>
      </c>
      <c r="AR180" s="53">
        <f t="shared" si="388"/>
        <v>7.18</v>
      </c>
      <c r="AS180" s="53">
        <f t="shared" si="389"/>
        <v>7.18</v>
      </c>
      <c r="AT180" s="54">
        <f t="shared" si="390"/>
        <v>258.33333333333331</v>
      </c>
      <c r="AU180" s="56"/>
      <c r="AV180" s="53">
        <f t="shared" si="391"/>
        <v>243.97333333333333</v>
      </c>
      <c r="AW180" s="53">
        <f t="shared" si="392"/>
        <v>7.18</v>
      </c>
      <c r="AX180" s="53">
        <f t="shared" si="393"/>
        <v>7.18</v>
      </c>
      <c r="AY180" s="54">
        <f t="shared" si="394"/>
        <v>258.33333333333331</v>
      </c>
      <c r="AZ180" s="58">
        <f t="shared" si="395"/>
        <v>1549.9999999999998</v>
      </c>
      <c r="BA180" s="59">
        <f t="shared" si="397"/>
        <v>1899.9999999999998</v>
      </c>
      <c r="BB180" s="60"/>
      <c r="BC180" s="60"/>
      <c r="BD180" s="60"/>
      <c r="BE180" s="60"/>
      <c r="BF180" s="60"/>
      <c r="BG180" s="131" t="s">
        <v>178</v>
      </c>
      <c r="BH180" s="17"/>
      <c r="BI180" s="64">
        <v>100</v>
      </c>
      <c r="BJ180" s="18">
        <v>150</v>
      </c>
      <c r="BK180" s="64"/>
      <c r="BL180" s="63">
        <v>100</v>
      </c>
      <c r="BM180" s="65"/>
      <c r="BN180" s="65"/>
      <c r="BO180" s="66"/>
      <c r="BP180" s="67"/>
      <c r="BQ180" s="21"/>
      <c r="BR180" s="48"/>
      <c r="BS180" s="48"/>
      <c r="BT180" s="68"/>
      <c r="BU180" s="1">
        <v>517</v>
      </c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</row>
    <row r="181" spans="1:214" s="69" customFormat="1" ht="15" thickBot="1" x14ac:dyDescent="0.35">
      <c r="A181" s="1"/>
      <c r="B181" s="359">
        <v>172</v>
      </c>
      <c r="C181" s="271">
        <f t="shared" si="366"/>
        <v>5</v>
      </c>
      <c r="D181" s="343" t="s">
        <v>167</v>
      </c>
      <c r="E181" s="49">
        <v>1</v>
      </c>
      <c r="F181" s="49"/>
      <c r="G181" s="49">
        <v>1</v>
      </c>
      <c r="H181" s="49"/>
      <c r="I181" s="49">
        <v>1</v>
      </c>
      <c r="J181" s="49"/>
      <c r="K181" s="49">
        <v>1</v>
      </c>
      <c r="L181" s="49"/>
      <c r="M181" s="49">
        <v>1</v>
      </c>
      <c r="N181" s="49"/>
      <c r="O181" s="49">
        <v>1</v>
      </c>
      <c r="P181" s="49"/>
      <c r="Q181" s="49">
        <f t="shared" si="396"/>
        <v>1</v>
      </c>
      <c r="R181" s="50">
        <f>IF(Q181=1,4000,850)</f>
        <v>4000</v>
      </c>
      <c r="S181" s="51">
        <f t="shared" si="367"/>
        <v>0</v>
      </c>
      <c r="T181" s="11">
        <f t="shared" ref="T181" si="398">+BA181</f>
        <v>4000.0000000000009</v>
      </c>
      <c r="U181" s="52">
        <f t="shared" ref="U181" si="399">+BP181</f>
        <v>0</v>
      </c>
      <c r="V181" s="52">
        <f t="shared" ref="V181" si="400">+BG181</f>
        <v>0</v>
      </c>
      <c r="W181" s="53">
        <f t="shared" si="371"/>
        <v>652.30666666666673</v>
      </c>
      <c r="X181" s="53">
        <f t="shared" si="372"/>
        <v>7.18</v>
      </c>
      <c r="Y181" s="53">
        <f t="shared" ref="Y181" si="401">$Y$2*E181*Q181</f>
        <v>7.18</v>
      </c>
      <c r="Z181" s="54">
        <f t="shared" ref="Z181" si="402">Y181+X181+W181</f>
        <v>666.66666666666674</v>
      </c>
      <c r="AA181" s="55"/>
      <c r="AB181" s="53">
        <f t="shared" ref="AB181" si="403">(R181-86.16)/6*G181</f>
        <v>652.30666666666673</v>
      </c>
      <c r="AC181" s="53">
        <f t="shared" ref="AC181" si="404">$Y$2*G181*Q181</f>
        <v>7.18</v>
      </c>
      <c r="AD181" s="53">
        <f t="shared" ref="AD181" si="405">$Y$2*G181*Q181</f>
        <v>7.18</v>
      </c>
      <c r="AE181" s="54">
        <f t="shared" ref="AE181" si="406">AD181+AC181+AB181</f>
        <v>666.66666666666674</v>
      </c>
      <c r="AF181" s="56"/>
      <c r="AG181" s="53">
        <f t="shared" ref="AG181" si="407">(R181-86.16)/6*I181</f>
        <v>652.30666666666673</v>
      </c>
      <c r="AH181" s="53">
        <f t="shared" ref="AH181" si="408">$Y$2*I181*Q181</f>
        <v>7.18</v>
      </c>
      <c r="AI181" s="53">
        <f t="shared" ref="AI181" si="409">$Y$2*I181*Q181</f>
        <v>7.18</v>
      </c>
      <c r="AJ181" s="54">
        <f t="shared" ref="AJ181" si="410">AI181+AH181+AG181</f>
        <v>666.66666666666674</v>
      </c>
      <c r="AK181" s="57"/>
      <c r="AL181" s="53">
        <f t="shared" ref="AL181" si="411">(R181-86.16)/6*K181</f>
        <v>652.30666666666673</v>
      </c>
      <c r="AM181" s="53">
        <f t="shared" ref="AM181" si="412">$Y$2*K181*Q181</f>
        <v>7.18</v>
      </c>
      <c r="AN181" s="53">
        <f t="shared" ref="AN181" si="413">$Y$2*K181*Q181</f>
        <v>7.18</v>
      </c>
      <c r="AO181" s="54">
        <f t="shared" ref="AO181" si="414">AN181+AM181+AL181</f>
        <v>666.66666666666674</v>
      </c>
      <c r="AP181" s="56"/>
      <c r="AQ181" s="53">
        <f t="shared" ref="AQ181" si="415">(R181-86.16)/6*M181</f>
        <v>652.30666666666673</v>
      </c>
      <c r="AR181" s="53">
        <f t="shared" ref="AR181" si="416">$Y$2*M181*Q181</f>
        <v>7.18</v>
      </c>
      <c r="AS181" s="53">
        <f t="shared" ref="AS181" si="417">$Y$2*M181*Q181</f>
        <v>7.18</v>
      </c>
      <c r="AT181" s="54">
        <f t="shared" ref="AT181" si="418">AS181+AR181+AQ181</f>
        <v>666.66666666666674</v>
      </c>
      <c r="AU181" s="56"/>
      <c r="AV181" s="53">
        <f t="shared" ref="AV181" si="419">(R181-86.16)/6*O181</f>
        <v>652.30666666666673</v>
      </c>
      <c r="AW181" s="53">
        <f t="shared" ref="AW181" si="420">$Y$2*O181*Q181</f>
        <v>7.18</v>
      </c>
      <c r="AX181" s="53">
        <f t="shared" ref="AX181" si="421">$Y$2*O181*Q181</f>
        <v>7.18</v>
      </c>
      <c r="AY181" s="54">
        <f t="shared" ref="AY181" si="422">AX181+AW181+AV181</f>
        <v>666.66666666666674</v>
      </c>
      <c r="AZ181" s="58">
        <f t="shared" si="395"/>
        <v>4000.0000000000009</v>
      </c>
      <c r="BA181" s="59">
        <f t="shared" si="397"/>
        <v>4000.0000000000009</v>
      </c>
      <c r="BB181" s="60"/>
      <c r="BC181" s="60"/>
      <c r="BD181" s="60"/>
      <c r="BE181" s="60"/>
      <c r="BF181" s="60"/>
      <c r="BG181" s="131"/>
      <c r="BH181" s="17"/>
      <c r="BI181" s="64"/>
      <c r="BJ181" s="18"/>
      <c r="BK181" s="64"/>
      <c r="BL181" s="63"/>
      <c r="BM181" s="65"/>
      <c r="BN181" s="65"/>
      <c r="BO181" s="66"/>
      <c r="BP181" s="67"/>
      <c r="BQ181" s="21"/>
      <c r="BR181" s="48"/>
      <c r="BS181" s="48"/>
      <c r="BT181" s="68"/>
      <c r="BU181" s="1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</row>
    <row r="182" spans="1:214" s="69" customFormat="1" ht="15.75" customHeight="1" thickBot="1" x14ac:dyDescent="0.35">
      <c r="A182" s="1"/>
      <c r="B182" s="373">
        <v>165</v>
      </c>
      <c r="C182" s="271">
        <f t="shared" si="366"/>
        <v>6</v>
      </c>
      <c r="D182" s="268" t="s">
        <v>150</v>
      </c>
      <c r="E182" s="49">
        <v>1</v>
      </c>
      <c r="F182" s="49"/>
      <c r="G182" s="49">
        <v>1</v>
      </c>
      <c r="H182" s="49"/>
      <c r="I182" s="49">
        <v>1</v>
      </c>
      <c r="J182" s="49"/>
      <c r="K182" s="49">
        <v>1</v>
      </c>
      <c r="L182" s="49"/>
      <c r="M182" s="49">
        <v>1</v>
      </c>
      <c r="N182" s="49"/>
      <c r="O182" s="49">
        <v>1</v>
      </c>
      <c r="P182" s="49"/>
      <c r="Q182" s="49">
        <f t="shared" si="396"/>
        <v>1</v>
      </c>
      <c r="R182" s="50">
        <f>IF(Q182=1,7000,850)</f>
        <v>7000</v>
      </c>
      <c r="S182" s="51">
        <f t="shared" ref="S182" si="423">+BH182</f>
        <v>0</v>
      </c>
      <c r="T182" s="11">
        <f t="shared" ref="T182" si="424">+BA182</f>
        <v>6999.9999999999982</v>
      </c>
      <c r="U182" s="52">
        <f t="shared" ref="U182" si="425">+BP182</f>
        <v>0</v>
      </c>
      <c r="V182" s="52">
        <f t="shared" ref="V182" si="426">+BG182</f>
        <v>0</v>
      </c>
      <c r="W182" s="53">
        <f t="shared" si="371"/>
        <v>1152.3066666666666</v>
      </c>
      <c r="X182" s="53">
        <f t="shared" si="372"/>
        <v>7.18</v>
      </c>
      <c r="Y182" s="53">
        <f t="shared" ref="Y182" si="427">$Y$2*E182*Q182</f>
        <v>7.18</v>
      </c>
      <c r="Z182" s="54">
        <f t="shared" ref="Z182" si="428">Y182+X182+W182</f>
        <v>1166.6666666666665</v>
      </c>
      <c r="AA182" s="55"/>
      <c r="AB182" s="53">
        <f t="shared" ref="AB182" si="429">(R182-86.16)/6*G182</f>
        <v>1152.3066666666666</v>
      </c>
      <c r="AC182" s="53">
        <f t="shared" ref="AC182" si="430">$Y$2*G182*Q182</f>
        <v>7.18</v>
      </c>
      <c r="AD182" s="53">
        <f t="shared" ref="AD182" si="431">$Y$2*G182*Q182</f>
        <v>7.18</v>
      </c>
      <c r="AE182" s="54">
        <f t="shared" ref="AE182" si="432">AD182+AC182+AB182</f>
        <v>1166.6666666666665</v>
      </c>
      <c r="AF182" s="56"/>
      <c r="AG182" s="53">
        <f t="shared" ref="AG182" si="433">(R182-86.16)/6*I182</f>
        <v>1152.3066666666666</v>
      </c>
      <c r="AH182" s="53">
        <f t="shared" ref="AH182" si="434">$Y$2*I182*Q182</f>
        <v>7.18</v>
      </c>
      <c r="AI182" s="53">
        <f t="shared" ref="AI182" si="435">$Y$2*I182*Q182</f>
        <v>7.18</v>
      </c>
      <c r="AJ182" s="54">
        <f t="shared" ref="AJ182" si="436">AI182+AH182+AG182</f>
        <v>1166.6666666666665</v>
      </c>
      <c r="AK182" s="57"/>
      <c r="AL182" s="53">
        <f t="shared" ref="AL182" si="437">(R182-86.16)/6*K182</f>
        <v>1152.3066666666666</v>
      </c>
      <c r="AM182" s="53">
        <f t="shared" ref="AM182" si="438">$Y$2*K182*Q182</f>
        <v>7.18</v>
      </c>
      <c r="AN182" s="53">
        <f t="shared" ref="AN182" si="439">$Y$2*K182*Q182</f>
        <v>7.18</v>
      </c>
      <c r="AO182" s="54">
        <f t="shared" ref="AO182" si="440">AN182+AM182+AL182</f>
        <v>1166.6666666666665</v>
      </c>
      <c r="AP182" s="56"/>
      <c r="AQ182" s="53">
        <f t="shared" ref="AQ182" si="441">(R182-86.16)/6*M182</f>
        <v>1152.3066666666666</v>
      </c>
      <c r="AR182" s="53">
        <f t="shared" ref="AR182" si="442">$Y$2*M182*Q182</f>
        <v>7.18</v>
      </c>
      <c r="AS182" s="53">
        <f t="shared" ref="AS182" si="443">$Y$2*M182*Q182</f>
        <v>7.18</v>
      </c>
      <c r="AT182" s="54">
        <f t="shared" ref="AT182" si="444">AS182+AR182+AQ182</f>
        <v>1166.6666666666665</v>
      </c>
      <c r="AU182" s="56"/>
      <c r="AV182" s="53">
        <f t="shared" ref="AV182" si="445">(R182-86.16)/6*O182</f>
        <v>1152.3066666666666</v>
      </c>
      <c r="AW182" s="53">
        <f t="shared" ref="AW182" si="446">$Y$2*O182*Q182</f>
        <v>7.18</v>
      </c>
      <c r="AX182" s="53">
        <f t="shared" ref="AX182" si="447">$Y$2*O182*Q182</f>
        <v>7.18</v>
      </c>
      <c r="AY182" s="54">
        <f t="shared" ref="AY182" si="448">AX182+AW182+AV182</f>
        <v>1166.6666666666665</v>
      </c>
      <c r="AZ182" s="58">
        <f t="shared" si="395"/>
        <v>6999.9999999999982</v>
      </c>
      <c r="BA182" s="59">
        <f t="shared" si="397"/>
        <v>6999.9999999999982</v>
      </c>
      <c r="BB182" s="139"/>
      <c r="BC182" s="139"/>
      <c r="BD182" s="139"/>
      <c r="BE182" s="139"/>
      <c r="BF182" s="139"/>
      <c r="BG182" s="61"/>
      <c r="BH182" s="17"/>
      <c r="BI182" s="18"/>
      <c r="BJ182" s="18"/>
      <c r="BK182" s="18"/>
      <c r="BL182" s="63"/>
      <c r="BM182" s="18"/>
      <c r="BN182" s="18"/>
      <c r="BO182" s="66"/>
      <c r="BP182" s="66"/>
      <c r="BQ182" s="21"/>
      <c r="BR182" s="9"/>
      <c r="BS182" s="68"/>
      <c r="BT182" s="68"/>
      <c r="BU182" s="1"/>
      <c r="BV182" s="68"/>
      <c r="BW182" s="68"/>
      <c r="BX182" s="68"/>
      <c r="BY182" s="68"/>
      <c r="BZ182" s="68"/>
      <c r="CA182" s="68"/>
      <c r="CB182" s="68"/>
      <c r="CC182" s="68"/>
      <c r="CD182" s="68"/>
      <c r="CE182" s="68"/>
      <c r="CF182" s="68"/>
      <c r="CG182" s="68"/>
      <c r="CH182" s="68"/>
      <c r="CI182" s="68"/>
      <c r="CJ182" s="68"/>
      <c r="CK182" s="68"/>
      <c r="CL182" s="68"/>
      <c r="CM182" s="68"/>
      <c r="CN182" s="68"/>
      <c r="CO182" s="68"/>
      <c r="CP182" s="68"/>
      <c r="CQ182" s="68"/>
      <c r="CR182" s="68"/>
      <c r="CS182" s="68"/>
      <c r="CT182" s="68"/>
      <c r="CU182" s="68"/>
      <c r="CV182" s="68"/>
      <c r="CW182" s="68"/>
      <c r="CX182" s="68"/>
      <c r="CY182" s="68"/>
      <c r="CZ182" s="68"/>
      <c r="DA182" s="68"/>
      <c r="DB182" s="68"/>
      <c r="DC182" s="68"/>
      <c r="DD182" s="68"/>
      <c r="DE182" s="68"/>
      <c r="DF182" s="68"/>
      <c r="DG182" s="68"/>
      <c r="DH182" s="68"/>
      <c r="DI182" s="68"/>
      <c r="DJ182" s="68"/>
      <c r="DK182" s="68"/>
      <c r="DL182" s="68"/>
      <c r="DM182" s="68"/>
      <c r="DN182" s="68"/>
      <c r="DO182" s="68"/>
      <c r="DP182" s="68"/>
      <c r="DQ182" s="68"/>
      <c r="DR182" s="68"/>
      <c r="DS182" s="68"/>
      <c r="DT182" s="68"/>
      <c r="DU182" s="68"/>
      <c r="DV182" s="68"/>
      <c r="DW182" s="68"/>
      <c r="DX182" s="68"/>
      <c r="DY182" s="68"/>
      <c r="DZ182" s="68"/>
      <c r="EA182" s="68"/>
      <c r="EB182" s="68"/>
      <c r="EC182" s="68"/>
      <c r="ED182" s="68"/>
      <c r="EE182" s="68"/>
      <c r="EF182" s="68"/>
      <c r="EG182" s="68"/>
      <c r="EH182" s="68"/>
      <c r="EI182" s="68"/>
      <c r="EJ182" s="68"/>
      <c r="EK182" s="68"/>
      <c r="EL182" s="68"/>
      <c r="EM182" s="68"/>
      <c r="EN182" s="68"/>
      <c r="EO182" s="68"/>
      <c r="EP182" s="68"/>
      <c r="EQ182" s="68"/>
      <c r="ER182" s="68"/>
      <c r="ES182" s="68"/>
      <c r="ET182" s="68"/>
      <c r="EU182" s="68"/>
      <c r="EV182" s="68"/>
      <c r="EW182" s="68"/>
      <c r="EX182" s="68"/>
      <c r="EY182" s="68"/>
      <c r="EZ182" s="68"/>
      <c r="FA182" s="68"/>
      <c r="FB182" s="68"/>
      <c r="FC182" s="68"/>
      <c r="FD182" s="68"/>
      <c r="FE182" s="68"/>
      <c r="FF182" s="68"/>
      <c r="FG182" s="68"/>
      <c r="FH182" s="68"/>
      <c r="FI182" s="68"/>
      <c r="FJ182" s="68"/>
      <c r="FK182" s="68"/>
      <c r="FL182" s="68"/>
      <c r="FM182" s="68"/>
      <c r="FN182" s="68"/>
      <c r="FO182" s="68"/>
      <c r="FP182" s="68"/>
      <c r="FQ182" s="68"/>
      <c r="FR182" s="68"/>
      <c r="FS182" s="68"/>
      <c r="FT182" s="68"/>
      <c r="FU182" s="68"/>
      <c r="FV182" s="68"/>
      <c r="FW182" s="68"/>
      <c r="FX182" s="68"/>
      <c r="FY182" s="68"/>
      <c r="FZ182" s="68"/>
      <c r="GA182" s="68"/>
      <c r="GB182" s="68"/>
      <c r="GC182" s="68"/>
      <c r="GD182" s="68"/>
      <c r="GE182" s="68"/>
      <c r="GF182" s="68"/>
      <c r="GG182" s="68"/>
      <c r="GH182" s="68"/>
      <c r="GI182" s="68"/>
      <c r="GJ182" s="68"/>
      <c r="GK182" s="68"/>
      <c r="GL182" s="68"/>
      <c r="GM182" s="68"/>
      <c r="GN182" s="68"/>
      <c r="GO182" s="68"/>
      <c r="GP182" s="68"/>
      <c r="GQ182" s="68"/>
      <c r="GR182" s="68"/>
      <c r="GS182" s="68"/>
      <c r="GT182" s="68"/>
      <c r="GU182" s="68"/>
      <c r="GV182" s="68"/>
      <c r="GW182" s="68"/>
      <c r="GX182" s="68"/>
      <c r="GY182" s="68"/>
      <c r="GZ182" s="68"/>
      <c r="HA182" s="68"/>
      <c r="HB182" s="68"/>
      <c r="HC182" s="68"/>
      <c r="HD182" s="68"/>
      <c r="HE182" s="68"/>
      <c r="HF182" s="68"/>
    </row>
    <row r="183" spans="1:214" s="69" customFormat="1" ht="15.75" customHeight="1" thickBot="1" x14ac:dyDescent="0.35">
      <c r="A183" s="1"/>
      <c r="B183" s="270">
        <v>89</v>
      </c>
      <c r="C183" s="271">
        <f t="shared" si="366"/>
        <v>7</v>
      </c>
      <c r="D183" s="259" t="s">
        <v>97</v>
      </c>
      <c r="E183" s="49">
        <v>1</v>
      </c>
      <c r="F183" s="49"/>
      <c r="G183" s="49">
        <v>1</v>
      </c>
      <c r="H183" s="49"/>
      <c r="I183" s="49">
        <v>1</v>
      </c>
      <c r="J183" s="49"/>
      <c r="K183" s="49">
        <v>1</v>
      </c>
      <c r="L183" s="49"/>
      <c r="M183" s="49">
        <v>1</v>
      </c>
      <c r="N183" s="49"/>
      <c r="O183" s="49">
        <v>1</v>
      </c>
      <c r="P183" s="49"/>
      <c r="Q183" s="49">
        <f t="shared" si="396"/>
        <v>1</v>
      </c>
      <c r="R183" s="50">
        <f>IF(Q183=1,1550,850)</f>
        <v>1550</v>
      </c>
      <c r="S183" s="51">
        <f t="shared" si="367"/>
        <v>0</v>
      </c>
      <c r="T183" s="11">
        <f t="shared" si="368"/>
        <v>1649.9999999999998</v>
      </c>
      <c r="U183" s="52">
        <f t="shared" si="369"/>
        <v>0</v>
      </c>
      <c r="V183" s="52" t="str">
        <f t="shared" si="370"/>
        <v>BONO</v>
      </c>
      <c r="W183" s="53">
        <f t="shared" si="371"/>
        <v>243.97333333333333</v>
      </c>
      <c r="X183" s="53">
        <f t="shared" si="372"/>
        <v>7.18</v>
      </c>
      <c r="Y183" s="53">
        <f t="shared" si="373"/>
        <v>7.18</v>
      </c>
      <c r="Z183" s="54">
        <f t="shared" si="374"/>
        <v>258.33333333333331</v>
      </c>
      <c r="AA183" s="55"/>
      <c r="AB183" s="53">
        <f t="shared" si="375"/>
        <v>243.97333333333333</v>
      </c>
      <c r="AC183" s="53">
        <f t="shared" si="376"/>
        <v>7.18</v>
      </c>
      <c r="AD183" s="53">
        <f t="shared" si="377"/>
        <v>7.18</v>
      </c>
      <c r="AE183" s="54">
        <f t="shared" si="378"/>
        <v>258.33333333333331</v>
      </c>
      <c r="AF183" s="56"/>
      <c r="AG183" s="53">
        <f t="shared" si="379"/>
        <v>243.97333333333333</v>
      </c>
      <c r="AH183" s="53">
        <f t="shared" si="380"/>
        <v>7.18</v>
      </c>
      <c r="AI183" s="53">
        <f t="shared" si="381"/>
        <v>7.18</v>
      </c>
      <c r="AJ183" s="54">
        <f t="shared" si="382"/>
        <v>258.33333333333331</v>
      </c>
      <c r="AK183" s="57"/>
      <c r="AL183" s="53">
        <f t="shared" si="383"/>
        <v>243.97333333333333</v>
      </c>
      <c r="AM183" s="53">
        <f t="shared" si="384"/>
        <v>7.18</v>
      </c>
      <c r="AN183" s="53">
        <f t="shared" si="385"/>
        <v>7.18</v>
      </c>
      <c r="AO183" s="54">
        <f t="shared" si="386"/>
        <v>258.33333333333331</v>
      </c>
      <c r="AP183" s="56"/>
      <c r="AQ183" s="53">
        <f t="shared" si="387"/>
        <v>243.97333333333333</v>
      </c>
      <c r="AR183" s="53">
        <f t="shared" si="388"/>
        <v>7.18</v>
      </c>
      <c r="AS183" s="53">
        <f t="shared" si="389"/>
        <v>7.18</v>
      </c>
      <c r="AT183" s="54">
        <f t="shared" si="390"/>
        <v>258.33333333333331</v>
      </c>
      <c r="AU183" s="56"/>
      <c r="AV183" s="53">
        <f t="shared" si="391"/>
        <v>243.97333333333333</v>
      </c>
      <c r="AW183" s="53">
        <f t="shared" si="392"/>
        <v>7.18</v>
      </c>
      <c r="AX183" s="53">
        <f t="shared" si="393"/>
        <v>7.18</v>
      </c>
      <c r="AY183" s="54">
        <f t="shared" si="394"/>
        <v>258.33333333333331</v>
      </c>
      <c r="AZ183" s="58">
        <f t="shared" si="395"/>
        <v>1549.9999999999998</v>
      </c>
      <c r="BA183" s="59">
        <f t="shared" si="397"/>
        <v>1649.9999999999998</v>
      </c>
      <c r="BB183" s="139"/>
      <c r="BC183" s="139"/>
      <c r="BD183" s="139"/>
      <c r="BE183" s="139"/>
      <c r="BF183" s="139"/>
      <c r="BG183" s="61" t="s">
        <v>7</v>
      </c>
      <c r="BH183" s="17"/>
      <c r="BI183" s="18">
        <v>100</v>
      </c>
      <c r="BJ183" s="18"/>
      <c r="BK183" s="18"/>
      <c r="BL183" s="63"/>
      <c r="BM183" s="18"/>
      <c r="BN183" s="18"/>
      <c r="BO183" s="66"/>
      <c r="BP183" s="66"/>
      <c r="BQ183" s="21"/>
      <c r="BR183" s="9"/>
      <c r="BS183" s="68"/>
      <c r="BT183" s="68"/>
      <c r="BU183" s="1"/>
      <c r="BV183" s="68"/>
      <c r="BW183" s="68"/>
      <c r="BX183" s="68"/>
      <c r="BY183" s="68"/>
      <c r="BZ183" s="68"/>
      <c r="CA183" s="68"/>
      <c r="CB183" s="68"/>
      <c r="CC183" s="68"/>
      <c r="CD183" s="68"/>
      <c r="CE183" s="68"/>
      <c r="CF183" s="68"/>
      <c r="CG183" s="68"/>
      <c r="CH183" s="68"/>
      <c r="CI183" s="68"/>
      <c r="CJ183" s="68"/>
      <c r="CK183" s="68"/>
      <c r="CL183" s="68"/>
      <c r="CM183" s="68"/>
      <c r="CN183" s="68"/>
      <c r="CO183" s="68"/>
      <c r="CP183" s="68"/>
      <c r="CQ183" s="68"/>
      <c r="CR183" s="68"/>
      <c r="CS183" s="68"/>
      <c r="CT183" s="68"/>
      <c r="CU183" s="68"/>
      <c r="CV183" s="68"/>
      <c r="CW183" s="68"/>
      <c r="CX183" s="68"/>
      <c r="CY183" s="68"/>
      <c r="CZ183" s="68"/>
      <c r="DA183" s="68"/>
      <c r="DB183" s="68"/>
      <c r="DC183" s="68"/>
      <c r="DD183" s="68"/>
      <c r="DE183" s="68"/>
      <c r="DF183" s="68"/>
      <c r="DG183" s="68"/>
      <c r="DH183" s="68"/>
      <c r="DI183" s="68"/>
      <c r="DJ183" s="68"/>
      <c r="DK183" s="68"/>
      <c r="DL183" s="68"/>
      <c r="DM183" s="68"/>
      <c r="DN183" s="68"/>
      <c r="DO183" s="68"/>
      <c r="DP183" s="68"/>
      <c r="DQ183" s="68"/>
      <c r="DR183" s="68"/>
      <c r="DS183" s="68"/>
      <c r="DT183" s="68"/>
      <c r="DU183" s="68"/>
      <c r="DV183" s="68"/>
      <c r="DW183" s="68"/>
      <c r="DX183" s="68"/>
      <c r="DY183" s="68"/>
      <c r="DZ183" s="68"/>
      <c r="EA183" s="68"/>
      <c r="EB183" s="68"/>
      <c r="EC183" s="68"/>
      <c r="ED183" s="68"/>
      <c r="EE183" s="68"/>
      <c r="EF183" s="68"/>
      <c r="EG183" s="68"/>
      <c r="EH183" s="68"/>
      <c r="EI183" s="68"/>
      <c r="EJ183" s="68"/>
      <c r="EK183" s="68"/>
      <c r="EL183" s="68"/>
      <c r="EM183" s="68"/>
      <c r="EN183" s="68"/>
      <c r="EO183" s="68"/>
      <c r="EP183" s="68"/>
      <c r="EQ183" s="68"/>
      <c r="ER183" s="68"/>
      <c r="ES183" s="68"/>
      <c r="ET183" s="68"/>
      <c r="EU183" s="68"/>
      <c r="EV183" s="68"/>
      <c r="EW183" s="68"/>
      <c r="EX183" s="68"/>
      <c r="EY183" s="68"/>
      <c r="EZ183" s="68"/>
      <c r="FA183" s="68"/>
      <c r="FB183" s="68"/>
      <c r="FC183" s="68"/>
      <c r="FD183" s="68"/>
      <c r="FE183" s="68"/>
      <c r="FF183" s="68"/>
      <c r="FG183" s="68"/>
      <c r="FH183" s="68"/>
      <c r="FI183" s="68"/>
      <c r="FJ183" s="68"/>
      <c r="FK183" s="68"/>
      <c r="FL183" s="68"/>
      <c r="FM183" s="68"/>
      <c r="FN183" s="68"/>
      <c r="FO183" s="68"/>
      <c r="FP183" s="68"/>
      <c r="FQ183" s="68"/>
      <c r="FR183" s="68"/>
      <c r="FS183" s="68"/>
      <c r="FT183" s="68"/>
      <c r="FU183" s="68"/>
      <c r="FV183" s="68"/>
      <c r="FW183" s="68"/>
      <c r="FX183" s="68"/>
      <c r="FY183" s="68"/>
      <c r="FZ183" s="68"/>
      <c r="GA183" s="68"/>
      <c r="GB183" s="68"/>
      <c r="GC183" s="68"/>
      <c r="GD183" s="68"/>
      <c r="GE183" s="68"/>
      <c r="GF183" s="68"/>
      <c r="GG183" s="68"/>
      <c r="GH183" s="68"/>
      <c r="GI183" s="68"/>
      <c r="GJ183" s="68"/>
      <c r="GK183" s="68"/>
      <c r="GL183" s="68"/>
      <c r="GM183" s="68"/>
      <c r="GN183" s="68"/>
      <c r="GO183" s="68"/>
      <c r="GP183" s="68"/>
      <c r="GQ183" s="68"/>
      <c r="GR183" s="68"/>
      <c r="GS183" s="68"/>
      <c r="GT183" s="68"/>
      <c r="GU183" s="68"/>
      <c r="GV183" s="68"/>
      <c r="GW183" s="68"/>
      <c r="GX183" s="68"/>
      <c r="GY183" s="68"/>
      <c r="GZ183" s="68"/>
      <c r="HA183" s="68"/>
      <c r="HB183" s="68"/>
      <c r="HC183" s="68"/>
      <c r="HD183" s="68"/>
      <c r="HE183" s="68"/>
      <c r="HF183" s="68"/>
    </row>
    <row r="184" spans="1:214" s="69" customFormat="1" ht="15.75" customHeight="1" thickBot="1" x14ac:dyDescent="0.35">
      <c r="A184" s="1"/>
      <c r="B184" s="384">
        <v>109</v>
      </c>
      <c r="C184" s="271">
        <f t="shared" si="366"/>
        <v>8</v>
      </c>
      <c r="D184" s="383" t="s">
        <v>105</v>
      </c>
      <c r="E184" s="356">
        <v>0</v>
      </c>
      <c r="F184" s="357" t="s">
        <v>18</v>
      </c>
      <c r="G184" s="356">
        <v>0</v>
      </c>
      <c r="H184" s="357" t="s">
        <v>18</v>
      </c>
      <c r="I184" s="356">
        <v>0</v>
      </c>
      <c r="J184" s="357" t="s">
        <v>18</v>
      </c>
      <c r="K184" s="356">
        <v>0</v>
      </c>
      <c r="L184" s="357" t="s">
        <v>18</v>
      </c>
      <c r="M184" s="356">
        <v>0</v>
      </c>
      <c r="N184" s="357" t="s">
        <v>18</v>
      </c>
      <c r="O184" s="356">
        <v>0</v>
      </c>
      <c r="P184" s="357" t="s">
        <v>18</v>
      </c>
      <c r="Q184" s="49">
        <f t="shared" si="396"/>
        <v>0</v>
      </c>
      <c r="R184" s="50">
        <v>0</v>
      </c>
      <c r="S184" s="51">
        <f t="shared" si="367"/>
        <v>0</v>
      </c>
      <c r="T184" s="11">
        <f t="shared" si="368"/>
        <v>0</v>
      </c>
      <c r="U184" s="52">
        <f t="shared" si="369"/>
        <v>0</v>
      </c>
      <c r="V184" s="52">
        <f t="shared" si="370"/>
        <v>0</v>
      </c>
      <c r="W184" s="53">
        <f t="shared" si="371"/>
        <v>0</v>
      </c>
      <c r="X184" s="53">
        <f t="shared" si="372"/>
        <v>0</v>
      </c>
      <c r="Y184" s="53">
        <f t="shared" si="373"/>
        <v>0</v>
      </c>
      <c r="Z184" s="54">
        <f t="shared" si="374"/>
        <v>0</v>
      </c>
      <c r="AA184" s="55"/>
      <c r="AB184" s="53">
        <f t="shared" si="375"/>
        <v>0</v>
      </c>
      <c r="AC184" s="53">
        <f t="shared" si="376"/>
        <v>0</v>
      </c>
      <c r="AD184" s="53">
        <f t="shared" si="377"/>
        <v>0</v>
      </c>
      <c r="AE184" s="54">
        <f t="shared" si="378"/>
        <v>0</v>
      </c>
      <c r="AF184" s="56"/>
      <c r="AG184" s="53">
        <f t="shared" si="379"/>
        <v>0</v>
      </c>
      <c r="AH184" s="53">
        <f t="shared" si="380"/>
        <v>0</v>
      </c>
      <c r="AI184" s="53">
        <f t="shared" si="381"/>
        <v>0</v>
      </c>
      <c r="AJ184" s="54">
        <f t="shared" si="382"/>
        <v>0</v>
      </c>
      <c r="AK184" s="57"/>
      <c r="AL184" s="53">
        <f t="shared" si="383"/>
        <v>0</v>
      </c>
      <c r="AM184" s="53">
        <f t="shared" si="384"/>
        <v>0</v>
      </c>
      <c r="AN184" s="53">
        <f t="shared" si="385"/>
        <v>0</v>
      </c>
      <c r="AO184" s="54">
        <f t="shared" si="386"/>
        <v>0</v>
      </c>
      <c r="AP184" s="56"/>
      <c r="AQ184" s="53">
        <f t="shared" si="387"/>
        <v>0</v>
      </c>
      <c r="AR184" s="53">
        <f t="shared" si="388"/>
        <v>0</v>
      </c>
      <c r="AS184" s="53">
        <f t="shared" si="389"/>
        <v>0</v>
      </c>
      <c r="AT184" s="54">
        <f t="shared" si="390"/>
        <v>0</v>
      </c>
      <c r="AU184" s="56"/>
      <c r="AV184" s="53">
        <f t="shared" si="391"/>
        <v>0</v>
      </c>
      <c r="AW184" s="53">
        <f t="shared" si="392"/>
        <v>0</v>
      </c>
      <c r="AX184" s="53">
        <f t="shared" si="393"/>
        <v>0</v>
      </c>
      <c r="AY184" s="54">
        <f t="shared" si="394"/>
        <v>0</v>
      </c>
      <c r="AZ184" s="58">
        <f t="shared" si="395"/>
        <v>0</v>
      </c>
      <c r="BA184" s="59">
        <f t="shared" si="397"/>
        <v>0</v>
      </c>
      <c r="BB184" s="60"/>
      <c r="BC184" s="60"/>
      <c r="BD184" s="60"/>
      <c r="BE184" s="60"/>
      <c r="BF184" s="60"/>
      <c r="BG184" s="131"/>
      <c r="BH184" s="62"/>
      <c r="BI184" s="63"/>
      <c r="BJ184" s="63"/>
      <c r="BK184" s="64"/>
      <c r="BL184" s="63"/>
      <c r="BM184" s="65"/>
      <c r="BN184" s="65"/>
      <c r="BO184" s="66"/>
      <c r="BP184" s="67"/>
      <c r="BQ184" s="21"/>
      <c r="BR184" s="48"/>
      <c r="BS184" s="48"/>
      <c r="BT184" s="68"/>
      <c r="BU184" s="1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</row>
    <row r="185" spans="1:214" s="69" customFormat="1" ht="15.75" customHeight="1" thickBot="1" x14ac:dyDescent="0.35">
      <c r="A185" s="1"/>
      <c r="B185" s="373">
        <v>178</v>
      </c>
      <c r="C185" s="271"/>
      <c r="D185" s="268" t="s">
        <v>157</v>
      </c>
      <c r="E185" s="348">
        <v>0</v>
      </c>
      <c r="F185" s="348"/>
      <c r="G185" s="348">
        <v>0</v>
      </c>
      <c r="H185" s="348"/>
      <c r="I185" s="49">
        <v>1</v>
      </c>
      <c r="J185" s="371" t="s">
        <v>148</v>
      </c>
      <c r="K185" s="49">
        <v>1</v>
      </c>
      <c r="L185" s="49"/>
      <c r="M185" s="49">
        <v>1</v>
      </c>
      <c r="N185" s="49"/>
      <c r="O185" s="49">
        <v>1</v>
      </c>
      <c r="P185" s="49"/>
      <c r="Q185" s="49">
        <f t="shared" si="396"/>
        <v>0</v>
      </c>
      <c r="R185" s="50">
        <f>IF(Q185=1,2300,850)</f>
        <v>850</v>
      </c>
      <c r="S185" s="51">
        <f t="shared" ref="S185" si="449">+BH185</f>
        <v>0</v>
      </c>
      <c r="T185" s="11">
        <f>+BA185+BL185</f>
        <v>5079.996666666666</v>
      </c>
      <c r="U185" s="52">
        <f t="shared" ref="U185" si="450">+BP185</f>
        <v>0</v>
      </c>
      <c r="V185" s="52">
        <f t="shared" ref="V185" si="451">+BG185</f>
        <v>0</v>
      </c>
      <c r="W185" s="53">
        <f t="shared" si="371"/>
        <v>0</v>
      </c>
      <c r="X185" s="53">
        <f t="shared" si="372"/>
        <v>0</v>
      </c>
      <c r="Y185" s="53">
        <f t="shared" ref="Y185" si="452">$Y$2*E185*Q185</f>
        <v>0</v>
      </c>
      <c r="Z185" s="54">
        <f t="shared" ref="Z185" si="453">Y185+X185+W185</f>
        <v>0</v>
      </c>
      <c r="AA185" s="55"/>
      <c r="AB185" s="53">
        <f t="shared" ref="AB185" si="454">(R185-86.16)/6*G185</f>
        <v>0</v>
      </c>
      <c r="AC185" s="53">
        <f t="shared" ref="AC185" si="455">$Y$2*G185*Q185</f>
        <v>0</v>
      </c>
      <c r="AD185" s="53">
        <f t="shared" ref="AD185" si="456">$Y$2*G185*Q185</f>
        <v>0</v>
      </c>
      <c r="AE185" s="54">
        <f t="shared" ref="AE185" si="457">AD185+AC185+AB185</f>
        <v>0</v>
      </c>
      <c r="AF185" s="56"/>
      <c r="AG185" s="53">
        <f t="shared" ref="AG185" si="458">(R185-86.16)/6*I185</f>
        <v>127.30666666666667</v>
      </c>
      <c r="AH185" s="53">
        <f t="shared" ref="AH185" si="459">$Y$2*I185*Q185</f>
        <v>0</v>
      </c>
      <c r="AI185" s="53">
        <f t="shared" ref="AI185" si="460">$Y$2*I185*Q185</f>
        <v>0</v>
      </c>
      <c r="AJ185" s="54">
        <f t="shared" ref="AJ185" si="461">AI185+AH185+AG185</f>
        <v>127.30666666666667</v>
      </c>
      <c r="AK185" s="57"/>
      <c r="AL185" s="53">
        <f t="shared" ref="AL185" si="462">(R185-86.16)/6*K185</f>
        <v>127.30666666666667</v>
      </c>
      <c r="AM185" s="53">
        <f t="shared" ref="AM185" si="463">$Y$2*K185*Q185</f>
        <v>0</v>
      </c>
      <c r="AN185" s="53">
        <f t="shared" ref="AN185" si="464">$Y$2*K185*Q185</f>
        <v>0</v>
      </c>
      <c r="AO185" s="54">
        <f t="shared" ref="AO185" si="465">AN185+AM185+AL185</f>
        <v>127.30666666666667</v>
      </c>
      <c r="AP185" s="56"/>
      <c r="AQ185" s="53">
        <f t="shared" ref="AQ185" si="466">(R185-86.16)/6*M185</f>
        <v>127.30666666666667</v>
      </c>
      <c r="AR185" s="53">
        <f t="shared" ref="AR185" si="467">$Y$2*M185*Q185</f>
        <v>0</v>
      </c>
      <c r="AS185" s="53">
        <f t="shared" ref="AS185" si="468">$Y$2*M185*Q185</f>
        <v>0</v>
      </c>
      <c r="AT185" s="54">
        <f t="shared" ref="AT185" si="469">AS185+AR185+AQ185</f>
        <v>127.30666666666667</v>
      </c>
      <c r="AU185" s="56"/>
      <c r="AV185" s="53">
        <f t="shared" ref="AV185" si="470">(R185-86.16)/6*O185</f>
        <v>127.30666666666667</v>
      </c>
      <c r="AW185" s="53">
        <f t="shared" ref="AW185" si="471">$Y$2*O185*Q185</f>
        <v>0</v>
      </c>
      <c r="AX185" s="53">
        <f t="shared" ref="AX185" si="472">$Y$2*O185*Q185</f>
        <v>0</v>
      </c>
      <c r="AY185" s="54">
        <f t="shared" ref="AY185" si="473">AX185+AW185+AV185</f>
        <v>127.30666666666667</v>
      </c>
      <c r="AZ185" s="58">
        <f t="shared" si="395"/>
        <v>509.22666666666669</v>
      </c>
      <c r="BA185" s="59">
        <f>((AZ185-BB185-BC185-BD185-BE185-BF185)+BI185+BJ185+BK185+BL185+BM185+BN185+BO185)</f>
        <v>3229.9966666666664</v>
      </c>
      <c r="BB185" s="60"/>
      <c r="BC185" s="60"/>
      <c r="BD185" s="60"/>
      <c r="BE185" s="60"/>
      <c r="BF185" s="60"/>
      <c r="BG185" s="131"/>
      <c r="BH185" s="62"/>
      <c r="BI185" s="63"/>
      <c r="BJ185" s="63"/>
      <c r="BK185" s="64"/>
      <c r="BL185" s="63">
        <v>1850</v>
      </c>
      <c r="BM185" s="65"/>
      <c r="BN185" s="65">
        <v>870.77</v>
      </c>
      <c r="BO185" s="66"/>
      <c r="BP185" s="67"/>
      <c r="BQ185" s="21"/>
      <c r="BR185" s="48"/>
      <c r="BS185" s="48"/>
      <c r="BT185" s="68"/>
      <c r="BU185" s="1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</row>
    <row r="186" spans="1:214" s="69" customFormat="1" ht="15.75" customHeight="1" thickBot="1" x14ac:dyDescent="0.35">
      <c r="A186" s="1">
        <v>468</v>
      </c>
      <c r="B186" s="384">
        <v>34</v>
      </c>
      <c r="C186" s="271">
        <f>C184+1</f>
        <v>9</v>
      </c>
      <c r="D186" s="383" t="s">
        <v>62</v>
      </c>
      <c r="E186" s="49">
        <v>1</v>
      </c>
      <c r="F186" s="49"/>
      <c r="G186" s="49">
        <v>1</v>
      </c>
      <c r="H186" s="49"/>
      <c r="I186" s="361">
        <v>1</v>
      </c>
      <c r="J186" s="362" t="s">
        <v>164</v>
      </c>
      <c r="K186" s="361">
        <v>1</v>
      </c>
      <c r="L186" s="362" t="s">
        <v>164</v>
      </c>
      <c r="M186" s="361">
        <v>1</v>
      </c>
      <c r="N186" s="362" t="s">
        <v>164</v>
      </c>
      <c r="O186" s="361">
        <v>1</v>
      </c>
      <c r="P186" s="362" t="s">
        <v>164</v>
      </c>
      <c r="Q186" s="49">
        <f t="shared" si="396"/>
        <v>1</v>
      </c>
      <c r="R186" s="50">
        <f>IF(Q186=1,3000,850)</f>
        <v>3000</v>
      </c>
      <c r="S186" s="51">
        <f t="shared" si="367"/>
        <v>0</v>
      </c>
      <c r="T186" s="11">
        <f t="shared" si="368"/>
        <v>3000.0000000000005</v>
      </c>
      <c r="U186" s="52">
        <f t="shared" si="369"/>
        <v>0</v>
      </c>
      <c r="V186" s="52">
        <f t="shared" si="370"/>
        <v>0</v>
      </c>
      <c r="W186" s="53">
        <f t="shared" si="371"/>
        <v>485.64000000000004</v>
      </c>
      <c r="X186" s="53">
        <f t="shared" si="372"/>
        <v>7.18</v>
      </c>
      <c r="Y186" s="53">
        <f t="shared" si="373"/>
        <v>7.18</v>
      </c>
      <c r="Z186" s="54">
        <f t="shared" si="374"/>
        <v>500.00000000000006</v>
      </c>
      <c r="AA186" s="55"/>
      <c r="AB186" s="53">
        <f t="shared" si="375"/>
        <v>485.64000000000004</v>
      </c>
      <c r="AC186" s="53">
        <f t="shared" si="376"/>
        <v>7.18</v>
      </c>
      <c r="AD186" s="53">
        <f t="shared" si="377"/>
        <v>7.18</v>
      </c>
      <c r="AE186" s="54">
        <f t="shared" si="378"/>
        <v>500.00000000000006</v>
      </c>
      <c r="AF186" s="56"/>
      <c r="AG186" s="53">
        <f t="shared" si="379"/>
        <v>485.64000000000004</v>
      </c>
      <c r="AH186" s="53">
        <f t="shared" si="380"/>
        <v>7.18</v>
      </c>
      <c r="AI186" s="53">
        <f t="shared" si="381"/>
        <v>7.18</v>
      </c>
      <c r="AJ186" s="54">
        <f t="shared" si="382"/>
        <v>500.00000000000006</v>
      </c>
      <c r="AK186" s="57"/>
      <c r="AL186" s="53">
        <f t="shared" si="383"/>
        <v>485.64000000000004</v>
      </c>
      <c r="AM186" s="53">
        <f t="shared" si="384"/>
        <v>7.18</v>
      </c>
      <c r="AN186" s="53">
        <f t="shared" si="385"/>
        <v>7.18</v>
      </c>
      <c r="AO186" s="54">
        <f t="shared" si="386"/>
        <v>500.00000000000006</v>
      </c>
      <c r="AP186" s="56"/>
      <c r="AQ186" s="53">
        <f t="shared" si="387"/>
        <v>485.64000000000004</v>
      </c>
      <c r="AR186" s="53">
        <f t="shared" si="388"/>
        <v>7.18</v>
      </c>
      <c r="AS186" s="53">
        <f t="shared" si="389"/>
        <v>7.18</v>
      </c>
      <c r="AT186" s="54">
        <f t="shared" si="390"/>
        <v>500.00000000000006</v>
      </c>
      <c r="AU186" s="56"/>
      <c r="AV186" s="53">
        <f t="shared" si="391"/>
        <v>485.64000000000004</v>
      </c>
      <c r="AW186" s="53">
        <f t="shared" si="392"/>
        <v>7.18</v>
      </c>
      <c r="AX186" s="53">
        <f t="shared" si="393"/>
        <v>7.18</v>
      </c>
      <c r="AY186" s="54">
        <f t="shared" si="394"/>
        <v>500.00000000000006</v>
      </c>
      <c r="AZ186" s="58">
        <f t="shared" si="395"/>
        <v>3000.0000000000005</v>
      </c>
      <c r="BA186" s="59">
        <f t="shared" si="397"/>
        <v>3000.0000000000005</v>
      </c>
      <c r="BB186" s="60"/>
      <c r="BC186" s="60"/>
      <c r="BD186" s="60"/>
      <c r="BE186" s="60"/>
      <c r="BF186" s="60"/>
      <c r="BG186" s="61"/>
      <c r="BH186" s="62"/>
      <c r="BI186" s="63"/>
      <c r="BJ186" s="63"/>
      <c r="BK186" s="64"/>
      <c r="BL186" s="63"/>
      <c r="BM186" s="65"/>
      <c r="BN186" s="65"/>
      <c r="BO186" s="66"/>
      <c r="BP186" s="67"/>
      <c r="BQ186" s="21"/>
      <c r="BR186" s="48"/>
      <c r="BS186" s="48"/>
      <c r="BT186" s="68"/>
      <c r="BU186" s="1">
        <v>468</v>
      </c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</row>
    <row r="187" spans="1:214" s="69" customFormat="1" ht="15.75" customHeight="1" thickBot="1" x14ac:dyDescent="0.35">
      <c r="A187" s="1">
        <v>519</v>
      </c>
      <c r="B187" s="387">
        <v>35</v>
      </c>
      <c r="C187" s="271">
        <f t="shared" si="366"/>
        <v>10</v>
      </c>
      <c r="D187" s="386" t="s">
        <v>63</v>
      </c>
      <c r="E187" s="49">
        <v>1</v>
      </c>
      <c r="F187" s="49"/>
      <c r="G187" s="49">
        <v>1</v>
      </c>
      <c r="H187" s="49"/>
      <c r="I187" s="49">
        <v>1</v>
      </c>
      <c r="J187" s="49"/>
      <c r="K187" s="49">
        <v>1</v>
      </c>
      <c r="L187" s="49"/>
      <c r="M187" s="49">
        <v>1</v>
      </c>
      <c r="N187" s="49"/>
      <c r="O187" s="49">
        <v>1</v>
      </c>
      <c r="P187" s="49"/>
      <c r="Q187" s="49">
        <f t="shared" si="396"/>
        <v>1</v>
      </c>
      <c r="R187" s="50">
        <f>IF(Q187=1,2100,850)</f>
        <v>2100</v>
      </c>
      <c r="S187" s="51">
        <f t="shared" si="367"/>
        <v>0</v>
      </c>
      <c r="T187" s="11">
        <f t="shared" si="368"/>
        <v>2450</v>
      </c>
      <c r="U187" s="52">
        <f t="shared" si="369"/>
        <v>0</v>
      </c>
      <c r="V187" s="52">
        <f t="shared" si="370"/>
        <v>0</v>
      </c>
      <c r="W187" s="53">
        <f t="shared" si="371"/>
        <v>335.64</v>
      </c>
      <c r="X187" s="53">
        <f t="shared" si="372"/>
        <v>7.18</v>
      </c>
      <c r="Y187" s="53">
        <f t="shared" si="373"/>
        <v>7.18</v>
      </c>
      <c r="Z187" s="54">
        <f t="shared" si="374"/>
        <v>350</v>
      </c>
      <c r="AA187" s="55"/>
      <c r="AB187" s="53">
        <f t="shared" si="375"/>
        <v>335.64</v>
      </c>
      <c r="AC187" s="53">
        <f t="shared" si="376"/>
        <v>7.18</v>
      </c>
      <c r="AD187" s="53">
        <f t="shared" si="377"/>
        <v>7.18</v>
      </c>
      <c r="AE187" s="54">
        <f t="shared" si="378"/>
        <v>350</v>
      </c>
      <c r="AF187" s="56"/>
      <c r="AG187" s="53">
        <f t="shared" si="379"/>
        <v>335.64</v>
      </c>
      <c r="AH187" s="53">
        <f t="shared" si="380"/>
        <v>7.18</v>
      </c>
      <c r="AI187" s="53">
        <f t="shared" si="381"/>
        <v>7.18</v>
      </c>
      <c r="AJ187" s="54">
        <f t="shared" si="382"/>
        <v>350</v>
      </c>
      <c r="AK187" s="57"/>
      <c r="AL187" s="53">
        <f t="shared" si="383"/>
        <v>335.64</v>
      </c>
      <c r="AM187" s="53">
        <f t="shared" si="384"/>
        <v>7.18</v>
      </c>
      <c r="AN187" s="53">
        <f t="shared" si="385"/>
        <v>7.18</v>
      </c>
      <c r="AO187" s="54">
        <f t="shared" si="386"/>
        <v>350</v>
      </c>
      <c r="AP187" s="56"/>
      <c r="AQ187" s="53">
        <f t="shared" si="387"/>
        <v>335.64</v>
      </c>
      <c r="AR187" s="53">
        <f t="shared" si="388"/>
        <v>7.18</v>
      </c>
      <c r="AS187" s="53">
        <f t="shared" si="389"/>
        <v>7.18</v>
      </c>
      <c r="AT187" s="54">
        <f t="shared" si="390"/>
        <v>350</v>
      </c>
      <c r="AU187" s="56"/>
      <c r="AV187" s="53">
        <f t="shared" si="391"/>
        <v>335.64</v>
      </c>
      <c r="AW187" s="53">
        <f t="shared" si="392"/>
        <v>7.18</v>
      </c>
      <c r="AX187" s="53">
        <f t="shared" si="393"/>
        <v>7.18</v>
      </c>
      <c r="AY187" s="54">
        <f t="shared" si="394"/>
        <v>350</v>
      </c>
      <c r="AZ187" s="58">
        <f t="shared" si="395"/>
        <v>2100</v>
      </c>
      <c r="BA187" s="59">
        <f t="shared" si="397"/>
        <v>2450</v>
      </c>
      <c r="BB187" s="60"/>
      <c r="BC187" s="60"/>
      <c r="BD187" s="60"/>
      <c r="BE187" s="60"/>
      <c r="BF187" s="60"/>
      <c r="BG187" s="144"/>
      <c r="BH187" s="17"/>
      <c r="BI187" s="64"/>
      <c r="BJ187" s="18"/>
      <c r="BK187" s="65"/>
      <c r="BL187" s="63">
        <v>350</v>
      </c>
      <c r="BM187" s="65"/>
      <c r="BN187" s="65"/>
      <c r="BO187" s="66"/>
      <c r="BP187" s="67"/>
      <c r="BQ187" s="21"/>
      <c r="BR187" s="48"/>
      <c r="BS187" s="48"/>
      <c r="BT187" s="68"/>
      <c r="BU187" s="1">
        <v>519</v>
      </c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</row>
    <row r="188" spans="1:214" ht="15.75" customHeight="1" thickBot="1" x14ac:dyDescent="0.35">
      <c r="A188" s="1">
        <v>520</v>
      </c>
      <c r="B188" s="338">
        <v>41</v>
      </c>
      <c r="C188" s="271">
        <f t="shared" si="366"/>
        <v>11</v>
      </c>
      <c r="D188" s="268" t="s">
        <v>64</v>
      </c>
      <c r="E188" s="49">
        <v>1</v>
      </c>
      <c r="F188" s="371"/>
      <c r="G188" s="49">
        <v>1</v>
      </c>
      <c r="H188" s="371"/>
      <c r="I188" s="49">
        <v>1</v>
      </c>
      <c r="J188" s="371"/>
      <c r="K188" s="49">
        <v>1</v>
      </c>
      <c r="L188" s="371"/>
      <c r="M188" s="49">
        <v>1</v>
      </c>
      <c r="N188" s="371"/>
      <c r="O188" s="49">
        <v>1</v>
      </c>
      <c r="P188" s="371"/>
      <c r="Q188" s="49">
        <f t="shared" si="396"/>
        <v>1</v>
      </c>
      <c r="R188" s="50">
        <v>3000</v>
      </c>
      <c r="S188" s="51">
        <f t="shared" si="367"/>
        <v>0</v>
      </c>
      <c r="T188" s="11">
        <v>3000</v>
      </c>
      <c r="U188" s="52">
        <f t="shared" si="369"/>
        <v>0</v>
      </c>
      <c r="V188" s="52">
        <f t="shared" si="370"/>
        <v>0</v>
      </c>
      <c r="W188" s="53">
        <f t="shared" si="371"/>
        <v>485.64000000000004</v>
      </c>
      <c r="X188" s="53">
        <f t="shared" si="372"/>
        <v>7.18</v>
      </c>
      <c r="Y188" s="53">
        <f t="shared" si="373"/>
        <v>7.18</v>
      </c>
      <c r="Z188" s="54">
        <f t="shared" si="374"/>
        <v>500.00000000000006</v>
      </c>
      <c r="AA188" s="55"/>
      <c r="AB188" s="53">
        <f t="shared" si="375"/>
        <v>485.64000000000004</v>
      </c>
      <c r="AC188" s="53">
        <f t="shared" si="376"/>
        <v>7.18</v>
      </c>
      <c r="AD188" s="53">
        <f t="shared" si="377"/>
        <v>7.18</v>
      </c>
      <c r="AE188" s="54">
        <f t="shared" si="378"/>
        <v>500.00000000000006</v>
      </c>
      <c r="AF188" s="56"/>
      <c r="AG188" s="53">
        <f t="shared" si="379"/>
        <v>485.64000000000004</v>
      </c>
      <c r="AH188" s="53">
        <f t="shared" si="380"/>
        <v>7.18</v>
      </c>
      <c r="AI188" s="53">
        <f t="shared" si="381"/>
        <v>7.18</v>
      </c>
      <c r="AJ188" s="54">
        <f t="shared" si="382"/>
        <v>500.00000000000006</v>
      </c>
      <c r="AK188" s="57"/>
      <c r="AL188" s="53">
        <f t="shared" si="383"/>
        <v>485.64000000000004</v>
      </c>
      <c r="AM188" s="53">
        <f t="shared" si="384"/>
        <v>7.18</v>
      </c>
      <c r="AN188" s="53">
        <f t="shared" si="385"/>
        <v>7.18</v>
      </c>
      <c r="AO188" s="54">
        <f t="shared" si="386"/>
        <v>500.00000000000006</v>
      </c>
      <c r="AP188" s="56"/>
      <c r="AQ188" s="53">
        <f t="shared" si="387"/>
        <v>485.64000000000004</v>
      </c>
      <c r="AR188" s="53">
        <f t="shared" si="388"/>
        <v>7.18</v>
      </c>
      <c r="AS188" s="53">
        <f t="shared" si="389"/>
        <v>7.18</v>
      </c>
      <c r="AT188" s="54">
        <f t="shared" si="390"/>
        <v>500.00000000000006</v>
      </c>
      <c r="AU188" s="56"/>
      <c r="AV188" s="53">
        <f t="shared" si="391"/>
        <v>485.64000000000004</v>
      </c>
      <c r="AW188" s="53">
        <f t="shared" si="392"/>
        <v>7.18</v>
      </c>
      <c r="AX188" s="53">
        <f t="shared" si="393"/>
        <v>7.18</v>
      </c>
      <c r="AY188" s="54">
        <f t="shared" si="394"/>
        <v>500.00000000000006</v>
      </c>
      <c r="AZ188" s="58">
        <f t="shared" si="395"/>
        <v>3000.0000000000005</v>
      </c>
      <c r="BA188" s="59">
        <f t="shared" si="397"/>
        <v>3000.0000000000005</v>
      </c>
      <c r="BB188" s="60"/>
      <c r="BC188" s="60"/>
      <c r="BD188" s="60"/>
      <c r="BE188" s="60"/>
      <c r="BF188" s="60"/>
      <c r="BG188" s="131"/>
      <c r="BI188" s="64"/>
      <c r="BL188" s="63"/>
      <c r="BM188" s="65"/>
      <c r="BO188" s="66"/>
      <c r="BP188" s="67"/>
      <c r="BQ188" s="21"/>
      <c r="BR188" s="48"/>
      <c r="BS188" s="48"/>
      <c r="BT188" s="68"/>
      <c r="BU188" s="1"/>
      <c r="GG188" s="69"/>
      <c r="GH188" s="69"/>
      <c r="GI188" s="69"/>
      <c r="GJ188" s="69"/>
      <c r="GK188" s="69"/>
      <c r="GL188" s="69"/>
      <c r="GM188" s="69"/>
      <c r="GN188" s="69"/>
      <c r="GO188" s="69"/>
      <c r="GP188" s="69"/>
      <c r="GQ188" s="69"/>
      <c r="GR188" s="69"/>
      <c r="GS188" s="69"/>
      <c r="GT188" s="69"/>
      <c r="GU188" s="69"/>
      <c r="GV188" s="69"/>
      <c r="GW188" s="69"/>
      <c r="GX188" s="69"/>
      <c r="GY188" s="69"/>
      <c r="GZ188" s="69"/>
      <c r="HA188" s="69"/>
      <c r="HB188" s="69"/>
      <c r="HC188" s="69"/>
      <c r="HD188" s="69"/>
      <c r="HE188" s="69"/>
      <c r="HF188" s="69"/>
    </row>
    <row r="189" spans="1:214" ht="15.75" customHeight="1" thickBot="1" x14ac:dyDescent="0.35">
      <c r="A189" s="1">
        <v>524</v>
      </c>
      <c r="B189" s="78"/>
      <c r="C189" s="79"/>
      <c r="D189" s="21"/>
      <c r="E189" s="80">
        <f>SUM(E177:E188)</f>
        <v>10</v>
      </c>
      <c r="F189" s="80"/>
      <c r="G189" s="80">
        <f>SUM(G177:G188)</f>
        <v>10</v>
      </c>
      <c r="H189" s="80"/>
      <c r="I189" s="80">
        <f>SUM(I177:I188)</f>
        <v>11</v>
      </c>
      <c r="J189" s="80"/>
      <c r="K189" s="80">
        <f>SUM(K177:K188)</f>
        <v>11</v>
      </c>
      <c r="L189" s="80"/>
      <c r="M189" s="80">
        <f>SUM(M177:M188)</f>
        <v>11</v>
      </c>
      <c r="N189" s="80"/>
      <c r="O189" s="80">
        <f>SUM(O177:O188)</f>
        <v>11</v>
      </c>
      <c r="P189" s="80"/>
      <c r="Q189" s="8"/>
      <c r="R189" s="82"/>
      <c r="S189" s="51"/>
      <c r="T189" s="11"/>
      <c r="U189" s="52"/>
      <c r="V189" s="52"/>
      <c r="W189" s="53"/>
      <c r="X189" s="53"/>
      <c r="Y189" s="53"/>
      <c r="Z189" s="54"/>
      <c r="AA189" s="55"/>
      <c r="AB189" s="53"/>
      <c r="AC189" s="53"/>
      <c r="AD189" s="53"/>
      <c r="AE189" s="54"/>
      <c r="AF189" s="56"/>
      <c r="AG189" s="53"/>
      <c r="AH189" s="53"/>
      <c r="AI189" s="53"/>
      <c r="AJ189" s="54"/>
      <c r="AK189" s="57"/>
      <c r="AL189" s="53"/>
      <c r="AM189" s="53"/>
      <c r="AN189" s="53"/>
      <c r="AO189" s="54"/>
      <c r="AP189" s="56"/>
      <c r="AQ189" s="53"/>
      <c r="AR189" s="53"/>
      <c r="AS189" s="53"/>
      <c r="AT189" s="54"/>
      <c r="AU189" s="56"/>
      <c r="AV189" s="53"/>
      <c r="AW189" s="53"/>
      <c r="AX189" s="53"/>
      <c r="AY189" s="54"/>
      <c r="AZ189" s="58"/>
      <c r="BA189" s="59"/>
      <c r="BG189" s="83"/>
      <c r="BL189" s="63"/>
      <c r="BO189" s="67"/>
      <c r="BP189" s="67"/>
      <c r="BQ189" s="21"/>
      <c r="BR189" s="84"/>
      <c r="BS189" s="84"/>
      <c r="BU189" s="1">
        <v>524</v>
      </c>
    </row>
    <row r="190" spans="1:214" ht="15.75" customHeight="1" thickBot="1" x14ac:dyDescent="0.45">
      <c r="A190" s="1">
        <v>525</v>
      </c>
      <c r="C190" s="79"/>
      <c r="D190" s="21"/>
      <c r="E190" s="8"/>
      <c r="F190" s="85"/>
      <c r="G190" s="8"/>
      <c r="H190" s="22"/>
      <c r="I190" s="8"/>
      <c r="J190" s="22"/>
      <c r="K190" s="8"/>
      <c r="L190" s="22"/>
      <c r="M190" s="8"/>
      <c r="N190" s="22"/>
      <c r="O190" s="8"/>
      <c r="P190" s="22"/>
      <c r="Q190" s="8"/>
      <c r="R190" s="82"/>
      <c r="S190" s="51"/>
      <c r="T190" s="11"/>
      <c r="U190" s="52"/>
      <c r="V190" s="52"/>
      <c r="W190" s="53"/>
      <c r="X190" s="53"/>
      <c r="Y190" s="53"/>
      <c r="Z190" s="54"/>
      <c r="AA190" s="55"/>
      <c r="AB190" s="53"/>
      <c r="AC190" s="53"/>
      <c r="AD190" s="53"/>
      <c r="AE190" s="54"/>
      <c r="AF190" s="56"/>
      <c r="AG190" s="53"/>
      <c r="AH190" s="53"/>
      <c r="AI190" s="53"/>
      <c r="AJ190" s="54"/>
      <c r="AK190" s="57"/>
      <c r="AL190" s="53"/>
      <c r="AM190" s="53"/>
      <c r="AN190" s="53"/>
      <c r="AO190" s="54"/>
      <c r="AP190" s="56"/>
      <c r="AQ190" s="53"/>
      <c r="AR190" s="53"/>
      <c r="AS190" s="53"/>
      <c r="AT190" s="54"/>
      <c r="AU190" s="56"/>
      <c r="AV190" s="53"/>
      <c r="AW190" s="53"/>
      <c r="AX190" s="53"/>
      <c r="AY190" s="54"/>
      <c r="AZ190" s="58"/>
      <c r="BA190" s="59"/>
      <c r="BG190" s="83"/>
      <c r="BO190" s="86"/>
      <c r="BP190" s="87"/>
      <c r="BQ190" s="21"/>
      <c r="BT190" s="68"/>
      <c r="BU190" s="1">
        <v>525</v>
      </c>
    </row>
    <row r="191" spans="1:214" ht="15.75" customHeight="1" thickBot="1" x14ac:dyDescent="0.35">
      <c r="A191" s="1">
        <v>526</v>
      </c>
      <c r="B191" s="88" t="s">
        <v>26</v>
      </c>
      <c r="C191" s="89" t="s">
        <v>27</v>
      </c>
      <c r="D191" s="90"/>
      <c r="E191" s="8"/>
      <c r="F191" s="91"/>
      <c r="G191" s="42" t="s">
        <v>8</v>
      </c>
      <c r="H191" s="42"/>
      <c r="I191" s="42" t="s">
        <v>9</v>
      </c>
      <c r="J191" s="42"/>
      <c r="K191" s="42" t="s">
        <v>9</v>
      </c>
      <c r="L191" s="42"/>
      <c r="M191" s="42" t="s">
        <v>10</v>
      </c>
      <c r="N191" s="42"/>
      <c r="O191" s="42" t="s">
        <v>11</v>
      </c>
      <c r="P191" s="42"/>
      <c r="Q191" s="42" t="s">
        <v>12</v>
      </c>
      <c r="R191" s="42"/>
      <c r="S191" s="9"/>
      <c r="T191" s="11"/>
      <c r="U191" s="11"/>
      <c r="V191" s="11"/>
      <c r="W191" s="12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59"/>
      <c r="BO191" s="92"/>
      <c r="BP191" s="92"/>
      <c r="BQ191" s="21"/>
      <c r="BR191" s="21"/>
      <c r="BS191" s="21"/>
      <c r="BT191" s="68"/>
      <c r="BU191" s="1">
        <v>526</v>
      </c>
    </row>
    <row r="192" spans="1:214" ht="20.25" customHeight="1" thickBot="1" x14ac:dyDescent="0.35">
      <c r="A192" s="1">
        <v>527</v>
      </c>
      <c r="B192" s="21">
        <f>E189</f>
        <v>10</v>
      </c>
      <c r="C192" s="93">
        <f>G204</f>
        <v>10</v>
      </c>
      <c r="D192" s="94">
        <f t="shared" ref="D192:D199" si="474">+B192-C192</f>
        <v>0</v>
      </c>
      <c r="E192" s="95"/>
      <c r="F192" s="96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8" t="s">
        <v>28</v>
      </c>
      <c r="S192" s="10"/>
      <c r="T192" s="10"/>
      <c r="U192" s="94"/>
      <c r="V192" s="40"/>
      <c r="W192" s="42"/>
      <c r="X192" s="9"/>
      <c r="Y192" s="9"/>
      <c r="Z192" s="9"/>
      <c r="AA192" s="9"/>
      <c r="AB192" s="42"/>
      <c r="AC192" s="9"/>
      <c r="AD192" s="9"/>
      <c r="AE192" s="9"/>
      <c r="AF192" s="9"/>
      <c r="AG192" s="42"/>
      <c r="AH192" s="9"/>
      <c r="AI192" s="9"/>
      <c r="AJ192" s="9"/>
      <c r="AK192" s="9"/>
      <c r="AL192" s="9"/>
      <c r="AM192" s="9"/>
      <c r="AN192" s="9"/>
      <c r="AO192" s="9"/>
      <c r="AP192" s="9"/>
      <c r="AQ192" s="42"/>
      <c r="AR192" s="9"/>
      <c r="AS192" s="9"/>
      <c r="AT192" s="9"/>
      <c r="AU192" s="9"/>
      <c r="AV192" s="42"/>
      <c r="AW192" s="9"/>
      <c r="AX192" s="9"/>
      <c r="AY192" s="9"/>
      <c r="AZ192" s="99"/>
      <c r="BA192" s="59"/>
      <c r="BE192" s="100"/>
      <c r="BO192" s="101"/>
      <c r="BP192" s="92"/>
      <c r="BQ192" s="21"/>
      <c r="BR192" s="21"/>
      <c r="BS192" s="21"/>
      <c r="BT192" s="68"/>
      <c r="BU192" s="1">
        <v>527</v>
      </c>
    </row>
    <row r="193" spans="1:73" ht="25.5" customHeight="1" thickBot="1" x14ac:dyDescent="0.35">
      <c r="A193" s="1">
        <v>528</v>
      </c>
      <c r="B193" s="21">
        <f>G189</f>
        <v>10</v>
      </c>
      <c r="C193" s="93">
        <f>I204</f>
        <v>10</v>
      </c>
      <c r="D193" s="94">
        <f t="shared" si="474"/>
        <v>0</v>
      </c>
      <c r="E193" s="334" t="s">
        <v>107</v>
      </c>
      <c r="F193" s="103"/>
      <c r="G193" s="104">
        <v>1</v>
      </c>
      <c r="H193" s="105"/>
      <c r="I193" s="104">
        <v>1</v>
      </c>
      <c r="J193" s="105"/>
      <c r="K193" s="104">
        <v>1</v>
      </c>
      <c r="L193" s="105"/>
      <c r="M193" s="104">
        <v>1</v>
      </c>
      <c r="N193" s="105"/>
      <c r="O193" s="104">
        <v>1</v>
      </c>
      <c r="P193" s="105"/>
      <c r="Q193" s="104">
        <v>1</v>
      </c>
      <c r="R193" s="111">
        <f t="shared" ref="R193:R203" si="475">AVERAGE(G193,I193,K193,M193,O193,Q193)</f>
        <v>1</v>
      </c>
      <c r="S193" s="10"/>
      <c r="T193" s="11"/>
      <c r="U193" s="94"/>
      <c r="V193" s="40"/>
      <c r="W193" s="42"/>
      <c r="X193" s="9"/>
      <c r="Y193" s="9"/>
      <c r="Z193" s="9"/>
      <c r="AA193" s="9"/>
      <c r="AB193" s="42"/>
      <c r="AC193" s="9"/>
      <c r="AD193" s="9"/>
      <c r="AE193" s="9"/>
      <c r="AF193" s="9"/>
      <c r="AG193" s="42"/>
      <c r="AH193" s="9"/>
      <c r="AI193" s="9"/>
      <c r="AJ193" s="9"/>
      <c r="AK193" s="9"/>
      <c r="AL193" s="9"/>
      <c r="AM193" s="9"/>
      <c r="AN193" s="9"/>
      <c r="AO193" s="9"/>
      <c r="AP193" s="9"/>
      <c r="AQ193" s="42"/>
      <c r="AR193" s="9"/>
      <c r="AS193" s="9"/>
      <c r="AT193" s="9"/>
      <c r="AU193" s="9"/>
      <c r="AV193" s="42"/>
      <c r="AW193" s="9"/>
      <c r="AX193" s="9"/>
      <c r="AY193" s="9"/>
      <c r="AZ193" s="99"/>
      <c r="BA193" s="59"/>
      <c r="BE193" s="100"/>
      <c r="BO193" s="101"/>
      <c r="BP193" s="92"/>
      <c r="BQ193" s="21"/>
      <c r="BR193" s="21"/>
      <c r="BS193" s="21"/>
      <c r="BT193" s="68"/>
      <c r="BU193" s="1">
        <v>528</v>
      </c>
    </row>
    <row r="194" spans="1:73" ht="20.25" customHeight="1" thickBot="1" x14ac:dyDescent="0.35">
      <c r="A194" s="1">
        <v>529</v>
      </c>
      <c r="B194" s="21">
        <f>I189</f>
        <v>11</v>
      </c>
      <c r="C194" s="93">
        <f>K204</f>
        <v>11</v>
      </c>
      <c r="D194" s="94">
        <f t="shared" si="474"/>
        <v>0</v>
      </c>
      <c r="E194" s="269" t="s">
        <v>99</v>
      </c>
      <c r="F194" s="103"/>
      <c r="G194" s="104">
        <v>0</v>
      </c>
      <c r="H194" s="105"/>
      <c r="I194" s="104">
        <v>0</v>
      </c>
      <c r="J194" s="105"/>
      <c r="K194" s="104">
        <v>0</v>
      </c>
      <c r="L194" s="105"/>
      <c r="M194" s="104">
        <v>0</v>
      </c>
      <c r="N194" s="105"/>
      <c r="O194" s="104">
        <v>0</v>
      </c>
      <c r="P194" s="105"/>
      <c r="Q194" s="104">
        <v>0</v>
      </c>
      <c r="R194" s="111">
        <f t="shared" si="475"/>
        <v>0</v>
      </c>
      <c r="S194" s="10"/>
      <c r="T194" s="11"/>
      <c r="U194" s="94"/>
      <c r="V194" s="40"/>
      <c r="W194" s="42"/>
      <c r="X194" s="9"/>
      <c r="Y194" s="9"/>
      <c r="Z194" s="9"/>
      <c r="AA194" s="9"/>
      <c r="AB194" s="42"/>
      <c r="AC194" s="9"/>
      <c r="AD194" s="9"/>
      <c r="AE194" s="9"/>
      <c r="AF194" s="9"/>
      <c r="AG194" s="42"/>
      <c r="AH194" s="9"/>
      <c r="AI194" s="9"/>
      <c r="AJ194" s="9"/>
      <c r="AK194" s="9"/>
      <c r="AL194" s="9"/>
      <c r="AM194" s="9"/>
      <c r="AN194" s="9"/>
      <c r="AO194" s="9"/>
      <c r="AP194" s="9"/>
      <c r="AQ194" s="42"/>
      <c r="AR194" s="9"/>
      <c r="AS194" s="9"/>
      <c r="AT194" s="9"/>
      <c r="AU194" s="9"/>
      <c r="AV194" s="42"/>
      <c r="AW194" s="9"/>
      <c r="AX194" s="9"/>
      <c r="AY194" s="9"/>
      <c r="AZ194" s="99"/>
      <c r="BA194" s="59"/>
      <c r="BE194" s="100"/>
      <c r="BO194" s="101"/>
      <c r="BP194" s="92"/>
      <c r="BQ194" s="21"/>
      <c r="BR194" s="21"/>
      <c r="BS194" s="21"/>
      <c r="BT194" s="68"/>
      <c r="BU194" s="1">
        <v>529</v>
      </c>
    </row>
    <row r="195" spans="1:73" ht="20.25" customHeight="1" thickBot="1" x14ac:dyDescent="0.35">
      <c r="A195" s="1">
        <v>530</v>
      </c>
      <c r="B195" s="21">
        <f>K189</f>
        <v>11</v>
      </c>
      <c r="C195" s="93">
        <f>M204</f>
        <v>11</v>
      </c>
      <c r="D195" s="94">
        <f t="shared" si="474"/>
        <v>0</v>
      </c>
      <c r="E195" s="102" t="s">
        <v>65</v>
      </c>
      <c r="F195" s="103"/>
      <c r="G195" s="104">
        <v>1</v>
      </c>
      <c r="H195" s="105"/>
      <c r="I195" s="104">
        <v>1</v>
      </c>
      <c r="J195" s="105"/>
      <c r="K195" s="104">
        <v>1</v>
      </c>
      <c r="L195" s="105"/>
      <c r="M195" s="104">
        <v>1</v>
      </c>
      <c r="N195" s="105"/>
      <c r="O195" s="104">
        <v>1</v>
      </c>
      <c r="P195" s="105"/>
      <c r="Q195" s="104">
        <v>1</v>
      </c>
      <c r="R195" s="111">
        <f t="shared" si="475"/>
        <v>1</v>
      </c>
      <c r="S195" s="10"/>
      <c r="T195" s="11"/>
      <c r="U195" s="94"/>
      <c r="V195" s="40"/>
      <c r="W195" s="42"/>
      <c r="X195" s="9"/>
      <c r="Y195" s="9"/>
      <c r="Z195" s="9"/>
      <c r="AA195" s="9"/>
      <c r="AB195" s="42"/>
      <c r="AC195" s="9"/>
      <c r="AD195" s="9"/>
      <c r="AE195" s="9"/>
      <c r="AF195" s="9"/>
      <c r="AG195" s="42"/>
      <c r="AH195" s="9"/>
      <c r="AI195" s="9"/>
      <c r="AJ195" s="9"/>
      <c r="AK195" s="9"/>
      <c r="AL195" s="9"/>
      <c r="AM195" s="9"/>
      <c r="AN195" s="9"/>
      <c r="AO195" s="9"/>
      <c r="AP195" s="9"/>
      <c r="AQ195" s="42"/>
      <c r="AR195" s="9"/>
      <c r="AS195" s="9"/>
      <c r="AT195" s="9"/>
      <c r="AU195" s="9"/>
      <c r="AV195" s="42"/>
      <c r="AW195" s="9"/>
      <c r="AX195" s="9"/>
      <c r="AY195" s="9"/>
      <c r="AZ195" s="99"/>
      <c r="BA195" s="59"/>
      <c r="BE195" s="100"/>
      <c r="BO195" s="101"/>
      <c r="BP195" s="92"/>
      <c r="BQ195" s="21"/>
      <c r="BR195" s="21"/>
      <c r="BS195" s="21"/>
      <c r="BT195" s="68"/>
      <c r="BU195" s="1">
        <v>530</v>
      </c>
    </row>
    <row r="196" spans="1:73" ht="20.25" customHeight="1" thickBot="1" x14ac:dyDescent="0.35">
      <c r="A196" s="1"/>
      <c r="B196" s="21">
        <v>11</v>
      </c>
      <c r="C196" s="93">
        <v>9</v>
      </c>
      <c r="D196" s="94"/>
      <c r="E196" s="263" t="s">
        <v>113</v>
      </c>
      <c r="F196" s="103"/>
      <c r="G196" s="104">
        <v>1</v>
      </c>
      <c r="H196" s="105"/>
      <c r="I196" s="104">
        <v>1</v>
      </c>
      <c r="J196" s="105"/>
      <c r="K196" s="104">
        <v>1</v>
      </c>
      <c r="L196" s="105"/>
      <c r="M196" s="104">
        <v>1</v>
      </c>
      <c r="N196" s="105"/>
      <c r="O196" s="104">
        <v>1</v>
      </c>
      <c r="P196" s="105"/>
      <c r="Q196" s="104">
        <v>1</v>
      </c>
      <c r="R196" s="111">
        <f t="shared" si="475"/>
        <v>1</v>
      </c>
      <c r="S196" s="10"/>
      <c r="T196" s="11"/>
      <c r="U196" s="94"/>
      <c r="V196" s="40"/>
      <c r="W196" s="42"/>
      <c r="X196" s="9"/>
      <c r="Y196" s="9"/>
      <c r="Z196" s="9"/>
      <c r="AA196" s="9"/>
      <c r="AB196" s="42"/>
      <c r="AC196" s="9"/>
      <c r="AD196" s="9"/>
      <c r="AE196" s="9"/>
      <c r="AF196" s="9"/>
      <c r="AG196" s="42"/>
      <c r="AH196" s="9"/>
      <c r="AI196" s="9"/>
      <c r="AJ196" s="9"/>
      <c r="AK196" s="9"/>
      <c r="AL196" s="9"/>
      <c r="AM196" s="9"/>
      <c r="AN196" s="9"/>
      <c r="AO196" s="9"/>
      <c r="AP196" s="9"/>
      <c r="AQ196" s="42"/>
      <c r="AR196" s="9"/>
      <c r="AS196" s="9"/>
      <c r="AT196" s="9"/>
      <c r="AU196" s="9"/>
      <c r="AV196" s="42"/>
      <c r="AW196" s="9"/>
      <c r="AX196" s="9"/>
      <c r="AY196" s="9"/>
      <c r="AZ196" s="99"/>
      <c r="BA196" s="59"/>
      <c r="BE196" s="100"/>
      <c r="BO196" s="101"/>
      <c r="BP196" s="92"/>
      <c r="BQ196" s="21"/>
      <c r="BR196" s="21"/>
      <c r="BS196" s="21"/>
      <c r="BT196" s="68"/>
      <c r="BU196" s="1"/>
    </row>
    <row r="197" spans="1:73" ht="20.25" customHeight="1" thickBot="1" x14ac:dyDescent="0.35">
      <c r="A197" s="1"/>
      <c r="B197" s="21"/>
      <c r="C197" s="93"/>
      <c r="D197" s="94"/>
      <c r="E197" s="336" t="s">
        <v>179</v>
      </c>
      <c r="F197" s="103"/>
      <c r="G197" s="104">
        <v>1</v>
      </c>
      <c r="H197" s="105"/>
      <c r="I197" s="104">
        <v>1</v>
      </c>
      <c r="J197" s="105"/>
      <c r="K197" s="104">
        <v>1</v>
      </c>
      <c r="L197" s="105"/>
      <c r="M197" s="104">
        <v>1</v>
      </c>
      <c r="N197" s="105"/>
      <c r="O197" s="104">
        <v>1</v>
      </c>
      <c r="P197" s="105"/>
      <c r="Q197" s="104">
        <v>1</v>
      </c>
      <c r="R197" s="111">
        <f t="shared" si="475"/>
        <v>1</v>
      </c>
      <c r="S197" s="10"/>
      <c r="T197" s="11"/>
      <c r="U197" s="94"/>
      <c r="V197" s="40"/>
      <c r="W197" s="42"/>
      <c r="X197" s="9"/>
      <c r="Y197" s="9"/>
      <c r="Z197" s="9"/>
      <c r="AA197" s="9"/>
      <c r="AB197" s="42"/>
      <c r="AC197" s="9"/>
      <c r="AD197" s="9"/>
      <c r="AE197" s="9"/>
      <c r="AF197" s="9"/>
      <c r="AG197" s="42"/>
      <c r="AH197" s="9"/>
      <c r="AI197" s="9"/>
      <c r="AJ197" s="9"/>
      <c r="AK197" s="9"/>
      <c r="AL197" s="9"/>
      <c r="AM197" s="9"/>
      <c r="AN197" s="9"/>
      <c r="AO197" s="9"/>
      <c r="AP197" s="9"/>
      <c r="AQ197" s="42"/>
      <c r="AR197" s="9"/>
      <c r="AS197" s="9"/>
      <c r="AT197" s="9"/>
      <c r="AU197" s="9"/>
      <c r="AV197" s="42"/>
      <c r="AW197" s="9"/>
      <c r="AX197" s="9"/>
      <c r="AY197" s="9"/>
      <c r="AZ197" s="99"/>
      <c r="BA197" s="59"/>
      <c r="BE197" s="100"/>
      <c r="BO197" s="101"/>
      <c r="BP197" s="92"/>
      <c r="BQ197" s="21"/>
      <c r="BR197" s="21"/>
      <c r="BS197" s="21"/>
      <c r="BT197" s="68"/>
      <c r="BU197" s="1"/>
    </row>
    <row r="198" spans="1:73" ht="20.25" customHeight="1" thickBot="1" x14ac:dyDescent="0.35">
      <c r="A198" s="1">
        <v>531</v>
      </c>
      <c r="B198" s="21">
        <f>M189</f>
        <v>11</v>
      </c>
      <c r="C198" s="93">
        <f>O204</f>
        <v>11</v>
      </c>
      <c r="D198" s="94">
        <f t="shared" si="474"/>
        <v>0</v>
      </c>
      <c r="E198" s="262" t="s">
        <v>66</v>
      </c>
      <c r="F198" s="103"/>
      <c r="G198" s="104">
        <v>1</v>
      </c>
      <c r="H198" s="105"/>
      <c r="I198" s="104">
        <v>1</v>
      </c>
      <c r="J198" s="105"/>
      <c r="K198" s="104">
        <v>1</v>
      </c>
      <c r="L198" s="105"/>
      <c r="M198" s="104">
        <v>1</v>
      </c>
      <c r="N198" s="105"/>
      <c r="O198" s="104">
        <v>1</v>
      </c>
      <c r="P198" s="105"/>
      <c r="Q198" s="104">
        <v>1</v>
      </c>
      <c r="R198" s="111">
        <f t="shared" si="475"/>
        <v>1</v>
      </c>
      <c r="S198" s="10"/>
      <c r="T198" s="11"/>
      <c r="U198" s="94"/>
      <c r="V198" s="40"/>
      <c r="W198" s="42"/>
      <c r="X198" s="9"/>
      <c r="Y198" s="9"/>
      <c r="Z198" s="9"/>
      <c r="AA198" s="9"/>
      <c r="AB198" s="42"/>
      <c r="AC198" s="9"/>
      <c r="AD198" s="9"/>
      <c r="AE198" s="9"/>
      <c r="AF198" s="9"/>
      <c r="AG198" s="42"/>
      <c r="AH198" s="9"/>
      <c r="AI198" s="9"/>
      <c r="AJ198" s="9"/>
      <c r="AK198" s="9"/>
      <c r="AL198" s="9"/>
      <c r="AM198" s="9"/>
      <c r="AN198" s="9"/>
      <c r="AO198" s="9"/>
      <c r="AP198" s="9"/>
      <c r="AQ198" s="42"/>
      <c r="AR198" s="9"/>
      <c r="AS198" s="9"/>
      <c r="AT198" s="9"/>
      <c r="AU198" s="9"/>
      <c r="AV198" s="42"/>
      <c r="AW198" s="9"/>
      <c r="AX198" s="9"/>
      <c r="AY198" s="9"/>
      <c r="AZ198" s="99"/>
      <c r="BA198" s="59"/>
      <c r="BE198" s="100"/>
      <c r="BO198" s="101"/>
      <c r="BP198" s="92"/>
      <c r="BQ198" s="21"/>
      <c r="BR198" s="21"/>
      <c r="BS198" s="21"/>
      <c r="BT198" s="68"/>
      <c r="BU198" s="1">
        <v>531</v>
      </c>
    </row>
    <row r="199" spans="1:73" ht="20.25" customHeight="1" thickBot="1" x14ac:dyDescent="0.35">
      <c r="A199" s="1">
        <v>532</v>
      </c>
      <c r="B199" s="21">
        <f>O189</f>
        <v>11</v>
      </c>
      <c r="C199" s="93">
        <f>Q204</f>
        <v>11</v>
      </c>
      <c r="D199" s="94">
        <f t="shared" si="474"/>
        <v>0</v>
      </c>
      <c r="E199" s="388" t="s">
        <v>67</v>
      </c>
      <c r="F199" s="103"/>
      <c r="G199" s="104">
        <v>1</v>
      </c>
      <c r="H199" s="105"/>
      <c r="I199" s="104">
        <v>1</v>
      </c>
      <c r="J199" s="105"/>
      <c r="K199" s="104">
        <v>1</v>
      </c>
      <c r="L199" s="105"/>
      <c r="M199" s="104">
        <v>1</v>
      </c>
      <c r="N199" s="105"/>
      <c r="O199" s="104">
        <v>1</v>
      </c>
      <c r="P199" s="105"/>
      <c r="Q199" s="104">
        <v>1</v>
      </c>
      <c r="R199" s="111">
        <f t="shared" si="475"/>
        <v>1</v>
      </c>
      <c r="S199" s="10"/>
      <c r="T199" s="11"/>
      <c r="U199" s="94"/>
      <c r="V199" s="40"/>
      <c r="W199" s="42"/>
      <c r="X199" s="9"/>
      <c r="Y199" s="9"/>
      <c r="Z199" s="9"/>
      <c r="AA199" s="9"/>
      <c r="AB199" s="42"/>
      <c r="AC199" s="9"/>
      <c r="AD199" s="9"/>
      <c r="AE199" s="9"/>
      <c r="AF199" s="9"/>
      <c r="AG199" s="42"/>
      <c r="AH199" s="9"/>
      <c r="AI199" s="9"/>
      <c r="AJ199" s="9"/>
      <c r="AK199" s="9"/>
      <c r="AL199" s="9"/>
      <c r="AM199" s="9"/>
      <c r="AN199" s="9"/>
      <c r="AO199" s="9"/>
      <c r="AP199" s="9"/>
      <c r="AQ199" s="42"/>
      <c r="AR199" s="9"/>
      <c r="AS199" s="9"/>
      <c r="AT199" s="9"/>
      <c r="AU199" s="9"/>
      <c r="AV199" s="42"/>
      <c r="AW199" s="9"/>
      <c r="AX199" s="9"/>
      <c r="AY199" s="9"/>
      <c r="AZ199" s="99"/>
      <c r="BA199" s="59"/>
      <c r="BE199" s="100"/>
      <c r="BO199" s="101"/>
      <c r="BP199" s="92"/>
      <c r="BQ199" s="21"/>
      <c r="BR199" s="21"/>
      <c r="BS199" s="21"/>
      <c r="BT199" s="68"/>
      <c r="BU199" s="1">
        <v>532</v>
      </c>
    </row>
    <row r="200" spans="1:73" ht="20.25" customHeight="1" thickBot="1" x14ac:dyDescent="0.35">
      <c r="A200" s="1">
        <v>533</v>
      </c>
      <c r="E200" s="261" t="s">
        <v>33</v>
      </c>
      <c r="F200" s="103"/>
      <c r="G200" s="104">
        <v>1</v>
      </c>
      <c r="H200" s="105"/>
      <c r="I200" s="104">
        <v>1</v>
      </c>
      <c r="J200" s="105"/>
      <c r="K200" s="104">
        <v>1</v>
      </c>
      <c r="L200" s="105"/>
      <c r="M200" s="104">
        <v>1</v>
      </c>
      <c r="N200" s="105"/>
      <c r="O200" s="104">
        <v>1</v>
      </c>
      <c r="P200" s="105"/>
      <c r="Q200" s="104">
        <v>1</v>
      </c>
      <c r="R200" s="111">
        <f t="shared" si="475"/>
        <v>1</v>
      </c>
      <c r="S200" s="10"/>
      <c r="T200" s="11"/>
      <c r="U200" s="94"/>
      <c r="V200" s="40"/>
      <c r="W200" s="42"/>
      <c r="X200" s="9"/>
      <c r="Y200" s="9"/>
      <c r="Z200" s="9"/>
      <c r="AA200" s="9"/>
      <c r="AB200" s="42"/>
      <c r="AC200" s="9"/>
      <c r="AD200" s="9"/>
      <c r="AE200" s="9"/>
      <c r="AF200" s="9"/>
      <c r="AG200" s="42"/>
      <c r="AH200" s="9"/>
      <c r="AI200" s="9"/>
      <c r="AJ200" s="9"/>
      <c r="AK200" s="9"/>
      <c r="AL200" s="9"/>
      <c r="AM200" s="9"/>
      <c r="AN200" s="9"/>
      <c r="AO200" s="9"/>
      <c r="AP200" s="9"/>
      <c r="AQ200" s="42"/>
      <c r="AR200" s="9"/>
      <c r="AS200" s="9"/>
      <c r="AT200" s="9"/>
      <c r="AU200" s="9"/>
      <c r="AV200" s="42"/>
      <c r="AW200" s="9"/>
      <c r="AX200" s="9"/>
      <c r="AY200" s="9"/>
      <c r="AZ200" s="99"/>
      <c r="BA200" s="59"/>
      <c r="BE200" s="100"/>
      <c r="BO200" s="101"/>
      <c r="BP200" s="92"/>
      <c r="BQ200" s="21"/>
      <c r="BR200" s="21"/>
      <c r="BS200" s="21"/>
      <c r="BT200" s="68"/>
      <c r="BU200" s="1">
        <v>533</v>
      </c>
    </row>
    <row r="201" spans="1:73" ht="20.25" customHeight="1" thickBot="1" x14ac:dyDescent="0.35">
      <c r="A201" s="1">
        <v>534</v>
      </c>
      <c r="E201" s="102" t="s">
        <v>68</v>
      </c>
      <c r="F201" s="103"/>
      <c r="G201" s="104">
        <v>1</v>
      </c>
      <c r="H201" s="105"/>
      <c r="I201" s="104">
        <v>1</v>
      </c>
      <c r="J201" s="105"/>
      <c r="K201" s="104">
        <v>2</v>
      </c>
      <c r="L201" s="105"/>
      <c r="M201" s="104">
        <v>2</v>
      </c>
      <c r="N201" s="105"/>
      <c r="O201" s="104">
        <v>2</v>
      </c>
      <c r="P201" s="105"/>
      <c r="Q201" s="104">
        <v>2</v>
      </c>
      <c r="R201" s="111">
        <f t="shared" si="475"/>
        <v>1.6666666666666667</v>
      </c>
      <c r="S201" s="10"/>
      <c r="T201" s="11"/>
      <c r="U201" s="94"/>
      <c r="V201" s="40"/>
      <c r="W201" s="42"/>
      <c r="X201" s="9"/>
      <c r="Y201" s="9"/>
      <c r="Z201" s="9"/>
      <c r="AA201" s="9"/>
      <c r="AB201" s="42"/>
      <c r="AC201" s="9"/>
      <c r="AD201" s="9"/>
      <c r="AE201" s="9"/>
      <c r="AF201" s="9"/>
      <c r="AG201" s="42"/>
      <c r="AH201" s="9"/>
      <c r="AI201" s="9"/>
      <c r="AJ201" s="9"/>
      <c r="AK201" s="9"/>
      <c r="AL201" s="9"/>
      <c r="AM201" s="9"/>
      <c r="AN201" s="9"/>
      <c r="AO201" s="9"/>
      <c r="AP201" s="9"/>
      <c r="AQ201" s="42"/>
      <c r="AR201" s="9"/>
      <c r="AS201" s="9"/>
      <c r="AT201" s="9"/>
      <c r="AU201" s="9"/>
      <c r="AV201" s="42"/>
      <c r="AW201" s="9"/>
      <c r="AX201" s="9"/>
      <c r="AY201" s="9"/>
      <c r="AZ201" s="99"/>
      <c r="BA201" s="59"/>
      <c r="BE201" s="100"/>
      <c r="BO201" s="101"/>
      <c r="BP201" s="92"/>
      <c r="BQ201" s="21"/>
      <c r="BR201" s="21"/>
      <c r="BS201" s="21"/>
      <c r="BT201" s="68"/>
      <c r="BU201" s="1">
        <v>534</v>
      </c>
    </row>
    <row r="202" spans="1:73" ht="20.25" customHeight="1" thickBot="1" x14ac:dyDescent="0.35">
      <c r="A202" s="1"/>
      <c r="E202" s="264" t="s">
        <v>84</v>
      </c>
      <c r="F202" s="103"/>
      <c r="G202" s="104">
        <v>1</v>
      </c>
      <c r="H202" s="105"/>
      <c r="I202" s="104">
        <v>1</v>
      </c>
      <c r="J202" s="105"/>
      <c r="K202" s="104">
        <v>1</v>
      </c>
      <c r="L202" s="105"/>
      <c r="M202" s="104">
        <v>1</v>
      </c>
      <c r="N202" s="105"/>
      <c r="O202" s="104">
        <v>1</v>
      </c>
      <c r="P202" s="105"/>
      <c r="Q202" s="104">
        <v>1</v>
      </c>
      <c r="R202" s="111">
        <f t="shared" si="475"/>
        <v>1</v>
      </c>
      <c r="S202" s="10"/>
      <c r="T202" s="11"/>
      <c r="U202" s="94"/>
      <c r="V202" s="40"/>
      <c r="W202" s="42"/>
      <c r="X202" s="9"/>
      <c r="Y202" s="9"/>
      <c r="Z202" s="9"/>
      <c r="AA202" s="9"/>
      <c r="AB202" s="42"/>
      <c r="AC202" s="9"/>
      <c r="AD202" s="9"/>
      <c r="AE202" s="9"/>
      <c r="AF202" s="9"/>
      <c r="AG202" s="42"/>
      <c r="AH202" s="9"/>
      <c r="AI202" s="9"/>
      <c r="AJ202" s="9"/>
      <c r="AK202" s="9"/>
      <c r="AL202" s="9"/>
      <c r="AM202" s="9"/>
      <c r="AN202" s="9"/>
      <c r="AO202" s="9"/>
      <c r="AP202" s="9"/>
      <c r="AQ202" s="42"/>
      <c r="AR202" s="9"/>
      <c r="AS202" s="9"/>
      <c r="AT202" s="9"/>
      <c r="AU202" s="9"/>
      <c r="AV202" s="42"/>
      <c r="AW202" s="9"/>
      <c r="AX202" s="9"/>
      <c r="AY202" s="9"/>
      <c r="AZ202" s="99"/>
      <c r="BA202" s="59"/>
      <c r="BE202" s="100"/>
      <c r="BO202" s="101"/>
      <c r="BP202" s="92"/>
      <c r="BQ202" s="21"/>
      <c r="BR202" s="21"/>
      <c r="BS202" s="21"/>
      <c r="BT202" s="68"/>
      <c r="BU202" s="1"/>
    </row>
    <row r="203" spans="1:73" ht="20.25" customHeight="1" thickBot="1" x14ac:dyDescent="0.35">
      <c r="A203" s="1">
        <v>535</v>
      </c>
      <c r="E203" s="385" t="s">
        <v>69</v>
      </c>
      <c r="F203" s="103"/>
      <c r="G203" s="104">
        <v>1</v>
      </c>
      <c r="H203" s="105"/>
      <c r="I203" s="104">
        <v>1</v>
      </c>
      <c r="J203" s="105"/>
      <c r="K203" s="104">
        <v>1</v>
      </c>
      <c r="L203" s="105"/>
      <c r="M203" s="104">
        <v>1</v>
      </c>
      <c r="N203" s="105"/>
      <c r="O203" s="104">
        <v>1</v>
      </c>
      <c r="P203" s="105"/>
      <c r="Q203" s="104">
        <v>1</v>
      </c>
      <c r="R203" s="111">
        <f t="shared" si="475"/>
        <v>1</v>
      </c>
      <c r="S203" s="10"/>
      <c r="T203" s="11"/>
      <c r="U203" s="94"/>
      <c r="V203" s="40"/>
      <c r="W203" s="42"/>
      <c r="X203" s="9"/>
      <c r="Y203" s="9"/>
      <c r="Z203" s="9"/>
      <c r="AA203" s="9"/>
      <c r="AB203" s="42"/>
      <c r="AC203" s="9"/>
      <c r="AD203" s="9"/>
      <c r="AE203" s="9"/>
      <c r="AF203" s="9"/>
      <c r="AG203" s="42"/>
      <c r="AH203" s="9"/>
      <c r="AI203" s="9"/>
      <c r="AJ203" s="9"/>
      <c r="AK203" s="9"/>
      <c r="AL203" s="9"/>
      <c r="AM203" s="9"/>
      <c r="AN203" s="9"/>
      <c r="AO203" s="9"/>
      <c r="AP203" s="9"/>
      <c r="AQ203" s="42"/>
      <c r="AR203" s="9"/>
      <c r="AS203" s="9"/>
      <c r="AT203" s="9"/>
      <c r="AU203" s="9"/>
      <c r="AV203" s="42"/>
      <c r="AW203" s="9"/>
      <c r="AX203" s="9"/>
      <c r="AY203" s="9"/>
      <c r="AZ203" s="99"/>
      <c r="BA203" s="59"/>
      <c r="BE203" s="100"/>
      <c r="BO203" s="101"/>
      <c r="BP203" s="92"/>
      <c r="BQ203" s="21"/>
      <c r="BR203" s="21"/>
      <c r="BS203" s="21"/>
      <c r="BT203" s="68"/>
      <c r="BU203" s="1">
        <v>535</v>
      </c>
    </row>
    <row r="204" spans="1:73" ht="20.25" customHeight="1" thickBot="1" x14ac:dyDescent="0.35">
      <c r="A204" s="1">
        <v>536</v>
      </c>
      <c r="E204" s="108"/>
      <c r="F204" s="109"/>
      <c r="G204" s="110">
        <f>SUM(G193:G203)</f>
        <v>10</v>
      </c>
      <c r="H204" s="110"/>
      <c r="I204" s="110">
        <f>SUM(I193:I203)</f>
        <v>10</v>
      </c>
      <c r="J204" s="110"/>
      <c r="K204" s="110">
        <f>SUM(K193:K203)</f>
        <v>11</v>
      </c>
      <c r="L204" s="110"/>
      <c r="M204" s="110">
        <f>SUM(M193:M203)</f>
        <v>11</v>
      </c>
      <c r="N204" s="110"/>
      <c r="O204" s="110">
        <f>SUM(O193:O203)</f>
        <v>11</v>
      </c>
      <c r="P204" s="110"/>
      <c r="Q204" s="110">
        <f>SUM(Q189:Q203)</f>
        <v>11</v>
      </c>
      <c r="R204" s="111">
        <f>AVERAGE(G204,I204,K204,M204,O204,Q204)</f>
        <v>10.666666666666666</v>
      </c>
      <c r="S204" s="10"/>
      <c r="T204" s="11"/>
      <c r="U204" s="94"/>
      <c r="V204" s="40"/>
      <c r="W204" s="42"/>
      <c r="X204" s="9"/>
      <c r="Y204" s="9"/>
      <c r="Z204" s="9"/>
      <c r="AA204" s="9"/>
      <c r="AB204" s="42"/>
      <c r="AC204" s="9"/>
      <c r="AD204" s="9"/>
      <c r="AE204" s="9"/>
      <c r="AF204" s="9"/>
      <c r="AG204" s="42"/>
      <c r="AH204" s="9"/>
      <c r="AI204" s="9"/>
      <c r="AJ204" s="9"/>
      <c r="AK204" s="9"/>
      <c r="AL204" s="9"/>
      <c r="AM204" s="9"/>
      <c r="AN204" s="9"/>
      <c r="AO204" s="9"/>
      <c r="AP204" s="9"/>
      <c r="AQ204" s="42"/>
      <c r="AR204" s="9"/>
      <c r="AS204" s="9"/>
      <c r="AT204" s="9"/>
      <c r="AU204" s="9"/>
      <c r="AV204" s="42"/>
      <c r="AW204" s="9"/>
      <c r="AX204" s="9"/>
      <c r="AY204" s="9"/>
      <c r="AZ204" s="99"/>
      <c r="BA204" s="59"/>
      <c r="BE204" s="100"/>
      <c r="BO204" s="101"/>
      <c r="BP204" s="92"/>
      <c r="BQ204" s="21"/>
      <c r="BR204" s="21"/>
      <c r="BS204" s="21"/>
      <c r="BT204" s="68"/>
      <c r="BU204" s="1">
        <v>536</v>
      </c>
    </row>
    <row r="205" spans="1:73" ht="20.25" customHeight="1" x14ac:dyDescent="0.4">
      <c r="A205" s="1">
        <v>537</v>
      </c>
      <c r="E205" s="8"/>
      <c r="F205" s="85"/>
      <c r="G205" s="8"/>
      <c r="H205" s="22"/>
      <c r="I205" s="8"/>
      <c r="J205" s="22"/>
      <c r="K205" s="8"/>
      <c r="L205" s="22"/>
      <c r="M205" s="8"/>
      <c r="N205" s="22"/>
      <c r="O205" s="8"/>
      <c r="P205" s="22"/>
      <c r="Q205" s="8"/>
      <c r="R205" s="82"/>
      <c r="S205" s="51"/>
      <c r="T205" s="11"/>
      <c r="U205" s="11"/>
      <c r="V205" s="52"/>
      <c r="W205" s="9"/>
      <c r="X205" s="9"/>
      <c r="Y205" s="9"/>
      <c r="Z205" s="9"/>
      <c r="AA205" s="42"/>
      <c r="AB205" s="9"/>
      <c r="AC205" s="9"/>
      <c r="AD205" s="9"/>
      <c r="AE205" s="9"/>
      <c r="AF205" s="42"/>
      <c r="AG205" s="9"/>
      <c r="AH205" s="9"/>
      <c r="AI205" s="9"/>
      <c r="AJ205" s="9"/>
      <c r="AK205" s="9"/>
      <c r="AL205" s="9"/>
      <c r="AM205" s="9"/>
      <c r="AN205" s="9"/>
      <c r="AO205" s="9"/>
      <c r="AP205" s="42"/>
      <c r="AQ205" s="9"/>
      <c r="AR205" s="9"/>
      <c r="AS205" s="9"/>
      <c r="AT205" s="9"/>
      <c r="AU205" s="42"/>
      <c r="AV205" s="9"/>
      <c r="AW205" s="9"/>
      <c r="AX205" s="9"/>
      <c r="AY205" s="9"/>
      <c r="AZ205" s="58"/>
      <c r="BA205" s="59"/>
      <c r="BG205" s="83"/>
      <c r="BO205" s="86"/>
      <c r="BP205" s="87"/>
      <c r="BQ205" s="21"/>
      <c r="BT205" s="68"/>
      <c r="BU205" s="1">
        <v>537</v>
      </c>
    </row>
    <row r="206" spans="1:73" ht="20.25" customHeight="1" thickBot="1" x14ac:dyDescent="0.45">
      <c r="A206" s="1">
        <v>539</v>
      </c>
      <c r="B206" s="147"/>
      <c r="D206" s="21"/>
      <c r="E206" s="8"/>
      <c r="F206" s="85"/>
      <c r="G206" s="8"/>
      <c r="H206" s="22"/>
      <c r="I206" s="8"/>
      <c r="J206" s="22"/>
      <c r="K206" s="8"/>
      <c r="L206" s="22"/>
      <c r="M206" s="8"/>
      <c r="N206" s="22"/>
      <c r="O206" s="8"/>
      <c r="P206" s="22"/>
      <c r="Q206" s="8"/>
      <c r="R206" s="82"/>
      <c r="S206" s="51"/>
      <c r="T206" s="11"/>
      <c r="U206" s="11"/>
      <c r="V206" s="52"/>
      <c r="W206" s="9"/>
      <c r="X206" s="9"/>
      <c r="Y206" s="9"/>
      <c r="Z206" s="9"/>
      <c r="AA206" s="42"/>
      <c r="AB206" s="9"/>
      <c r="AC206" s="9"/>
      <c r="AD206" s="9"/>
      <c r="AE206" s="9"/>
      <c r="AF206" s="42"/>
      <c r="AG206" s="9"/>
      <c r="AH206" s="9"/>
      <c r="AI206" s="9"/>
      <c r="AJ206" s="9"/>
      <c r="AK206" s="9"/>
      <c r="AL206" s="9"/>
      <c r="AM206" s="9"/>
      <c r="AN206" s="9"/>
      <c r="AO206" s="9"/>
      <c r="AP206" s="42"/>
      <c r="AQ206" s="9"/>
      <c r="AR206" s="9"/>
      <c r="AS206" s="9"/>
      <c r="AT206" s="9"/>
      <c r="AU206" s="42"/>
      <c r="AV206" s="9"/>
      <c r="AW206" s="9"/>
      <c r="AX206" s="9"/>
      <c r="AY206" s="9"/>
      <c r="AZ206" s="58"/>
      <c r="BA206" s="59"/>
      <c r="BG206" s="83"/>
      <c r="BO206" s="86"/>
      <c r="BP206" s="87"/>
      <c r="BQ206" s="21"/>
      <c r="BT206" s="68"/>
      <c r="BU206" s="1">
        <v>539</v>
      </c>
    </row>
    <row r="207" spans="1:73" ht="28.5" customHeight="1" thickBot="1" x14ac:dyDescent="0.45">
      <c r="A207" s="1">
        <v>540</v>
      </c>
      <c r="B207" s="819" t="s">
        <v>70</v>
      </c>
      <c r="C207" s="820"/>
      <c r="D207" s="820" t="s">
        <v>35</v>
      </c>
      <c r="E207" s="820"/>
      <c r="F207" s="820"/>
      <c r="G207" s="820"/>
      <c r="H207" s="820"/>
      <c r="I207" s="820"/>
      <c r="J207" s="820"/>
      <c r="K207" s="820"/>
      <c r="L207" s="820"/>
      <c r="M207" s="820"/>
      <c r="N207" s="820"/>
      <c r="O207" s="820"/>
      <c r="P207" s="820"/>
      <c r="Q207" s="821"/>
      <c r="R207" s="23" t="str">
        <f>$V2</f>
        <v>DEL 08 AL 14 ENERO 24</v>
      </c>
      <c r="S207" s="51"/>
      <c r="T207" s="11"/>
      <c r="U207" s="11"/>
      <c r="V207" s="52"/>
      <c r="W207" s="53"/>
      <c r="X207" s="53"/>
      <c r="Y207" s="53"/>
      <c r="Z207" s="54"/>
      <c r="AA207" s="55"/>
      <c r="AB207" s="53"/>
      <c r="AC207" s="53"/>
      <c r="AD207" s="53"/>
      <c r="AE207" s="54"/>
      <c r="AF207" s="56"/>
      <c r="AG207" s="53"/>
      <c r="AH207" s="53"/>
      <c r="AI207" s="53"/>
      <c r="AJ207" s="54"/>
      <c r="AK207" s="57"/>
      <c r="AL207" s="53"/>
      <c r="AM207" s="53"/>
      <c r="AN207" s="53"/>
      <c r="AO207" s="54"/>
      <c r="AP207" s="56"/>
      <c r="AQ207" s="53"/>
      <c r="AR207" s="53"/>
      <c r="AS207" s="53"/>
      <c r="AT207" s="54"/>
      <c r="AU207" s="56"/>
      <c r="AV207" s="53"/>
      <c r="AW207" s="53"/>
      <c r="AX207" s="53"/>
      <c r="AY207" s="54"/>
      <c r="AZ207" s="58"/>
      <c r="BA207" s="59"/>
      <c r="BG207" s="83"/>
      <c r="BO207" s="116"/>
      <c r="BP207" s="67"/>
      <c r="BQ207" s="21"/>
      <c r="BR207" s="74"/>
      <c r="BS207" s="74"/>
      <c r="BT207" s="68"/>
      <c r="BU207" s="1">
        <v>540</v>
      </c>
    </row>
    <row r="208" spans="1:73" ht="14.25" customHeight="1" thickBot="1" x14ac:dyDescent="0.35">
      <c r="A208" s="1">
        <v>541</v>
      </c>
      <c r="B208" s="117"/>
      <c r="C208" s="118"/>
      <c r="D208" s="119"/>
      <c r="E208" s="120" t="s">
        <v>8</v>
      </c>
      <c r="F208" s="121"/>
      <c r="G208" s="120" t="s">
        <v>9</v>
      </c>
      <c r="H208" s="122"/>
      <c r="I208" s="120" t="s">
        <v>9</v>
      </c>
      <c r="J208" s="122"/>
      <c r="K208" s="120" t="s">
        <v>10</v>
      </c>
      <c r="L208" s="122"/>
      <c r="M208" s="120" t="s">
        <v>11</v>
      </c>
      <c r="N208" s="122"/>
      <c r="O208" s="120" t="s">
        <v>12</v>
      </c>
      <c r="P208" s="120"/>
      <c r="Q208" s="122"/>
      <c r="R208" s="123"/>
      <c r="S208" s="51"/>
      <c r="T208" s="11"/>
      <c r="U208" s="11"/>
      <c r="V208" s="52"/>
      <c r="W208" s="53"/>
      <c r="X208" s="53"/>
      <c r="Y208" s="53"/>
      <c r="Z208" s="54"/>
      <c r="AA208" s="55"/>
      <c r="AB208" s="53"/>
      <c r="AC208" s="53"/>
      <c r="AD208" s="53"/>
      <c r="AE208" s="54"/>
      <c r="AF208" s="56"/>
      <c r="AG208" s="53"/>
      <c r="AH208" s="53"/>
      <c r="AI208" s="53"/>
      <c r="AJ208" s="54"/>
      <c r="AK208" s="57"/>
      <c r="AL208" s="53"/>
      <c r="AM208" s="53"/>
      <c r="AN208" s="53"/>
      <c r="AO208" s="54"/>
      <c r="AP208" s="56"/>
      <c r="AQ208" s="53"/>
      <c r="AR208" s="53"/>
      <c r="AS208" s="53"/>
      <c r="AT208" s="54"/>
      <c r="AU208" s="56"/>
      <c r="AV208" s="53"/>
      <c r="AW208" s="53"/>
      <c r="AX208" s="53"/>
      <c r="AY208" s="54"/>
      <c r="AZ208" s="58"/>
      <c r="BA208" s="59"/>
      <c r="BB208" s="124"/>
      <c r="BC208" s="124"/>
      <c r="BD208" s="124"/>
      <c r="BE208" s="124"/>
      <c r="BF208" s="124"/>
      <c r="BG208" s="124"/>
      <c r="BH208" s="124"/>
      <c r="BJ208" s="19"/>
      <c r="BK208" s="19"/>
      <c r="BL208" s="19"/>
      <c r="BM208" s="19"/>
      <c r="BN208" s="124"/>
      <c r="BO208" s="125"/>
      <c r="BP208" s="126"/>
      <c r="BQ208" s="21"/>
      <c r="BR208" s="68"/>
      <c r="BS208" s="68"/>
      <c r="BT208" s="68"/>
      <c r="BU208" s="1">
        <v>541</v>
      </c>
    </row>
    <row r="209" spans="1:214" s="69" customFormat="1" ht="15.75" customHeight="1" thickBot="1" x14ac:dyDescent="0.35">
      <c r="A209" s="1">
        <v>542</v>
      </c>
      <c r="B209" s="145">
        <v>82332</v>
      </c>
      <c r="C209" s="76">
        <f>+C208+1</f>
        <v>1</v>
      </c>
      <c r="D209" s="146" t="s">
        <v>71</v>
      </c>
      <c r="E209" s="266">
        <v>1</v>
      </c>
      <c r="F209" s="267"/>
      <c r="G209" s="140">
        <v>1</v>
      </c>
      <c r="H209" s="141"/>
      <c r="I209" s="140">
        <v>1</v>
      </c>
      <c r="J209" s="141"/>
      <c r="K209" s="140">
        <v>1</v>
      </c>
      <c r="L209" s="141"/>
      <c r="M209" s="140">
        <v>1</v>
      </c>
      <c r="N209" s="141"/>
      <c r="O209" s="140">
        <v>1</v>
      </c>
      <c r="P209" s="141"/>
      <c r="Q209" s="77">
        <f>IF((E209+G209+I209+K209+M209+O209)=6,1,0)</f>
        <v>1</v>
      </c>
      <c r="R209" s="127">
        <f>IF(Q209=1,9210,600)</f>
        <v>9210</v>
      </c>
      <c r="S209" s="51">
        <f>+BH209</f>
        <v>0</v>
      </c>
      <c r="T209" s="11">
        <f>+BA209</f>
        <v>9210</v>
      </c>
      <c r="U209" s="52">
        <f>+BP209</f>
        <v>0</v>
      </c>
      <c r="V209" s="52">
        <f>+BG209</f>
        <v>0</v>
      </c>
      <c r="W209" s="53">
        <f>(R209-86.16)/6*E209</f>
        <v>1520.64</v>
      </c>
      <c r="X209" s="53">
        <f>$Y$2*E209*Q209</f>
        <v>7.18</v>
      </c>
      <c r="Y209" s="53">
        <f>$Y$2*E209*Q209</f>
        <v>7.18</v>
      </c>
      <c r="Z209" s="54">
        <f>Y209+X209+W209</f>
        <v>1535</v>
      </c>
      <c r="AA209" s="55"/>
      <c r="AB209" s="53">
        <f>(R209-86.16)/6*G209</f>
        <v>1520.64</v>
      </c>
      <c r="AC209" s="53">
        <f>$Y$2*G209*Q209</f>
        <v>7.18</v>
      </c>
      <c r="AD209" s="53">
        <f>$Y$2*G209*Q209</f>
        <v>7.18</v>
      </c>
      <c r="AE209" s="54">
        <f>AD209+AC209+AB209</f>
        <v>1535</v>
      </c>
      <c r="AF209" s="56"/>
      <c r="AG209" s="53">
        <f>(R209-86.16)/6*I209</f>
        <v>1520.64</v>
      </c>
      <c r="AH209" s="53">
        <f>$Y$2*I209*Q209</f>
        <v>7.18</v>
      </c>
      <c r="AI209" s="53">
        <f>$Y$2*I209*Q209</f>
        <v>7.18</v>
      </c>
      <c r="AJ209" s="54">
        <f>AI209+AH209+AG209</f>
        <v>1535</v>
      </c>
      <c r="AK209" s="57"/>
      <c r="AL209" s="53">
        <f>(R209-86.16)/6*K209</f>
        <v>1520.64</v>
      </c>
      <c r="AM209" s="53">
        <f>$Y$2*K209*Q209</f>
        <v>7.18</v>
      </c>
      <c r="AN209" s="53">
        <f>$Y$2*K209*Q209</f>
        <v>7.18</v>
      </c>
      <c r="AO209" s="54">
        <f>AN209+AM209+AL209</f>
        <v>1535</v>
      </c>
      <c r="AP209" s="56"/>
      <c r="AQ209" s="53">
        <f>(R209-86.16)/6*M209</f>
        <v>1520.64</v>
      </c>
      <c r="AR209" s="53">
        <f>$Y$2*M209*Q209</f>
        <v>7.18</v>
      </c>
      <c r="AS209" s="53">
        <f>$Y$2*M209*Q209</f>
        <v>7.18</v>
      </c>
      <c r="AT209" s="54">
        <f>AS209+AR209+AQ209</f>
        <v>1535</v>
      </c>
      <c r="AU209" s="56"/>
      <c r="AV209" s="53">
        <f>(R209-86.16)/6*O209</f>
        <v>1520.64</v>
      </c>
      <c r="AW209" s="53">
        <f>$Y$2*O209*Q209</f>
        <v>7.18</v>
      </c>
      <c r="AX209" s="53">
        <f>$Y$2*O209*Q209</f>
        <v>7.18</v>
      </c>
      <c r="AY209" s="54">
        <f>AX209+AW209+AV209</f>
        <v>1535</v>
      </c>
      <c r="AZ209" s="58">
        <f>+AY209+AT209+AO209++AJ209+AE209+Z209</f>
        <v>9210</v>
      </c>
      <c r="BA209" s="59">
        <f>((AZ209-BB209-BC209-BD209-BE209-BF209)+BI209+BJ209+BK209+BL209+BM209+BN209+BO209)</f>
        <v>9210</v>
      </c>
      <c r="BB209" s="70"/>
      <c r="BC209" s="70"/>
      <c r="BD209" s="70"/>
      <c r="BE209" s="70"/>
      <c r="BF209" s="70"/>
      <c r="BG209" s="61"/>
      <c r="BH209" s="71"/>
      <c r="BI209" s="63"/>
      <c r="BJ209" s="63"/>
      <c r="BK209" s="63"/>
      <c r="BL209" s="64"/>
      <c r="BM209" s="18"/>
      <c r="BN209" s="64"/>
      <c r="BO209" s="66"/>
      <c r="BP209" s="72"/>
      <c r="BQ209" s="73"/>
      <c r="BR209" s="74"/>
      <c r="BS209" s="75"/>
      <c r="BU209" s="1">
        <v>542</v>
      </c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</row>
    <row r="210" spans="1:214" ht="15.75" customHeight="1" thickBot="1" x14ac:dyDescent="0.35">
      <c r="A210" s="1">
        <v>544</v>
      </c>
      <c r="B210" s="78"/>
      <c r="C210" s="79"/>
      <c r="D210" s="21"/>
      <c r="E210" s="80">
        <f>SUM(E209:E209)</f>
        <v>1</v>
      </c>
      <c r="F210" s="80"/>
      <c r="G210" s="80">
        <f>SUM(G209:G209)</f>
        <v>1</v>
      </c>
      <c r="H210" s="80"/>
      <c r="I210" s="80">
        <f>SUM(I209:I209)</f>
        <v>1</v>
      </c>
      <c r="J210" s="81"/>
      <c r="K210" s="80">
        <f>SUM(K209:K209)</f>
        <v>1</v>
      </c>
      <c r="L210" s="81"/>
      <c r="M210" s="80">
        <f>SUM(M209:M209)</f>
        <v>1</v>
      </c>
      <c r="N210" s="81"/>
      <c r="O210" s="80">
        <f>SUM(O209:O209)</f>
        <v>1</v>
      </c>
      <c r="P210" s="80"/>
      <c r="Q210" s="8"/>
      <c r="R210" s="82"/>
      <c r="S210" s="51"/>
      <c r="T210" s="11"/>
      <c r="U210" s="52"/>
      <c r="V210" s="52"/>
      <c r="W210" s="53"/>
      <c r="X210" s="53"/>
      <c r="Y210" s="53"/>
      <c r="Z210" s="54"/>
      <c r="AA210" s="55"/>
      <c r="AB210" s="53"/>
      <c r="AC210" s="53"/>
      <c r="AD210" s="53"/>
      <c r="AE210" s="54"/>
      <c r="AF210" s="56"/>
      <c r="AG210" s="53"/>
      <c r="AH210" s="53"/>
      <c r="AI210" s="53"/>
      <c r="AJ210" s="54"/>
      <c r="AK210" s="57"/>
      <c r="AL210" s="53"/>
      <c r="AM210" s="53"/>
      <c r="AN210" s="53"/>
      <c r="AO210" s="54"/>
      <c r="AP210" s="56"/>
      <c r="AQ210" s="53"/>
      <c r="AR210" s="53"/>
      <c r="AS210" s="53"/>
      <c r="AT210" s="54"/>
      <c r="AU210" s="56"/>
      <c r="AV210" s="53"/>
      <c r="AW210" s="53"/>
      <c r="AX210" s="53"/>
      <c r="AY210" s="54"/>
      <c r="AZ210" s="58"/>
      <c r="BA210" s="59"/>
      <c r="BG210" s="83"/>
      <c r="BO210" s="67"/>
      <c r="BP210" s="67"/>
      <c r="BQ210" s="21"/>
      <c r="BR210" s="84"/>
      <c r="BS210" s="84"/>
      <c r="BU210" s="1">
        <v>544</v>
      </c>
    </row>
    <row r="211" spans="1:214" ht="15.75" customHeight="1" thickBot="1" x14ac:dyDescent="0.45">
      <c r="A211" s="1">
        <v>545</v>
      </c>
      <c r="C211" s="79"/>
      <c r="D211" s="21"/>
      <c r="E211" s="8"/>
      <c r="F211" s="85"/>
      <c r="G211" s="8"/>
      <c r="H211" s="22"/>
      <c r="I211" s="8"/>
      <c r="J211" s="22"/>
      <c r="K211" s="8"/>
      <c r="L211" s="22"/>
      <c r="M211" s="8"/>
      <c r="N211" s="22"/>
      <c r="O211" s="8"/>
      <c r="P211" s="22"/>
      <c r="Q211" s="8"/>
      <c r="R211" s="82"/>
      <c r="S211" s="51"/>
      <c r="T211" s="11"/>
      <c r="U211" s="52"/>
      <c r="V211" s="52"/>
      <c r="W211" s="53"/>
      <c r="X211" s="53"/>
      <c r="Y211" s="53"/>
      <c r="Z211" s="54"/>
      <c r="AA211" s="55"/>
      <c r="AB211" s="53"/>
      <c r="AC211" s="53"/>
      <c r="AD211" s="53"/>
      <c r="AE211" s="54"/>
      <c r="AF211" s="56"/>
      <c r="AG211" s="53"/>
      <c r="AH211" s="53"/>
      <c r="AI211" s="53"/>
      <c r="AJ211" s="54"/>
      <c r="AK211" s="57"/>
      <c r="AL211" s="53"/>
      <c r="AM211" s="53"/>
      <c r="AN211" s="53"/>
      <c r="AO211" s="54"/>
      <c r="AP211" s="56"/>
      <c r="AQ211" s="53"/>
      <c r="AR211" s="53"/>
      <c r="AS211" s="53"/>
      <c r="AT211" s="54"/>
      <c r="AU211" s="56"/>
      <c r="AV211" s="53"/>
      <c r="AW211" s="53"/>
      <c r="AX211" s="53"/>
      <c r="AY211" s="54"/>
      <c r="AZ211" s="58"/>
      <c r="BA211" s="59"/>
      <c r="BG211" s="83"/>
      <c r="BO211" s="86"/>
      <c r="BP211" s="87"/>
      <c r="BQ211" s="21"/>
      <c r="BT211" s="68"/>
      <c r="BU211" s="1">
        <v>545</v>
      </c>
    </row>
    <row r="212" spans="1:214" ht="15.75" customHeight="1" thickBot="1" x14ac:dyDescent="0.35">
      <c r="A212" s="1">
        <v>546</v>
      </c>
      <c r="B212" s="88" t="s">
        <v>26</v>
      </c>
      <c r="C212" s="89" t="s">
        <v>27</v>
      </c>
      <c r="D212" s="90"/>
      <c r="E212" s="8"/>
      <c r="F212" s="91"/>
      <c r="G212" s="42" t="s">
        <v>8</v>
      </c>
      <c r="H212" s="42"/>
      <c r="I212" s="42" t="s">
        <v>9</v>
      </c>
      <c r="J212" s="42"/>
      <c r="K212" s="42" t="s">
        <v>9</v>
      </c>
      <c r="L212" s="42"/>
      <c r="M212" s="42" t="s">
        <v>10</v>
      </c>
      <c r="N212" s="42"/>
      <c r="O212" s="42" t="s">
        <v>11</v>
      </c>
      <c r="P212" s="42"/>
      <c r="Q212" s="42" t="s">
        <v>12</v>
      </c>
      <c r="R212" s="42"/>
      <c r="S212" s="9"/>
      <c r="T212" s="11"/>
      <c r="U212" s="11"/>
      <c r="V212" s="11"/>
      <c r="W212" s="12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59"/>
      <c r="BO212" s="92"/>
      <c r="BP212" s="92"/>
      <c r="BQ212" s="21"/>
      <c r="BR212" s="21"/>
      <c r="BS212" s="21"/>
      <c r="BT212" s="68"/>
      <c r="BU212" s="1">
        <v>546</v>
      </c>
    </row>
    <row r="213" spans="1:214" ht="20.25" customHeight="1" x14ac:dyDescent="0.3">
      <c r="A213" s="1">
        <v>547</v>
      </c>
      <c r="B213" s="21">
        <f>E210</f>
        <v>1</v>
      </c>
      <c r="C213" s="93">
        <f>G215</f>
        <v>1</v>
      </c>
      <c r="D213" s="94">
        <f t="shared" ref="D213:D218" si="476">+B213-C213</f>
        <v>0</v>
      </c>
      <c r="E213" s="95"/>
      <c r="F213" s="96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8" t="s">
        <v>28</v>
      </c>
      <c r="S213" s="10"/>
      <c r="T213" s="10"/>
      <c r="U213" s="94"/>
      <c r="V213" s="40"/>
      <c r="W213" s="42"/>
      <c r="X213" s="9"/>
      <c r="Y213" s="9"/>
      <c r="Z213" s="9"/>
      <c r="AA213" s="9"/>
      <c r="AB213" s="42"/>
      <c r="AC213" s="9"/>
      <c r="AD213" s="9"/>
      <c r="AE213" s="9"/>
      <c r="AF213" s="9"/>
      <c r="AG213" s="42"/>
      <c r="AH213" s="9"/>
      <c r="AI213" s="9"/>
      <c r="AJ213" s="9"/>
      <c r="AK213" s="9"/>
      <c r="AL213" s="9"/>
      <c r="AM213" s="9"/>
      <c r="AN213" s="9"/>
      <c r="AO213" s="9"/>
      <c r="AP213" s="9"/>
      <c r="AQ213" s="42"/>
      <c r="AR213" s="9"/>
      <c r="AS213" s="9"/>
      <c r="AT213" s="9"/>
      <c r="AU213" s="9"/>
      <c r="AV213" s="42"/>
      <c r="AW213" s="9"/>
      <c r="AX213" s="9"/>
      <c r="AY213" s="9"/>
      <c r="AZ213" s="99"/>
      <c r="BA213" s="59"/>
      <c r="BE213" s="100"/>
      <c r="BO213" s="101"/>
      <c r="BP213" s="92"/>
      <c r="BQ213" s="21"/>
      <c r="BR213" s="21"/>
      <c r="BS213" s="21"/>
      <c r="BT213" s="68"/>
      <c r="BU213" s="1">
        <v>547</v>
      </c>
    </row>
    <row r="214" spans="1:214" ht="20.25" customHeight="1" thickBot="1" x14ac:dyDescent="0.35">
      <c r="A214" s="1">
        <v>548</v>
      </c>
      <c r="B214" s="21">
        <f>G210</f>
        <v>1</v>
      </c>
      <c r="C214" s="93">
        <f>I215</f>
        <v>1</v>
      </c>
      <c r="D214" s="94">
        <f t="shared" si="476"/>
        <v>0</v>
      </c>
      <c r="E214" s="102" t="s">
        <v>72</v>
      </c>
      <c r="F214" s="103"/>
      <c r="G214" s="104">
        <v>1</v>
      </c>
      <c r="H214" s="105"/>
      <c r="I214" s="104">
        <v>1</v>
      </c>
      <c r="J214" s="105"/>
      <c r="K214" s="104">
        <v>1</v>
      </c>
      <c r="L214" s="105"/>
      <c r="M214" s="104">
        <v>1</v>
      </c>
      <c r="N214" s="105"/>
      <c r="O214" s="104">
        <v>1</v>
      </c>
      <c r="P214" s="105"/>
      <c r="Q214" s="104">
        <v>0</v>
      </c>
      <c r="R214" s="106">
        <f>AVERAGE(G214,I214,K214,M214,O214)</f>
        <v>1</v>
      </c>
      <c r="S214" s="10"/>
      <c r="T214" s="11"/>
      <c r="U214" s="94"/>
      <c r="V214" s="40"/>
      <c r="W214" s="42"/>
      <c r="X214" s="9"/>
      <c r="Y214" s="9"/>
      <c r="Z214" s="9"/>
      <c r="AA214" s="9"/>
      <c r="AB214" s="42"/>
      <c r="AC214" s="9"/>
      <c r="AD214" s="9"/>
      <c r="AE214" s="9"/>
      <c r="AF214" s="9"/>
      <c r="AG214" s="42"/>
      <c r="AH214" s="9"/>
      <c r="AI214" s="9"/>
      <c r="AJ214" s="9"/>
      <c r="AK214" s="9"/>
      <c r="AL214" s="9"/>
      <c r="AM214" s="9"/>
      <c r="AN214" s="9"/>
      <c r="AO214" s="9"/>
      <c r="AP214" s="9"/>
      <c r="AQ214" s="42"/>
      <c r="AR214" s="9"/>
      <c r="AS214" s="9"/>
      <c r="AT214" s="9"/>
      <c r="AU214" s="9"/>
      <c r="AV214" s="42"/>
      <c r="AW214" s="9"/>
      <c r="AX214" s="9"/>
      <c r="AY214" s="9"/>
      <c r="AZ214" s="99"/>
      <c r="BA214" s="59"/>
      <c r="BE214" s="100"/>
      <c r="BO214" s="101"/>
      <c r="BP214" s="92"/>
      <c r="BQ214" s="21"/>
      <c r="BR214" s="21"/>
      <c r="BS214" s="21"/>
      <c r="BT214" s="68"/>
      <c r="BU214" s="1">
        <v>548</v>
      </c>
    </row>
    <row r="215" spans="1:214" ht="20.25" customHeight="1" thickBot="1" x14ac:dyDescent="0.35">
      <c r="A215" s="1">
        <v>549</v>
      </c>
      <c r="B215" s="21">
        <f>I210</f>
        <v>1</v>
      </c>
      <c r="C215" s="93">
        <f>K215</f>
        <v>1</v>
      </c>
      <c r="D215" s="94">
        <f t="shared" si="476"/>
        <v>0</v>
      </c>
      <c r="E215" s="108"/>
      <c r="F215" s="109"/>
      <c r="G215" s="110">
        <f>SUM(G214:G214)</f>
        <v>1</v>
      </c>
      <c r="H215" s="110"/>
      <c r="I215" s="110">
        <f>SUM(I214:I214)</f>
        <v>1</v>
      </c>
      <c r="J215" s="110"/>
      <c r="K215" s="110">
        <f>SUM(K214:K214)</f>
        <v>1</v>
      </c>
      <c r="L215" s="110"/>
      <c r="M215" s="110">
        <f>SUM(M214:M214)</f>
        <v>1</v>
      </c>
      <c r="N215" s="110"/>
      <c r="O215" s="110">
        <f>SUM(O214:O214)</f>
        <v>1</v>
      </c>
      <c r="P215" s="110"/>
      <c r="Q215" s="110">
        <v>1</v>
      </c>
      <c r="R215" s="111">
        <f>AVERAGE(G215,I215,K215,M215,O215)</f>
        <v>1</v>
      </c>
      <c r="S215" s="10"/>
      <c r="T215" s="11"/>
      <c r="U215" s="94"/>
      <c r="V215" s="40"/>
      <c r="W215" s="42"/>
      <c r="X215" s="9"/>
      <c r="Y215" s="9"/>
      <c r="Z215" s="9"/>
      <c r="AA215" s="9"/>
      <c r="AB215" s="42"/>
      <c r="AC215" s="9"/>
      <c r="AD215" s="9"/>
      <c r="AE215" s="9"/>
      <c r="AF215" s="9"/>
      <c r="AG215" s="42"/>
      <c r="AH215" s="9"/>
      <c r="AI215" s="9"/>
      <c r="AJ215" s="9"/>
      <c r="AK215" s="9"/>
      <c r="AL215" s="9"/>
      <c r="AM215" s="9"/>
      <c r="AN215" s="9"/>
      <c r="AO215" s="9"/>
      <c r="AP215" s="9"/>
      <c r="AQ215" s="42"/>
      <c r="AR215" s="9"/>
      <c r="AS215" s="9"/>
      <c r="AT215" s="9"/>
      <c r="AU215" s="9"/>
      <c r="AV215" s="42"/>
      <c r="AW215" s="9"/>
      <c r="AX215" s="9"/>
      <c r="AY215" s="9"/>
      <c r="AZ215" s="99"/>
      <c r="BA215" s="59"/>
      <c r="BE215" s="100"/>
      <c r="BO215" s="101"/>
      <c r="BP215" s="92"/>
      <c r="BQ215" s="21"/>
      <c r="BR215" s="21"/>
      <c r="BS215" s="21"/>
      <c r="BT215" s="68"/>
      <c r="BU215" s="1">
        <v>549</v>
      </c>
    </row>
    <row r="216" spans="1:214" ht="20.25" customHeight="1" x14ac:dyDescent="0.3">
      <c r="A216" s="1">
        <v>550</v>
      </c>
      <c r="B216" s="21">
        <f>K210</f>
        <v>1</v>
      </c>
      <c r="C216" s="93">
        <f>M215</f>
        <v>1</v>
      </c>
      <c r="D216" s="94">
        <f t="shared" si="476"/>
        <v>0</v>
      </c>
      <c r="E216" s="112"/>
      <c r="F216" s="113"/>
      <c r="G216" s="112"/>
      <c r="H216" s="114"/>
      <c r="I216" s="112"/>
      <c r="J216" s="114"/>
      <c r="K216" s="112"/>
      <c r="L216" s="114"/>
      <c r="M216" s="112"/>
      <c r="N216" s="114"/>
      <c r="O216" s="112"/>
      <c r="P216" s="114"/>
      <c r="Q216" s="112"/>
      <c r="R216" s="115"/>
      <c r="S216" s="10"/>
      <c r="T216" s="128">
        <f>SUM(R214:R214)</f>
        <v>1</v>
      </c>
      <c r="U216" s="94"/>
      <c r="V216" s="40"/>
      <c r="W216" s="42"/>
      <c r="X216" s="9"/>
      <c r="Y216" s="9"/>
      <c r="Z216" s="9"/>
      <c r="AA216" s="9"/>
      <c r="AB216" s="42"/>
      <c r="AC216" s="9"/>
      <c r="AD216" s="9"/>
      <c r="AE216" s="9"/>
      <c r="AF216" s="9"/>
      <c r="AG216" s="42"/>
      <c r="AH216" s="9"/>
      <c r="AI216" s="9"/>
      <c r="AJ216" s="9"/>
      <c r="AK216" s="9"/>
      <c r="AL216" s="9"/>
      <c r="AM216" s="9"/>
      <c r="AN216" s="9"/>
      <c r="AO216" s="9"/>
      <c r="AP216" s="9"/>
      <c r="AQ216" s="42"/>
      <c r="AR216" s="9"/>
      <c r="AS216" s="9"/>
      <c r="AT216" s="9"/>
      <c r="AU216" s="9"/>
      <c r="AV216" s="42"/>
      <c r="AW216" s="9"/>
      <c r="AX216" s="9"/>
      <c r="AY216" s="9"/>
      <c r="AZ216" s="99"/>
      <c r="BA216" s="59"/>
      <c r="BE216" s="100"/>
      <c r="BO216" s="101"/>
      <c r="BP216" s="92"/>
      <c r="BQ216" s="21"/>
      <c r="BR216" s="21"/>
      <c r="BS216" s="21"/>
      <c r="BT216" s="68"/>
      <c r="BU216" s="1">
        <v>550</v>
      </c>
    </row>
    <row r="217" spans="1:214" ht="20.25" customHeight="1" x14ac:dyDescent="0.4">
      <c r="A217" s="1">
        <v>551</v>
      </c>
      <c r="B217" s="21">
        <f>M210</f>
        <v>1</v>
      </c>
      <c r="C217" s="93">
        <f>O215</f>
        <v>1</v>
      </c>
      <c r="D217" s="94">
        <f t="shared" si="476"/>
        <v>0</v>
      </c>
      <c r="E217" s="8"/>
      <c r="F217" s="85"/>
      <c r="G217" s="8"/>
      <c r="H217" s="22"/>
      <c r="I217" s="8"/>
      <c r="J217" s="22"/>
      <c r="K217" s="8"/>
      <c r="L217" s="22"/>
      <c r="M217" s="8"/>
      <c r="N217" s="22"/>
      <c r="O217" s="8"/>
      <c r="P217" s="22"/>
      <c r="Q217" s="8"/>
      <c r="R217" s="82"/>
      <c r="S217" s="51"/>
      <c r="T217" s="11"/>
      <c r="U217" s="11"/>
      <c r="V217" s="52"/>
      <c r="W217" s="9"/>
      <c r="X217" s="9"/>
      <c r="Y217" s="9"/>
      <c r="Z217" s="9"/>
      <c r="AA217" s="42"/>
      <c r="AB217" s="9"/>
      <c r="AC217" s="9"/>
      <c r="AD217" s="9"/>
      <c r="AE217" s="9"/>
      <c r="AF217" s="42"/>
      <c r="AG217" s="9"/>
      <c r="AH217" s="9"/>
      <c r="AI217" s="9"/>
      <c r="AJ217" s="9"/>
      <c r="AK217" s="9"/>
      <c r="AL217" s="9"/>
      <c r="AM217" s="9"/>
      <c r="AN217" s="9"/>
      <c r="AO217" s="9"/>
      <c r="AP217" s="42"/>
      <c r="AQ217" s="9"/>
      <c r="AR217" s="9"/>
      <c r="AS217" s="9"/>
      <c r="AT217" s="9"/>
      <c r="AU217" s="42"/>
      <c r="AV217" s="9"/>
      <c r="AW217" s="9"/>
      <c r="AX217" s="9"/>
      <c r="AY217" s="9"/>
      <c r="AZ217" s="58"/>
      <c r="BA217" s="59"/>
      <c r="BG217" s="83"/>
      <c r="BO217" s="86"/>
      <c r="BP217" s="87"/>
      <c r="BQ217" s="21"/>
      <c r="BT217" s="68"/>
      <c r="BU217" s="1">
        <v>551</v>
      </c>
    </row>
    <row r="218" spans="1:214" ht="20.25" customHeight="1" x14ac:dyDescent="0.4">
      <c r="A218" s="1">
        <v>552</v>
      </c>
      <c r="B218" s="21">
        <f>O210</f>
        <v>1</v>
      </c>
      <c r="C218" s="93">
        <f>Q215</f>
        <v>1</v>
      </c>
      <c r="D218" s="94">
        <f t="shared" si="476"/>
        <v>0</v>
      </c>
      <c r="E218" s="8"/>
      <c r="F218" s="85"/>
      <c r="G218" s="8"/>
      <c r="H218" s="22"/>
      <c r="I218" s="8"/>
      <c r="J218" s="22"/>
      <c r="K218" s="8"/>
      <c r="L218" s="22"/>
      <c r="M218" s="8"/>
      <c r="N218" s="22"/>
      <c r="O218" s="8"/>
      <c r="P218" s="22"/>
      <c r="Q218" s="8"/>
      <c r="R218" s="82"/>
      <c r="S218" s="51"/>
      <c r="T218" s="11"/>
      <c r="U218" s="11"/>
      <c r="V218" s="52"/>
      <c r="W218" s="9"/>
      <c r="X218" s="9"/>
      <c r="Y218" s="9"/>
      <c r="Z218" s="9"/>
      <c r="AA218" s="42"/>
      <c r="AB218" s="9"/>
      <c r="AC218" s="9"/>
      <c r="AD218" s="9"/>
      <c r="AE218" s="9"/>
      <c r="AF218" s="42"/>
      <c r="AG218" s="9"/>
      <c r="AH218" s="9"/>
      <c r="AI218" s="9"/>
      <c r="AJ218" s="9"/>
      <c r="AK218" s="9"/>
      <c r="AL218" s="9"/>
      <c r="AM218" s="9"/>
      <c r="AN218" s="9"/>
      <c r="AO218" s="9"/>
      <c r="AP218" s="42"/>
      <c r="AQ218" s="9"/>
      <c r="AR218" s="9"/>
      <c r="AS218" s="9"/>
      <c r="AT218" s="9"/>
      <c r="AU218" s="42"/>
      <c r="AV218" s="9"/>
      <c r="AW218" s="9"/>
      <c r="AX218" s="9"/>
      <c r="AY218" s="9"/>
      <c r="AZ218" s="58"/>
      <c r="BA218" s="59"/>
      <c r="BG218" s="83"/>
      <c r="BO218" s="86"/>
      <c r="BP218" s="87"/>
      <c r="BQ218" s="21"/>
      <c r="BT218" s="68"/>
      <c r="BU218" s="1">
        <v>552</v>
      </c>
    </row>
    <row r="219" spans="1:214" ht="20.25" customHeight="1" thickBot="1" x14ac:dyDescent="0.45">
      <c r="A219" s="1"/>
      <c r="B219" s="21"/>
      <c r="C219" s="148"/>
      <c r="D219" s="94"/>
      <c r="E219" s="8"/>
      <c r="F219" s="85"/>
      <c r="G219" s="8"/>
      <c r="H219" s="22"/>
      <c r="I219" s="8"/>
      <c r="J219" s="22"/>
      <c r="K219" s="8"/>
      <c r="L219" s="22"/>
      <c r="M219" s="8"/>
      <c r="N219" s="22"/>
      <c r="O219" s="8"/>
      <c r="P219" s="22"/>
      <c r="Q219" s="8"/>
      <c r="R219" s="82"/>
      <c r="S219" s="51"/>
      <c r="T219" s="11"/>
      <c r="U219" s="11"/>
      <c r="V219" s="52"/>
      <c r="W219" s="9"/>
      <c r="X219" s="9"/>
      <c r="Y219" s="9"/>
      <c r="Z219" s="9"/>
      <c r="AA219" s="42"/>
      <c r="AB219" s="9"/>
      <c r="AC219" s="9"/>
      <c r="AD219" s="9"/>
      <c r="AE219" s="9"/>
      <c r="AF219" s="42"/>
      <c r="AG219" s="9"/>
      <c r="AH219" s="9"/>
      <c r="AI219" s="9"/>
      <c r="AJ219" s="9"/>
      <c r="AK219" s="9"/>
      <c r="AL219" s="9"/>
      <c r="AM219" s="9"/>
      <c r="AN219" s="9"/>
      <c r="AO219" s="9"/>
      <c r="AP219" s="42"/>
      <c r="AQ219" s="9"/>
      <c r="AR219" s="9"/>
      <c r="AS219" s="9"/>
      <c r="AT219" s="9"/>
      <c r="AU219" s="42"/>
      <c r="AV219" s="9"/>
      <c r="AW219" s="9"/>
      <c r="AX219" s="9"/>
      <c r="AY219" s="9"/>
      <c r="AZ219" s="58"/>
      <c r="BA219" s="59"/>
      <c r="BG219" s="83"/>
      <c r="BO219" s="86"/>
      <c r="BP219" s="87"/>
      <c r="BQ219" s="21"/>
      <c r="BT219" s="68"/>
      <c r="BU219" s="1"/>
    </row>
    <row r="220" spans="1:214" ht="20.25" customHeight="1" thickBot="1" x14ac:dyDescent="0.45">
      <c r="A220" s="1"/>
      <c r="B220" s="21"/>
      <c r="C220" s="148"/>
      <c r="D220" s="234" t="s">
        <v>5</v>
      </c>
      <c r="E220" s="235">
        <f>AVERAGE(G220,I220,K220,M220,O220,Q220)</f>
        <v>15</v>
      </c>
      <c r="F220" s="236"/>
      <c r="G220" s="237">
        <v>16</v>
      </c>
      <c r="H220" s="238"/>
      <c r="I220" s="237">
        <v>16</v>
      </c>
      <c r="J220" s="238"/>
      <c r="K220" s="237">
        <v>16</v>
      </c>
      <c r="L220" s="238"/>
      <c r="M220" s="237">
        <v>14</v>
      </c>
      <c r="N220" s="238"/>
      <c r="O220" s="237">
        <v>14</v>
      </c>
      <c r="P220" s="238"/>
      <c r="Q220" s="239">
        <v>14</v>
      </c>
      <c r="S220" s="51"/>
      <c r="T220" s="11"/>
      <c r="U220" s="11"/>
      <c r="V220" s="52"/>
      <c r="W220" s="9"/>
      <c r="X220" s="9"/>
      <c r="Y220" s="9"/>
      <c r="Z220" s="9"/>
      <c r="AA220" s="42"/>
      <c r="AB220" s="9"/>
      <c r="AC220" s="9"/>
      <c r="AD220" s="9"/>
      <c r="AE220" s="9"/>
      <c r="AF220" s="42"/>
      <c r="AG220" s="9"/>
      <c r="AH220" s="9"/>
      <c r="AI220" s="9"/>
      <c r="AJ220" s="9"/>
      <c r="AK220" s="9"/>
      <c r="AL220" s="9"/>
      <c r="AM220" s="9"/>
      <c r="AN220" s="9"/>
      <c r="AO220" s="9"/>
      <c r="AP220" s="42"/>
      <c r="AQ220" s="9"/>
      <c r="AR220" s="9"/>
      <c r="AS220" s="9"/>
      <c r="AT220" s="9"/>
      <c r="AU220" s="42"/>
      <c r="AV220" s="9"/>
      <c r="AW220" s="9"/>
      <c r="AX220" s="9"/>
      <c r="AY220" s="9"/>
      <c r="AZ220" s="58"/>
      <c r="BA220" s="59"/>
      <c r="BG220" s="83"/>
      <c r="BO220" s="86"/>
      <c r="BP220" s="87"/>
      <c r="BQ220" s="21"/>
      <c r="BT220" s="68"/>
      <c r="BU220" s="1"/>
    </row>
    <row r="221" spans="1:214" ht="20.25" customHeight="1" thickBot="1" x14ac:dyDescent="0.45">
      <c r="A221" s="1"/>
      <c r="B221" s="21"/>
      <c r="C221" s="148"/>
      <c r="D221" s="234" t="s">
        <v>34</v>
      </c>
      <c r="E221" s="235">
        <f t="shared" ref="E221:E228" si="477">AVERAGE(G221,I221,K221,M221,O221,Q221)</f>
        <v>10.166666666666666</v>
      </c>
      <c r="F221" s="236"/>
      <c r="G221" s="237">
        <v>9</v>
      </c>
      <c r="H221" s="238"/>
      <c r="I221" s="237">
        <v>10</v>
      </c>
      <c r="J221" s="238"/>
      <c r="K221" s="237">
        <v>10</v>
      </c>
      <c r="L221" s="238"/>
      <c r="M221" s="237">
        <v>11</v>
      </c>
      <c r="N221" s="238"/>
      <c r="O221" s="237">
        <v>11</v>
      </c>
      <c r="P221" s="238"/>
      <c r="Q221" s="239">
        <v>10</v>
      </c>
      <c r="S221" s="51"/>
      <c r="T221" s="11"/>
      <c r="U221" s="11"/>
      <c r="V221" s="52"/>
      <c r="W221" s="9"/>
      <c r="X221" s="9"/>
      <c r="Y221" s="9"/>
      <c r="Z221" s="9"/>
      <c r="AA221" s="42"/>
      <c r="AB221" s="9"/>
      <c r="AC221" s="9"/>
      <c r="AD221" s="9"/>
      <c r="AE221" s="9"/>
      <c r="AF221" s="42"/>
      <c r="AG221" s="9"/>
      <c r="AH221" s="9"/>
      <c r="AI221" s="9"/>
      <c r="AJ221" s="9"/>
      <c r="AK221" s="9"/>
      <c r="AL221" s="9"/>
      <c r="AM221" s="9"/>
      <c r="AN221" s="9"/>
      <c r="AO221" s="9"/>
      <c r="AP221" s="42"/>
      <c r="AQ221" s="9"/>
      <c r="AR221" s="9"/>
      <c r="AS221" s="9"/>
      <c r="AT221" s="9"/>
      <c r="AU221" s="42"/>
      <c r="AV221" s="9"/>
      <c r="AW221" s="9"/>
      <c r="AX221" s="9"/>
      <c r="AY221" s="9"/>
      <c r="AZ221" s="58"/>
      <c r="BA221" s="59"/>
      <c r="BG221" s="83"/>
      <c r="BO221" s="86"/>
      <c r="BP221" s="87"/>
      <c r="BQ221" s="21"/>
      <c r="BT221" s="68"/>
      <c r="BU221" s="1"/>
    </row>
    <row r="222" spans="1:214" ht="20.25" customHeight="1" thickBot="1" x14ac:dyDescent="0.45">
      <c r="A222" s="1"/>
      <c r="B222" s="21"/>
      <c r="C222" s="148"/>
      <c r="D222" s="234" t="s">
        <v>42</v>
      </c>
      <c r="E222" s="235">
        <f t="shared" si="477"/>
        <v>12.666666666666666</v>
      </c>
      <c r="F222" s="236"/>
      <c r="G222" s="237">
        <v>12</v>
      </c>
      <c r="H222" s="238"/>
      <c r="I222" s="237">
        <v>13</v>
      </c>
      <c r="J222" s="238"/>
      <c r="K222" s="237">
        <v>16</v>
      </c>
      <c r="L222" s="238"/>
      <c r="M222" s="237">
        <v>13</v>
      </c>
      <c r="N222" s="238"/>
      <c r="O222" s="237">
        <v>12</v>
      </c>
      <c r="P222" s="238"/>
      <c r="Q222" s="239">
        <v>10</v>
      </c>
      <c r="S222" s="51"/>
      <c r="T222" s="11"/>
      <c r="U222" s="11"/>
      <c r="V222" s="52"/>
      <c r="W222" s="9"/>
      <c r="X222" s="9"/>
      <c r="Y222" s="9"/>
      <c r="Z222" s="9"/>
      <c r="AA222" s="42"/>
      <c r="AB222" s="9"/>
      <c r="AC222" s="9"/>
      <c r="AD222" s="9"/>
      <c r="AE222" s="9"/>
      <c r="AF222" s="42"/>
      <c r="AG222" s="9"/>
      <c r="AH222" s="9"/>
      <c r="AI222" s="9"/>
      <c r="AJ222" s="9"/>
      <c r="AK222" s="9"/>
      <c r="AL222" s="9"/>
      <c r="AM222" s="9"/>
      <c r="AN222" s="9"/>
      <c r="AO222" s="9"/>
      <c r="AP222" s="42"/>
      <c r="AQ222" s="9"/>
      <c r="AR222" s="9"/>
      <c r="AS222" s="9"/>
      <c r="AT222" s="9"/>
      <c r="AU222" s="42"/>
      <c r="AV222" s="9"/>
      <c r="AW222" s="9"/>
      <c r="AX222" s="9"/>
      <c r="AY222" s="9"/>
      <c r="AZ222" s="58"/>
      <c r="BA222" s="59"/>
      <c r="BG222" s="83"/>
      <c r="BO222" s="86"/>
      <c r="BP222" s="87"/>
      <c r="BQ222" s="21"/>
      <c r="BT222" s="68"/>
      <c r="BU222" s="1"/>
    </row>
    <row r="223" spans="1:214" ht="20.25" customHeight="1" thickBot="1" x14ac:dyDescent="0.45">
      <c r="A223" s="1"/>
      <c r="B223" s="21"/>
      <c r="C223" s="148"/>
      <c r="D223" s="234" t="s">
        <v>44</v>
      </c>
      <c r="E223" s="235">
        <f t="shared" si="477"/>
        <v>17</v>
      </c>
      <c r="F223" s="236"/>
      <c r="G223" s="237">
        <v>17</v>
      </c>
      <c r="H223" s="238"/>
      <c r="I223" s="237">
        <v>17</v>
      </c>
      <c r="J223" s="238"/>
      <c r="K223" s="237">
        <v>17</v>
      </c>
      <c r="L223" s="238"/>
      <c r="M223" s="237">
        <v>17</v>
      </c>
      <c r="N223" s="238"/>
      <c r="O223" s="237">
        <v>17</v>
      </c>
      <c r="P223" s="238"/>
      <c r="Q223" s="239">
        <v>17</v>
      </c>
      <c r="S223" s="51"/>
      <c r="T223" s="11"/>
      <c r="U223" s="11"/>
      <c r="V223" s="52"/>
      <c r="W223" s="9"/>
      <c r="X223" s="9"/>
      <c r="Y223" s="9"/>
      <c r="Z223" s="9"/>
      <c r="AA223" s="42"/>
      <c r="AB223" s="9"/>
      <c r="AC223" s="9"/>
      <c r="AD223" s="9"/>
      <c r="AE223" s="9"/>
      <c r="AF223" s="42"/>
      <c r="AG223" s="9"/>
      <c r="AH223" s="9"/>
      <c r="AI223" s="9"/>
      <c r="AJ223" s="9"/>
      <c r="AK223" s="9"/>
      <c r="AL223" s="9"/>
      <c r="AM223" s="9"/>
      <c r="AN223" s="9"/>
      <c r="AO223" s="9"/>
      <c r="AP223" s="42"/>
      <c r="AQ223" s="9"/>
      <c r="AR223" s="9"/>
      <c r="AS223" s="9"/>
      <c r="AT223" s="9"/>
      <c r="AU223" s="42"/>
      <c r="AV223" s="9"/>
      <c r="AW223" s="9"/>
      <c r="AX223" s="9"/>
      <c r="AY223" s="9"/>
      <c r="AZ223" s="58"/>
      <c r="BA223" s="59"/>
      <c r="BG223" s="83"/>
      <c r="BO223" s="86"/>
      <c r="BP223" s="87"/>
      <c r="BQ223" s="21"/>
      <c r="BT223" s="68"/>
      <c r="BU223" s="1"/>
    </row>
    <row r="224" spans="1:214" ht="20.25" customHeight="1" thickBot="1" x14ac:dyDescent="0.45">
      <c r="A224" s="1"/>
      <c r="B224" s="21"/>
      <c r="C224" s="148"/>
      <c r="D224" s="234" t="s">
        <v>47</v>
      </c>
      <c r="E224" s="235">
        <f t="shared" si="477"/>
        <v>7</v>
      </c>
      <c r="F224" s="236"/>
      <c r="G224" s="237">
        <v>7</v>
      </c>
      <c r="H224" s="238"/>
      <c r="I224" s="237">
        <v>7</v>
      </c>
      <c r="J224" s="238"/>
      <c r="K224" s="237">
        <v>7</v>
      </c>
      <c r="L224" s="238"/>
      <c r="M224" s="237">
        <v>7</v>
      </c>
      <c r="N224" s="238"/>
      <c r="O224" s="237">
        <v>7</v>
      </c>
      <c r="P224" s="238"/>
      <c r="Q224" s="239">
        <v>7</v>
      </c>
      <c r="S224" s="51"/>
      <c r="T224" s="11"/>
      <c r="U224" s="11"/>
      <c r="V224" s="52"/>
      <c r="W224" s="9"/>
      <c r="X224" s="9"/>
      <c r="Y224" s="9"/>
      <c r="Z224" s="9"/>
      <c r="AA224" s="42"/>
      <c r="AB224" s="9"/>
      <c r="AC224" s="9"/>
      <c r="AD224" s="9"/>
      <c r="AE224" s="9"/>
      <c r="AF224" s="42"/>
      <c r="AG224" s="9"/>
      <c r="AH224" s="9"/>
      <c r="AI224" s="9"/>
      <c r="AJ224" s="9"/>
      <c r="AK224" s="9"/>
      <c r="AL224" s="9"/>
      <c r="AM224" s="9"/>
      <c r="AN224" s="9"/>
      <c r="AO224" s="9"/>
      <c r="AP224" s="42"/>
      <c r="AQ224" s="9"/>
      <c r="AR224" s="9"/>
      <c r="AS224" s="9"/>
      <c r="AT224" s="9"/>
      <c r="AU224" s="42"/>
      <c r="AV224" s="9"/>
      <c r="AW224" s="9"/>
      <c r="AX224" s="9"/>
      <c r="AY224" s="9"/>
      <c r="AZ224" s="58"/>
      <c r="BA224" s="59"/>
      <c r="BG224" s="83"/>
      <c r="BO224" s="86"/>
      <c r="BP224" s="87"/>
      <c r="BQ224" s="21"/>
      <c r="BT224" s="68"/>
      <c r="BU224" s="1"/>
    </row>
    <row r="225" spans="1:74" ht="20.25" customHeight="1" thickBot="1" x14ac:dyDescent="0.45">
      <c r="A225" s="1"/>
      <c r="B225" s="21"/>
      <c r="C225" s="148"/>
      <c r="D225" s="234" t="s">
        <v>51</v>
      </c>
      <c r="E225" s="235">
        <f t="shared" si="477"/>
        <v>5</v>
      </c>
      <c r="F225" s="236"/>
      <c r="G225" s="237">
        <v>5</v>
      </c>
      <c r="H225" s="238"/>
      <c r="I225" s="237">
        <v>5</v>
      </c>
      <c r="J225" s="238"/>
      <c r="K225" s="237">
        <v>5</v>
      </c>
      <c r="L225" s="238"/>
      <c r="M225" s="237">
        <v>5</v>
      </c>
      <c r="N225" s="238"/>
      <c r="O225" s="237">
        <v>5</v>
      </c>
      <c r="P225" s="238"/>
      <c r="Q225" s="239">
        <v>5</v>
      </c>
      <c r="S225" s="51"/>
      <c r="T225" s="11"/>
      <c r="U225" s="11"/>
      <c r="V225" s="52"/>
      <c r="W225" s="9"/>
      <c r="X225" s="9"/>
      <c r="Y225" s="9"/>
      <c r="Z225" s="9"/>
      <c r="AA225" s="42"/>
      <c r="AB225" s="9"/>
      <c r="AC225" s="9"/>
      <c r="AD225" s="9"/>
      <c r="AE225" s="9"/>
      <c r="AF225" s="42"/>
      <c r="AG225" s="9"/>
      <c r="AH225" s="9"/>
      <c r="AI225" s="9"/>
      <c r="AJ225" s="9"/>
      <c r="AK225" s="9"/>
      <c r="AL225" s="9"/>
      <c r="AM225" s="9"/>
      <c r="AN225" s="9"/>
      <c r="AO225" s="9"/>
      <c r="AP225" s="42"/>
      <c r="AQ225" s="9"/>
      <c r="AR225" s="9"/>
      <c r="AS225" s="9"/>
      <c r="AT225" s="9"/>
      <c r="AU225" s="42"/>
      <c r="AV225" s="9"/>
      <c r="AW225" s="9"/>
      <c r="AX225" s="9"/>
      <c r="AY225" s="9"/>
      <c r="AZ225" s="58"/>
      <c r="BA225" s="59"/>
      <c r="BG225" s="83"/>
      <c r="BO225" s="86"/>
      <c r="BP225" s="87"/>
      <c r="BQ225" s="21"/>
      <c r="BT225" s="68"/>
      <c r="BU225" s="1"/>
    </row>
    <row r="226" spans="1:74" ht="20.25" customHeight="1" thickBot="1" x14ac:dyDescent="0.45">
      <c r="A226" s="1"/>
      <c r="B226" s="21"/>
      <c r="C226" s="148"/>
      <c r="D226" s="234" t="s">
        <v>56</v>
      </c>
      <c r="E226" s="235">
        <f t="shared" si="477"/>
        <v>4.833333333333333</v>
      </c>
      <c r="F226" s="236"/>
      <c r="G226" s="237">
        <v>5</v>
      </c>
      <c r="H226" s="238"/>
      <c r="I226" s="237">
        <v>5</v>
      </c>
      <c r="J226" s="238"/>
      <c r="K226" s="237">
        <v>5</v>
      </c>
      <c r="L226" s="238"/>
      <c r="M226" s="237">
        <v>4</v>
      </c>
      <c r="N226" s="238"/>
      <c r="O226" s="237">
        <v>5</v>
      </c>
      <c r="P226" s="238"/>
      <c r="Q226" s="239">
        <v>5</v>
      </c>
      <c r="S226" s="51"/>
      <c r="T226" s="11"/>
      <c r="U226" s="11"/>
      <c r="V226" s="52"/>
      <c r="W226" s="9"/>
      <c r="X226" s="9"/>
      <c r="Y226" s="9"/>
      <c r="Z226" s="9"/>
      <c r="AA226" s="42"/>
      <c r="AB226" s="9"/>
      <c r="AC226" s="9"/>
      <c r="AD226" s="9"/>
      <c r="AE226" s="9"/>
      <c r="AF226" s="42"/>
      <c r="AG226" s="9"/>
      <c r="AH226" s="9"/>
      <c r="AI226" s="9"/>
      <c r="AJ226" s="9"/>
      <c r="AK226" s="9"/>
      <c r="AL226" s="9"/>
      <c r="AM226" s="9"/>
      <c r="AN226" s="9"/>
      <c r="AO226" s="9"/>
      <c r="AP226" s="42"/>
      <c r="AQ226" s="9"/>
      <c r="AR226" s="9"/>
      <c r="AS226" s="9"/>
      <c r="AT226" s="9"/>
      <c r="AU226" s="42"/>
      <c r="AV226" s="9"/>
      <c r="AW226" s="9"/>
      <c r="AX226" s="9"/>
      <c r="AY226" s="9"/>
      <c r="AZ226" s="58"/>
      <c r="BA226" s="59"/>
      <c r="BG226" s="83"/>
      <c r="BO226" s="86"/>
      <c r="BP226" s="87"/>
      <c r="BQ226" s="21"/>
      <c r="BT226" s="68"/>
      <c r="BU226" s="1"/>
    </row>
    <row r="227" spans="1:74" ht="20.25" customHeight="1" thickBot="1" x14ac:dyDescent="0.45">
      <c r="A227" s="1"/>
      <c r="B227" s="21"/>
      <c r="C227" s="148"/>
      <c r="D227" s="234" t="s">
        <v>60</v>
      </c>
      <c r="E227" s="235">
        <f t="shared" si="477"/>
        <v>10</v>
      </c>
      <c r="F227" s="236"/>
      <c r="G227" s="237">
        <v>10</v>
      </c>
      <c r="H227" s="238"/>
      <c r="I227" s="237">
        <v>10</v>
      </c>
      <c r="J227" s="238"/>
      <c r="K227" s="237">
        <v>10</v>
      </c>
      <c r="L227" s="238"/>
      <c r="M227" s="237">
        <v>10</v>
      </c>
      <c r="N227" s="238"/>
      <c r="O227" s="237">
        <v>10</v>
      </c>
      <c r="P227" s="238"/>
      <c r="Q227" s="239">
        <v>10</v>
      </c>
      <c r="S227" s="51"/>
      <c r="T227" s="11"/>
      <c r="U227" s="11"/>
      <c r="V227" s="52"/>
      <c r="W227" s="9"/>
      <c r="X227" s="9"/>
      <c r="Y227" s="9"/>
      <c r="Z227" s="9"/>
      <c r="AA227" s="42"/>
      <c r="AB227" s="9"/>
      <c r="AC227" s="9"/>
      <c r="AD227" s="9"/>
      <c r="AE227" s="9"/>
      <c r="AF227" s="42"/>
      <c r="AG227" s="9"/>
      <c r="AH227" s="9"/>
      <c r="AI227" s="9"/>
      <c r="AJ227" s="9"/>
      <c r="AK227" s="9"/>
      <c r="AL227" s="9"/>
      <c r="AM227" s="9"/>
      <c r="AN227" s="9"/>
      <c r="AO227" s="9"/>
      <c r="AP227" s="42"/>
      <c r="AQ227" s="9"/>
      <c r="AR227" s="9"/>
      <c r="AS227" s="9"/>
      <c r="AT227" s="9"/>
      <c r="AU227" s="42"/>
      <c r="AV227" s="9"/>
      <c r="AW227" s="9"/>
      <c r="AX227" s="9"/>
      <c r="AY227" s="9"/>
      <c r="AZ227" s="58"/>
      <c r="BA227" s="59"/>
      <c r="BG227" s="83"/>
      <c r="BO227" s="86"/>
      <c r="BP227" s="87"/>
      <c r="BQ227" s="21"/>
      <c r="BT227" s="68"/>
      <c r="BU227" s="1"/>
    </row>
    <row r="228" spans="1:74" ht="20.25" customHeight="1" thickBot="1" x14ac:dyDescent="0.45">
      <c r="A228" s="1"/>
      <c r="B228" s="21"/>
      <c r="C228" s="148"/>
      <c r="D228" s="234" t="s">
        <v>70</v>
      </c>
      <c r="E228" s="235">
        <f t="shared" si="477"/>
        <v>1</v>
      </c>
      <c r="F228" s="236"/>
      <c r="G228" s="237">
        <v>1</v>
      </c>
      <c r="H228" s="238"/>
      <c r="I228" s="237">
        <v>1</v>
      </c>
      <c r="J228" s="238"/>
      <c r="K228" s="237">
        <v>1</v>
      </c>
      <c r="L228" s="238"/>
      <c r="M228" s="237">
        <v>1</v>
      </c>
      <c r="N228" s="238"/>
      <c r="O228" s="237">
        <v>1</v>
      </c>
      <c r="P228" s="238"/>
      <c r="Q228" s="239">
        <v>1</v>
      </c>
      <c r="S228" s="51"/>
      <c r="T228" s="11"/>
      <c r="U228" s="11"/>
      <c r="V228" s="52"/>
      <c r="W228" s="9"/>
      <c r="X228" s="9"/>
      <c r="Y228" s="9"/>
      <c r="Z228" s="9"/>
      <c r="AA228" s="42"/>
      <c r="AB228" s="9"/>
      <c r="AC228" s="9"/>
      <c r="AD228" s="9"/>
      <c r="AE228" s="9"/>
      <c r="AF228" s="42"/>
      <c r="AG228" s="9"/>
      <c r="AH228" s="9"/>
      <c r="AI228" s="9"/>
      <c r="AJ228" s="9"/>
      <c r="AK228" s="9"/>
      <c r="AL228" s="9"/>
      <c r="AM228" s="9"/>
      <c r="AN228" s="9"/>
      <c r="AO228" s="9"/>
      <c r="AP228" s="42"/>
      <c r="AQ228" s="9"/>
      <c r="AR228" s="9"/>
      <c r="AS228" s="9"/>
      <c r="AT228" s="9"/>
      <c r="AU228" s="42"/>
      <c r="AV228" s="9"/>
      <c r="AW228" s="9"/>
      <c r="AX228" s="9"/>
      <c r="AY228" s="9"/>
      <c r="AZ228" s="58"/>
      <c r="BA228" s="59"/>
      <c r="BG228" s="83"/>
      <c r="BO228" s="86"/>
      <c r="BP228" s="87"/>
      <c r="BQ228" s="21"/>
      <c r="BT228" s="68"/>
      <c r="BU228" s="1"/>
    </row>
    <row r="229" spans="1:74" ht="20.25" customHeight="1" thickBot="1" x14ac:dyDescent="0.45">
      <c r="A229" s="1"/>
      <c r="B229" s="21"/>
      <c r="C229" s="148"/>
      <c r="D229" s="240"/>
      <c r="E229" s="235"/>
      <c r="F229" s="236"/>
      <c r="G229" s="237"/>
      <c r="H229" s="238"/>
      <c r="I229" s="237"/>
      <c r="J229" s="238"/>
      <c r="K229" s="237"/>
      <c r="L229" s="238"/>
      <c r="M229" s="237"/>
      <c r="N229" s="238"/>
      <c r="O229" s="237"/>
      <c r="P229" s="238"/>
      <c r="Q229" s="239"/>
      <c r="S229" s="51"/>
      <c r="T229" s="11"/>
      <c r="U229" s="11"/>
      <c r="V229" s="52"/>
      <c r="W229" s="9"/>
      <c r="X229" s="9"/>
      <c r="Y229" s="9"/>
      <c r="Z229" s="9"/>
      <c r="AA229" s="42"/>
      <c r="AB229" s="9"/>
      <c r="AC229" s="9"/>
      <c r="AD229" s="9"/>
      <c r="AE229" s="9"/>
      <c r="AF229" s="42"/>
      <c r="AG229" s="9"/>
      <c r="AH229" s="9"/>
      <c r="AI229" s="9"/>
      <c r="AJ229" s="9"/>
      <c r="AK229" s="9"/>
      <c r="AL229" s="9"/>
      <c r="AM229" s="9"/>
      <c r="AN229" s="9"/>
      <c r="AO229" s="9"/>
      <c r="AP229" s="42"/>
      <c r="AQ229" s="9"/>
      <c r="AR229" s="9"/>
      <c r="AS229" s="9"/>
      <c r="AT229" s="9"/>
      <c r="AU229" s="42"/>
      <c r="AV229" s="9"/>
      <c r="AW229" s="9"/>
      <c r="AX229" s="9"/>
      <c r="AY229" s="9"/>
      <c r="AZ229" s="58"/>
      <c r="BA229" s="59"/>
      <c r="BG229" s="83"/>
      <c r="BO229" s="86"/>
      <c r="BP229" s="87"/>
      <c r="BQ229" s="21"/>
      <c r="BT229" s="68"/>
      <c r="BU229" s="1"/>
    </row>
    <row r="230" spans="1:74" ht="20.25" customHeight="1" thickBot="1" x14ac:dyDescent="0.45">
      <c r="A230" s="1"/>
      <c r="B230" s="21"/>
      <c r="C230" s="148"/>
      <c r="D230" s="241" t="s">
        <v>82</v>
      </c>
      <c r="E230" s="242">
        <f>AVERAGE(G230,I230,K230,M230,O230,Q230)</f>
        <v>82.666666666666671</v>
      </c>
      <c r="F230" s="243"/>
      <c r="G230" s="244">
        <f>+G220+G221+G222+G223+G224+G225+G226+G227+G228</f>
        <v>82</v>
      </c>
      <c r="H230" s="244">
        <f t="shared" ref="H230:P230" si="478">+H220+H221+H222+H223+H224+H225+H226+H227+H228</f>
        <v>0</v>
      </c>
      <c r="I230" s="244">
        <f>+I220+I221+I222+I223+I224+I225+I226+I227+I228</f>
        <v>84</v>
      </c>
      <c r="J230" s="244">
        <f t="shared" si="478"/>
        <v>0</v>
      </c>
      <c r="K230" s="244">
        <f>+K220+K221+K222+K223+K224+K225+K226+K227+K228</f>
        <v>87</v>
      </c>
      <c r="L230" s="244">
        <f t="shared" si="478"/>
        <v>0</v>
      </c>
      <c r="M230" s="244">
        <f>+M220+M221+M222+M223+M224+M225+M226+M227+M228</f>
        <v>82</v>
      </c>
      <c r="N230" s="244">
        <f t="shared" si="478"/>
        <v>0</v>
      </c>
      <c r="O230" s="244">
        <f>+O220+O221+O222+O223+O224+O225+O226+O227+O228</f>
        <v>82</v>
      </c>
      <c r="P230" s="244">
        <f t="shared" si="478"/>
        <v>0</v>
      </c>
      <c r="Q230" s="245">
        <f>+Q220+Q221+Q222+Q223+Q224+Q225+Q226+Q227+Q228</f>
        <v>79</v>
      </c>
      <c r="S230" s="51"/>
      <c r="T230" s="11"/>
      <c r="U230" s="11"/>
      <c r="V230" s="52"/>
      <c r="W230" s="9"/>
      <c r="X230" s="9"/>
      <c r="Y230" s="9"/>
      <c r="Z230" s="9"/>
      <c r="AA230" s="42"/>
      <c r="AB230" s="9"/>
      <c r="AC230" s="9"/>
      <c r="AD230" s="9"/>
      <c r="AE230" s="9"/>
      <c r="AF230" s="42"/>
      <c r="AG230" s="9"/>
      <c r="AH230" s="9"/>
      <c r="AI230" s="9"/>
      <c r="AJ230" s="9"/>
      <c r="AK230" s="9"/>
      <c r="AL230" s="9"/>
      <c r="AM230" s="9"/>
      <c r="AN230" s="9"/>
      <c r="AO230" s="9"/>
      <c r="AP230" s="42"/>
      <c r="AQ230" s="9"/>
      <c r="AR230" s="9"/>
      <c r="AS230" s="9"/>
      <c r="AT230" s="9"/>
      <c r="AU230" s="42"/>
      <c r="AV230" s="9"/>
      <c r="AW230" s="9"/>
      <c r="AX230" s="9"/>
      <c r="AY230" s="9"/>
      <c r="AZ230" s="58"/>
      <c r="BA230" s="59"/>
      <c r="BG230" s="83"/>
      <c r="BO230" s="86"/>
      <c r="BP230" s="87"/>
      <c r="BQ230" s="21"/>
      <c r="BT230" s="68"/>
      <c r="BU230" s="1"/>
    </row>
    <row r="231" spans="1:74" ht="20.25" customHeight="1" thickBot="1" x14ac:dyDescent="0.45">
      <c r="A231" s="1"/>
      <c r="B231" s="21"/>
      <c r="C231" s="148"/>
      <c r="D231" s="246"/>
      <c r="E231" s="247" t="s">
        <v>83</v>
      </c>
      <c r="F231" s="248"/>
      <c r="G231" s="249">
        <v>0</v>
      </c>
      <c r="H231" s="249"/>
      <c r="I231" s="249">
        <v>0</v>
      </c>
      <c r="J231" s="249"/>
      <c r="K231" s="249">
        <v>0</v>
      </c>
      <c r="L231" s="249"/>
      <c r="M231" s="249">
        <v>0</v>
      </c>
      <c r="N231" s="249"/>
      <c r="O231" s="249">
        <v>0</v>
      </c>
      <c r="P231" s="250"/>
      <c r="Q231" s="251">
        <v>0</v>
      </c>
      <c r="S231" s="51"/>
      <c r="T231" s="11"/>
      <c r="U231" s="11"/>
      <c r="V231" s="52"/>
      <c r="W231" s="9"/>
      <c r="X231" s="9"/>
      <c r="Y231" s="9"/>
      <c r="Z231" s="9"/>
      <c r="AA231" s="42"/>
      <c r="AB231" s="9"/>
      <c r="AC231" s="9"/>
      <c r="AD231" s="9"/>
      <c r="AE231" s="9"/>
      <c r="AF231" s="42"/>
      <c r="AG231" s="9"/>
      <c r="AH231" s="9"/>
      <c r="AI231" s="9"/>
      <c r="AJ231" s="9"/>
      <c r="AK231" s="9"/>
      <c r="AL231" s="9"/>
      <c r="AM231" s="9"/>
      <c r="AN231" s="9"/>
      <c r="AO231" s="9"/>
      <c r="AP231" s="42"/>
      <c r="AQ231" s="9"/>
      <c r="AR231" s="9"/>
      <c r="AS231" s="9"/>
      <c r="AT231" s="9"/>
      <c r="AU231" s="42"/>
      <c r="AV231" s="9"/>
      <c r="AW231" s="9"/>
      <c r="AX231" s="9"/>
      <c r="AY231" s="9"/>
      <c r="AZ231" s="58"/>
      <c r="BA231" s="59"/>
      <c r="BG231" s="83"/>
      <c r="BO231" s="86"/>
      <c r="BP231" s="87"/>
      <c r="BQ231" s="21"/>
      <c r="BT231" s="68"/>
      <c r="BU231" s="1"/>
    </row>
    <row r="232" spans="1:74" ht="20.25" customHeight="1" thickBot="1" x14ac:dyDescent="0.45">
      <c r="A232" s="1"/>
      <c r="B232" s="21"/>
      <c r="C232" s="148"/>
      <c r="D232" s="252" t="s">
        <v>17</v>
      </c>
      <c r="E232" s="253">
        <f>AVERAGE(G232,I232,K232,M232,O232,Q232)</f>
        <v>82.666666666666671</v>
      </c>
      <c r="F232" s="254"/>
      <c r="G232" s="255">
        <f>+G230+G231</f>
        <v>82</v>
      </c>
      <c r="H232" s="256"/>
      <c r="I232" s="255">
        <f>+I230+I231</f>
        <v>84</v>
      </c>
      <c r="J232" s="256"/>
      <c r="K232" s="255">
        <f>+K230+K231</f>
        <v>87</v>
      </c>
      <c r="L232" s="256"/>
      <c r="M232" s="255">
        <f>+M230+M231</f>
        <v>82</v>
      </c>
      <c r="N232" s="255"/>
      <c r="O232" s="255">
        <f>+O230+O231</f>
        <v>82</v>
      </c>
      <c r="P232" s="256"/>
      <c r="Q232" s="257">
        <f>+Q220+Q221+Q222+Q223+Q224+Q225+Q226+Q227+Q228</f>
        <v>79</v>
      </c>
      <c r="S232" s="51"/>
      <c r="T232" s="11"/>
      <c r="U232" s="11"/>
      <c r="V232" s="52"/>
      <c r="W232" s="9"/>
      <c r="X232" s="9"/>
      <c r="Y232" s="9"/>
      <c r="Z232" s="9"/>
      <c r="AA232" s="42"/>
      <c r="AB232" s="9"/>
      <c r="AC232" s="9"/>
      <c r="AD232" s="9"/>
      <c r="AE232" s="9"/>
      <c r="AF232" s="42"/>
      <c r="AG232" s="9"/>
      <c r="AH232" s="9"/>
      <c r="AI232" s="9"/>
      <c r="AJ232" s="9"/>
      <c r="AK232" s="9"/>
      <c r="AL232" s="9"/>
      <c r="AM232" s="9"/>
      <c r="AN232" s="9"/>
      <c r="AO232" s="9"/>
      <c r="AP232" s="42"/>
      <c r="AQ232" s="9"/>
      <c r="AR232" s="9"/>
      <c r="AS232" s="9"/>
      <c r="AT232" s="9"/>
      <c r="AU232" s="42"/>
      <c r="AV232" s="9"/>
      <c r="AW232" s="9"/>
      <c r="AX232" s="9"/>
      <c r="AY232" s="9"/>
      <c r="AZ232" s="58"/>
      <c r="BA232" s="59"/>
      <c r="BG232" s="83"/>
      <c r="BO232" s="86"/>
      <c r="BP232" s="87"/>
      <c r="BQ232" s="21"/>
      <c r="BT232" s="68"/>
      <c r="BU232" s="1"/>
    </row>
    <row r="233" spans="1:74" ht="20.25" customHeight="1" x14ac:dyDescent="0.4">
      <c r="A233" s="1"/>
      <c r="B233" s="21"/>
      <c r="C233" s="148"/>
      <c r="D233" s="323"/>
      <c r="E233" s="324"/>
      <c r="F233" s="325"/>
      <c r="G233" s="42"/>
      <c r="H233" s="326"/>
      <c r="I233" s="42"/>
      <c r="J233" s="326"/>
      <c r="K233" s="42"/>
      <c r="L233" s="326"/>
      <c r="M233" s="42"/>
      <c r="N233" s="42"/>
      <c r="O233" s="42"/>
      <c r="P233" s="326"/>
      <c r="Q233" s="42"/>
      <c r="S233" s="51"/>
      <c r="T233" s="11"/>
      <c r="U233" s="11"/>
      <c r="V233" s="52"/>
      <c r="W233" s="9"/>
      <c r="X233" s="9"/>
      <c r="Y233" s="9"/>
      <c r="Z233" s="9"/>
      <c r="AA233" s="42"/>
      <c r="AB233" s="9"/>
      <c r="AC233" s="9"/>
      <c r="AD233" s="9"/>
      <c r="AE233" s="9"/>
      <c r="AF233" s="42"/>
      <c r="AG233" s="9"/>
      <c r="AH233" s="9"/>
      <c r="AI233" s="9"/>
      <c r="AJ233" s="9"/>
      <c r="AK233" s="9"/>
      <c r="AL233" s="9"/>
      <c r="AM233" s="9"/>
      <c r="AN233" s="9"/>
      <c r="AO233" s="9"/>
      <c r="AP233" s="42"/>
      <c r="AQ233" s="9"/>
      <c r="AR233" s="9"/>
      <c r="AS233" s="9"/>
      <c r="AT233" s="9"/>
      <c r="AU233" s="42"/>
      <c r="AV233" s="9"/>
      <c r="AW233" s="9"/>
      <c r="AX233" s="9"/>
      <c r="AY233" s="9"/>
      <c r="AZ233" s="58"/>
      <c r="BA233" s="59"/>
      <c r="BG233" s="83"/>
      <c r="BO233" s="86"/>
      <c r="BP233" s="87"/>
      <c r="BQ233" s="21"/>
      <c r="BT233" s="68"/>
      <c r="BU233" s="1"/>
    </row>
    <row r="234" spans="1:74" ht="20.25" customHeight="1" thickBot="1" x14ac:dyDescent="0.45">
      <c r="A234" s="1"/>
      <c r="B234" s="21"/>
      <c r="C234" s="148"/>
      <c r="D234" s="94"/>
      <c r="E234" s="8"/>
      <c r="F234" s="85"/>
      <c r="G234" s="8"/>
      <c r="H234" s="22"/>
      <c r="I234" s="8"/>
      <c r="J234" s="22"/>
      <c r="K234" s="8"/>
      <c r="L234" s="22"/>
      <c r="M234" s="8"/>
      <c r="N234" s="22"/>
      <c r="O234" s="8"/>
      <c r="P234" s="22"/>
      <c r="Q234" s="8"/>
      <c r="R234" s="82"/>
      <c r="S234" s="51"/>
      <c r="T234" s="11"/>
      <c r="U234" s="11"/>
      <c r="V234" s="52"/>
      <c r="W234" s="9"/>
      <c r="X234" s="9"/>
      <c r="Y234" s="9"/>
      <c r="Z234" s="9"/>
      <c r="AA234" s="42"/>
      <c r="AB234" s="9"/>
      <c r="AC234" s="9"/>
      <c r="AD234" s="9"/>
      <c r="AE234" s="9"/>
      <c r="AF234" s="42"/>
      <c r="AG234" s="9"/>
      <c r="AH234" s="9"/>
      <c r="AI234" s="9"/>
      <c r="AJ234" s="9"/>
      <c r="AK234" s="9"/>
      <c r="AL234" s="9"/>
      <c r="AM234" s="9"/>
      <c r="AN234" s="9"/>
      <c r="AO234" s="9"/>
      <c r="AP234" s="42"/>
      <c r="AQ234" s="9"/>
      <c r="AR234" s="9"/>
      <c r="AS234" s="9"/>
      <c r="AT234" s="9"/>
      <c r="AU234" s="42"/>
      <c r="AV234" s="9"/>
      <c r="AW234" s="9"/>
      <c r="AX234" s="9"/>
      <c r="AY234" s="9"/>
      <c r="AZ234" s="58"/>
      <c r="BA234" s="59"/>
      <c r="BG234" s="83"/>
      <c r="BO234" s="86"/>
      <c r="BP234" s="87"/>
      <c r="BQ234" s="21"/>
      <c r="BT234" s="68"/>
      <c r="BU234" s="1"/>
    </row>
    <row r="235" spans="1:74" customFormat="1" ht="15.75" customHeight="1" thickBot="1" x14ac:dyDescent="0.35">
      <c r="A235" s="1">
        <v>175</v>
      </c>
      <c r="B235" s="288"/>
      <c r="C235" s="289"/>
      <c r="D235" s="290" t="s">
        <v>112</v>
      </c>
      <c r="E235" s="291"/>
      <c r="F235" s="292"/>
      <c r="G235" s="289"/>
      <c r="H235" s="289"/>
      <c r="I235" s="289"/>
      <c r="J235" s="289"/>
      <c r="K235" s="289"/>
      <c r="L235" s="289"/>
      <c r="M235" s="289"/>
      <c r="N235" s="289"/>
      <c r="O235" s="289"/>
      <c r="P235" s="289"/>
      <c r="Q235" s="293"/>
      <c r="R235" s="294"/>
      <c r="S235" s="51"/>
      <c r="T235" s="11"/>
      <c r="U235" s="52"/>
      <c r="V235" s="52"/>
      <c r="W235" s="53">
        <f>(R235-86.16)/6*E235</f>
        <v>0</v>
      </c>
      <c r="X235" s="53">
        <f>$Y$2*E235*Q235</f>
        <v>0</v>
      </c>
      <c r="Y235" s="53">
        <f>$Y$2*E235*Q235</f>
        <v>0</v>
      </c>
      <c r="Z235" s="54">
        <f>Y235+X235+W235</f>
        <v>0</v>
      </c>
      <c r="AA235" s="295"/>
      <c r="AB235" s="53">
        <f>(R235-86.16)/6*G235</f>
        <v>0</v>
      </c>
      <c r="AC235" s="53">
        <f>$Y$2*G235*Q235</f>
        <v>0</v>
      </c>
      <c r="AD235" s="53">
        <f>$Y$2*G235*Q235</f>
        <v>0</v>
      </c>
      <c r="AE235" s="54">
        <f>AD235+AC235+AB235</f>
        <v>0</v>
      </c>
      <c r="AF235" s="296"/>
      <c r="AG235" s="53">
        <f>(R235-86.16)/6*I235</f>
        <v>0</v>
      </c>
      <c r="AH235" s="53">
        <f>$Y$2*I235*Q235</f>
        <v>0</v>
      </c>
      <c r="AI235" s="53">
        <f>$Y$2*I235*Q235</f>
        <v>0</v>
      </c>
      <c r="AJ235" s="54">
        <f>AI235+AH235+AG235</f>
        <v>0</v>
      </c>
      <c r="AK235" s="57"/>
      <c r="AL235" s="53">
        <f>(R235-86.16)/6*K235</f>
        <v>0</v>
      </c>
      <c r="AM235" s="53">
        <f>$Y$2*K235*Q235</f>
        <v>0</v>
      </c>
      <c r="AN235" s="53">
        <f>$Y$2*K235*Q235</f>
        <v>0</v>
      </c>
      <c r="AO235" s="54">
        <f>AN235+AM235+AL235</f>
        <v>0</v>
      </c>
      <c r="AP235" s="296"/>
      <c r="AQ235" s="53">
        <f>(R235-86.16)/6*M235</f>
        <v>0</v>
      </c>
      <c r="AR235" s="53">
        <f>$Y$2*M235*Q235</f>
        <v>0</v>
      </c>
      <c r="AS235" s="53">
        <f>$Y$2*M235*Q235</f>
        <v>0</v>
      </c>
      <c r="AT235" s="54">
        <f>AS235+AR235+AQ235</f>
        <v>0</v>
      </c>
      <c r="AU235" s="296"/>
      <c r="AV235" s="53">
        <f>(R235-86.16)/6*O235</f>
        <v>0</v>
      </c>
      <c r="AW235" s="53">
        <f>$Y$2*O235*Q235</f>
        <v>0</v>
      </c>
      <c r="AX235" s="53">
        <f>$Y$2*O235*Q235</f>
        <v>0</v>
      </c>
      <c r="AY235" s="54">
        <f>AX235+AW235+AV235</f>
        <v>0</v>
      </c>
      <c r="AZ235" s="297"/>
      <c r="BA235" s="298"/>
      <c r="BB235" s="299"/>
      <c r="BC235" s="299"/>
      <c r="BD235" s="299"/>
      <c r="BE235" s="300"/>
      <c r="BF235" s="301"/>
      <c r="BG235" s="302"/>
      <c r="BH235" s="302"/>
      <c r="BI235" s="302"/>
      <c r="BJ235" s="302"/>
      <c r="BK235" s="302"/>
      <c r="BL235" s="302"/>
      <c r="BM235" s="302"/>
      <c r="BN235" s="302"/>
      <c r="BO235" s="302"/>
      <c r="BP235" s="303"/>
      <c r="BQ235" s="304"/>
      <c r="BR235" s="305"/>
      <c r="BS235" s="74"/>
      <c r="BT235" s="74"/>
      <c r="BV235" s="1">
        <v>175</v>
      </c>
    </row>
    <row r="236" spans="1:74" customFormat="1" ht="15" customHeight="1" thickBot="1" x14ac:dyDescent="0.35">
      <c r="A236" s="1">
        <v>351</v>
      </c>
      <c r="B236" s="306"/>
      <c r="C236" s="307">
        <v>55</v>
      </c>
      <c r="D236" s="308" t="s">
        <v>168</v>
      </c>
      <c r="E236" s="309">
        <v>0</v>
      </c>
      <c r="F236" s="310"/>
      <c r="G236" s="309">
        <v>0</v>
      </c>
      <c r="H236" s="310"/>
      <c r="I236" s="309">
        <v>0</v>
      </c>
      <c r="J236" s="310"/>
      <c r="K236" s="309">
        <v>0</v>
      </c>
      <c r="L236" s="310"/>
      <c r="M236" s="309">
        <v>0</v>
      </c>
      <c r="N236" s="310"/>
      <c r="O236" s="309">
        <v>0</v>
      </c>
      <c r="P236" s="310"/>
      <c r="Q236" s="309">
        <f>IF((E236+G236+I236+K236+M236+O236)=6,1,0)</f>
        <v>0</v>
      </c>
      <c r="R236" s="50"/>
      <c r="S236" s="51">
        <f>+BF236</f>
        <v>0</v>
      </c>
      <c r="T236" s="11">
        <f>+BA236</f>
        <v>2700</v>
      </c>
      <c r="U236" s="52">
        <f>+BP236</f>
        <v>0</v>
      </c>
      <c r="V236" s="52" t="str">
        <f>+BE236</f>
        <v>FIN 2/2</v>
      </c>
      <c r="W236" s="53">
        <f>(R236-86.16)/6*E236</f>
        <v>0</v>
      </c>
      <c r="X236" s="53">
        <f>$Y$2*E236*Q236</f>
        <v>0</v>
      </c>
      <c r="Y236" s="53">
        <f>$Y$2*E236*Q236</f>
        <v>0</v>
      </c>
      <c r="Z236" s="54">
        <f>Y236+X236+W236</f>
        <v>0</v>
      </c>
      <c r="AA236" s="295"/>
      <c r="AB236" s="53">
        <f>(R236-86.16)/6*G236</f>
        <v>0</v>
      </c>
      <c r="AC236" s="53">
        <f>$Y$2*G236*Q236</f>
        <v>0</v>
      </c>
      <c r="AD236" s="53">
        <f>$Y$2*G236*Q236</f>
        <v>0</v>
      </c>
      <c r="AE236" s="54">
        <f>AD236+AC236+AB236</f>
        <v>0</v>
      </c>
      <c r="AF236" s="296"/>
      <c r="AG236" s="53">
        <f>(R236-86.16)/6*I236</f>
        <v>0</v>
      </c>
      <c r="AH236" s="53">
        <f>$Y$2*I236*Q236</f>
        <v>0</v>
      </c>
      <c r="AI236" s="53">
        <f>$Y$2*I236*Q236</f>
        <v>0</v>
      </c>
      <c r="AJ236" s="54">
        <f>AI236+AH236+AG236</f>
        <v>0</v>
      </c>
      <c r="AK236" s="57"/>
      <c r="AL236" s="53">
        <f>(R236-86.16)/6*K236</f>
        <v>0</v>
      </c>
      <c r="AM236" s="53">
        <f>$Y$2*K236*Q236</f>
        <v>0</v>
      </c>
      <c r="AN236" s="53">
        <f>$Y$2*K236*Q236</f>
        <v>0</v>
      </c>
      <c r="AO236" s="54">
        <f>AN236+AM236+AL236</f>
        <v>0</v>
      </c>
      <c r="AP236" s="296"/>
      <c r="AQ236" s="53">
        <f>(R236-86.16)/6*M236</f>
        <v>0</v>
      </c>
      <c r="AR236" s="53">
        <f>$Y$2*M236*Q236</f>
        <v>0</v>
      </c>
      <c r="AS236" s="53">
        <f>$Y$2*M236*Q236</f>
        <v>0</v>
      </c>
      <c r="AT236" s="54">
        <f>AS236+AR236+AQ236</f>
        <v>0</v>
      </c>
      <c r="AU236" s="296"/>
      <c r="AV236" s="53">
        <f>(R236-86.16)/6*O236</f>
        <v>0</v>
      </c>
      <c r="AW236" s="53">
        <f>$Y$2*O236*Q236</f>
        <v>0</v>
      </c>
      <c r="AX236" s="53">
        <f>$Y$2*O236*Q236</f>
        <v>0</v>
      </c>
      <c r="AY236" s="54">
        <f>AX236+AW236+AV236</f>
        <v>0</v>
      </c>
      <c r="AZ236" s="297">
        <f>+AY236+AT236+AO236++AJ236+AE236+Z236</f>
        <v>0</v>
      </c>
      <c r="BA236" s="298">
        <v>2700</v>
      </c>
      <c r="BB236" s="311"/>
      <c r="BC236" s="311"/>
      <c r="BD236" s="311"/>
      <c r="BE236" s="312" t="s">
        <v>169</v>
      </c>
      <c r="BF236" s="313"/>
      <c r="BG236" s="314"/>
      <c r="BH236" s="314"/>
      <c r="BI236" s="314"/>
      <c r="BJ236" s="314"/>
      <c r="BK236" s="314"/>
      <c r="BL236" s="315"/>
      <c r="BM236" s="316"/>
      <c r="BN236" s="302"/>
      <c r="BO236" s="314"/>
      <c r="BP236" s="317"/>
      <c r="BQ236" s="305"/>
      <c r="BR236" s="9"/>
      <c r="BV236" s="1">
        <v>351</v>
      </c>
    </row>
    <row r="237" spans="1:74" customFormat="1" ht="15" customHeight="1" thickBot="1" x14ac:dyDescent="0.35">
      <c r="A237" s="1">
        <v>351</v>
      </c>
      <c r="B237" s="306"/>
      <c r="C237" s="307">
        <v>31</v>
      </c>
      <c r="D237" s="308" t="s">
        <v>171</v>
      </c>
      <c r="E237" s="309">
        <v>0</v>
      </c>
      <c r="F237" s="310"/>
      <c r="G237" s="309">
        <v>0</v>
      </c>
      <c r="H237" s="310"/>
      <c r="I237" s="309">
        <v>0</v>
      </c>
      <c r="J237" s="310"/>
      <c r="K237" s="309">
        <v>0</v>
      </c>
      <c r="L237" s="310"/>
      <c r="M237" s="309">
        <v>0</v>
      </c>
      <c r="N237" s="310"/>
      <c r="O237" s="309">
        <v>0</v>
      </c>
      <c r="P237" s="310"/>
      <c r="Q237" s="309">
        <f>IF((E237+G237+I237+K237+M237+O237)=6,1,0)</f>
        <v>0</v>
      </c>
      <c r="R237" s="50"/>
      <c r="S237" s="51">
        <f>+BF237</f>
        <v>0</v>
      </c>
      <c r="T237" s="11">
        <f t="shared" ref="T237:T239" si="479">+BA237</f>
        <v>4457.1400000000003</v>
      </c>
      <c r="U237" s="52">
        <f>+BP237</f>
        <v>0</v>
      </c>
      <c r="V237" s="52" t="str">
        <f>+BE237</f>
        <v>FIN  1/2</v>
      </c>
      <c r="W237" s="53">
        <f>(R237-86.16)/6*E237</f>
        <v>0</v>
      </c>
      <c r="X237" s="53">
        <f>$Y$2*E237*Q237</f>
        <v>0</v>
      </c>
      <c r="Y237" s="53">
        <f>$Y$2*E237*Q237</f>
        <v>0</v>
      </c>
      <c r="Z237" s="54">
        <f>Y237+X237+W237</f>
        <v>0</v>
      </c>
      <c r="AA237" s="295"/>
      <c r="AB237" s="53">
        <f>(R237-86.16)/6*G237</f>
        <v>0</v>
      </c>
      <c r="AC237" s="53">
        <f>$Y$2*G237*Q237</f>
        <v>0</v>
      </c>
      <c r="AD237" s="53">
        <f>$Y$2*G237*Q237</f>
        <v>0</v>
      </c>
      <c r="AE237" s="54">
        <f>AD237+AC237+AB237</f>
        <v>0</v>
      </c>
      <c r="AF237" s="296"/>
      <c r="AG237" s="53">
        <f>(R237-86.16)/6*I237</f>
        <v>0</v>
      </c>
      <c r="AH237" s="53">
        <f>$Y$2*I237*Q237</f>
        <v>0</v>
      </c>
      <c r="AI237" s="53">
        <f>$Y$2*I237*Q237</f>
        <v>0</v>
      </c>
      <c r="AJ237" s="54">
        <f>AI237+AH237+AG237</f>
        <v>0</v>
      </c>
      <c r="AK237" s="57"/>
      <c r="AL237" s="53">
        <f>(R237-86.16)/6*K237</f>
        <v>0</v>
      </c>
      <c r="AM237" s="53">
        <f>$Y$2*K237*Q237</f>
        <v>0</v>
      </c>
      <c r="AN237" s="53">
        <f>$Y$2*K237*Q237</f>
        <v>0</v>
      </c>
      <c r="AO237" s="54">
        <f>AN237+AM237+AL237</f>
        <v>0</v>
      </c>
      <c r="AP237" s="296"/>
      <c r="AQ237" s="53">
        <f>(R237-86.16)/6*M237</f>
        <v>0</v>
      </c>
      <c r="AR237" s="53">
        <f>$Y$2*M237*Q237</f>
        <v>0</v>
      </c>
      <c r="AS237" s="53">
        <f>$Y$2*M237*Q237</f>
        <v>0</v>
      </c>
      <c r="AT237" s="54">
        <f>AS237+AR237+AQ237</f>
        <v>0</v>
      </c>
      <c r="AU237" s="296"/>
      <c r="AV237" s="53">
        <f>(R237-86.16)/6*O237</f>
        <v>0</v>
      </c>
      <c r="AW237" s="53">
        <f>$Y$2*O237*Q237</f>
        <v>0</v>
      </c>
      <c r="AX237" s="53">
        <f>$Y$2*O237*Q237</f>
        <v>0</v>
      </c>
      <c r="AY237" s="54">
        <f>AX237+AW237+AV237</f>
        <v>0</v>
      </c>
      <c r="AZ237" s="297">
        <f t="shared" ref="AZ237" si="480">+AY237+AT237+AO237++AJ237+AE237+Z237</f>
        <v>0</v>
      </c>
      <c r="BA237" s="298">
        <v>4457.1400000000003</v>
      </c>
      <c r="BB237" s="311"/>
      <c r="BC237" s="311"/>
      <c r="BD237" s="311"/>
      <c r="BE237" s="312" t="s">
        <v>172</v>
      </c>
      <c r="BF237" s="313"/>
      <c r="BG237" s="314"/>
      <c r="BH237" s="314"/>
      <c r="BI237" s="314"/>
      <c r="BJ237" s="314"/>
      <c r="BK237" s="314"/>
      <c r="BL237" s="315"/>
      <c r="BM237" s="316"/>
      <c r="BN237" s="302"/>
      <c r="BO237" s="314"/>
      <c r="BP237" s="317"/>
      <c r="BQ237" s="305"/>
      <c r="BR237" s="9"/>
      <c r="BV237" s="1">
        <v>351</v>
      </c>
    </row>
    <row r="238" spans="1:74" customFormat="1" ht="15" customHeight="1" thickBot="1" x14ac:dyDescent="0.35">
      <c r="A238" s="1">
        <v>351</v>
      </c>
      <c r="B238" s="306"/>
      <c r="C238" s="307"/>
      <c r="D238" s="308"/>
      <c r="E238" s="309">
        <v>0</v>
      </c>
      <c r="F238" s="310"/>
      <c r="G238" s="309">
        <v>0</v>
      </c>
      <c r="H238" s="310"/>
      <c r="I238" s="309">
        <v>0</v>
      </c>
      <c r="J238" s="310"/>
      <c r="K238" s="309">
        <v>0</v>
      </c>
      <c r="L238" s="310"/>
      <c r="M238" s="309">
        <v>0</v>
      </c>
      <c r="N238" s="310"/>
      <c r="O238" s="309">
        <v>0</v>
      </c>
      <c r="P238" s="310"/>
      <c r="Q238" s="309">
        <f>IF((E238+G238+I238+K238+M238+O238)=6,1,0)</f>
        <v>0</v>
      </c>
      <c r="R238" s="50"/>
      <c r="S238" s="51">
        <f>+BF238</f>
        <v>0</v>
      </c>
      <c r="T238" s="11">
        <f t="shared" si="479"/>
        <v>0</v>
      </c>
      <c r="U238" s="52">
        <f>+BP238</f>
        <v>0</v>
      </c>
      <c r="V238" s="52">
        <f>+BE238</f>
        <v>0</v>
      </c>
      <c r="W238" s="53">
        <f>(R238-86.16)/6*E238</f>
        <v>0</v>
      </c>
      <c r="X238" s="53">
        <f>$Y$2*E238*Q238</f>
        <v>0</v>
      </c>
      <c r="Y238" s="53">
        <f>$Y$2*E238*Q238</f>
        <v>0</v>
      </c>
      <c r="Z238" s="54">
        <f>Y238+X238+W238</f>
        <v>0</v>
      </c>
      <c r="AA238" s="295"/>
      <c r="AB238" s="53">
        <f>(R238-86.16)/6*G238</f>
        <v>0</v>
      </c>
      <c r="AC238" s="53">
        <f>$Y$2*G238*Q238</f>
        <v>0</v>
      </c>
      <c r="AD238" s="53">
        <f>$Y$2*G238*Q238</f>
        <v>0</v>
      </c>
      <c r="AE238" s="54">
        <f>AD238+AC238+AB238</f>
        <v>0</v>
      </c>
      <c r="AF238" s="296"/>
      <c r="AG238" s="53">
        <f>(R238-86.16)/6*I238</f>
        <v>0</v>
      </c>
      <c r="AH238" s="53">
        <f>$Y$2*I238*Q238</f>
        <v>0</v>
      </c>
      <c r="AI238" s="53">
        <f>$Y$2*I238*Q238</f>
        <v>0</v>
      </c>
      <c r="AJ238" s="54">
        <f>AI238+AH238+AG238</f>
        <v>0</v>
      </c>
      <c r="AK238" s="57"/>
      <c r="AL238" s="53">
        <f>(R238-86.16)/6*K238</f>
        <v>0</v>
      </c>
      <c r="AM238" s="53">
        <f>$Y$2*K238*Q238</f>
        <v>0</v>
      </c>
      <c r="AN238" s="53">
        <f>$Y$2*K238*Q238</f>
        <v>0</v>
      </c>
      <c r="AO238" s="54">
        <f>AN238+AM238+AL238</f>
        <v>0</v>
      </c>
      <c r="AP238" s="296"/>
      <c r="AQ238" s="53">
        <f>(R238-86.16)/6*M238</f>
        <v>0</v>
      </c>
      <c r="AR238" s="53">
        <f>$Y$2*M238*Q238</f>
        <v>0</v>
      </c>
      <c r="AS238" s="53">
        <f>$Y$2*M238*Q238</f>
        <v>0</v>
      </c>
      <c r="AT238" s="54">
        <f>AS238+AR238+AQ238</f>
        <v>0</v>
      </c>
      <c r="AU238" s="296"/>
      <c r="AV238" s="53">
        <f>(R238-86.16)/6*O238</f>
        <v>0</v>
      </c>
      <c r="AW238" s="53">
        <f>$Y$2*O238*Q238</f>
        <v>0</v>
      </c>
      <c r="AX238" s="53">
        <f>$Y$2*O238*Q238</f>
        <v>0</v>
      </c>
      <c r="AY238" s="54">
        <f>AX238+AW238+AV238</f>
        <v>0</v>
      </c>
      <c r="AZ238" s="297">
        <f>+AY238+AT238+AO238++AJ238+AE238+Z238</f>
        <v>0</v>
      </c>
      <c r="BA238" s="298"/>
      <c r="BB238" s="311"/>
      <c r="BC238" s="311"/>
      <c r="BD238" s="311"/>
      <c r="BE238" s="312"/>
      <c r="BF238" s="313"/>
      <c r="BG238" s="314"/>
      <c r="BH238" s="314"/>
      <c r="BI238" s="314"/>
      <c r="BJ238" s="314"/>
      <c r="BK238" s="314"/>
      <c r="BL238" s="315"/>
      <c r="BM238" s="316"/>
      <c r="BN238" s="302"/>
      <c r="BO238" s="314"/>
      <c r="BP238" s="317"/>
      <c r="BQ238" s="305"/>
      <c r="BR238" s="9"/>
      <c r="BV238" s="1">
        <v>351</v>
      </c>
    </row>
    <row r="239" spans="1:74" customFormat="1" ht="15" customHeight="1" thickBot="1" x14ac:dyDescent="0.35">
      <c r="A239" s="1">
        <v>351</v>
      </c>
      <c r="B239" s="318"/>
      <c r="C239" s="319"/>
      <c r="D239" s="320"/>
      <c r="E239" s="321">
        <v>0</v>
      </c>
      <c r="F239" s="322"/>
      <c r="G239" s="321">
        <v>0</v>
      </c>
      <c r="H239" s="322"/>
      <c r="I239" s="321">
        <v>0</v>
      </c>
      <c r="J239" s="322"/>
      <c r="K239" s="321">
        <v>0</v>
      </c>
      <c r="L239" s="322"/>
      <c r="M239" s="321">
        <v>0</v>
      </c>
      <c r="N239" s="322"/>
      <c r="O239" s="321">
        <v>0</v>
      </c>
      <c r="P239" s="322"/>
      <c r="Q239" s="321">
        <f>IF((E239+G239+I239+K239+M239+O239)=6,1,0)</f>
        <v>0</v>
      </c>
      <c r="R239" s="127"/>
      <c r="S239" s="51">
        <f>+BF239</f>
        <v>0</v>
      </c>
      <c r="T239" s="11">
        <f t="shared" si="479"/>
        <v>0</v>
      </c>
      <c r="U239" s="52">
        <f>+BP239</f>
        <v>0</v>
      </c>
      <c r="V239" s="52">
        <f>+BE239</f>
        <v>0</v>
      </c>
      <c r="W239" s="53">
        <f>(R239-86.16)/6*E239</f>
        <v>0</v>
      </c>
      <c r="X239" s="53">
        <f>$Y$2*E239*Q239</f>
        <v>0</v>
      </c>
      <c r="Y239" s="53">
        <f>$Y$2*E239*Q239</f>
        <v>0</v>
      </c>
      <c r="Z239" s="54">
        <f>Y239+X239+W239</f>
        <v>0</v>
      </c>
      <c r="AA239" s="295"/>
      <c r="AB239" s="53">
        <f>(R239-86.16)/6*G239</f>
        <v>0</v>
      </c>
      <c r="AC239" s="53">
        <f>$Y$2*G239*Q239</f>
        <v>0</v>
      </c>
      <c r="AD239" s="53">
        <f>$Y$2*G239*Q239</f>
        <v>0</v>
      </c>
      <c r="AE239" s="54">
        <f>AD239+AC239+AB239</f>
        <v>0</v>
      </c>
      <c r="AF239" s="296"/>
      <c r="AG239" s="53">
        <f>(R239-86.16)/6*I239</f>
        <v>0</v>
      </c>
      <c r="AH239" s="53">
        <f>$Y$2*I239*Q239</f>
        <v>0</v>
      </c>
      <c r="AI239" s="53">
        <f>$Y$2*I239*Q239</f>
        <v>0</v>
      </c>
      <c r="AJ239" s="54">
        <f>AI239+AH239+AG239</f>
        <v>0</v>
      </c>
      <c r="AK239" s="57"/>
      <c r="AL239" s="53">
        <f>(R239-86.16)/6*K239</f>
        <v>0</v>
      </c>
      <c r="AM239" s="53">
        <f>$Y$2*K239*Q239</f>
        <v>0</v>
      </c>
      <c r="AN239" s="53">
        <f>$Y$2*K239*Q239</f>
        <v>0</v>
      </c>
      <c r="AO239" s="54">
        <f>AN239+AM239+AL239</f>
        <v>0</v>
      </c>
      <c r="AP239" s="296"/>
      <c r="AQ239" s="53">
        <f>(R239-86.16)/6*M239</f>
        <v>0</v>
      </c>
      <c r="AR239" s="53">
        <f>$Y$2*M239*Q239</f>
        <v>0</v>
      </c>
      <c r="AS239" s="53">
        <f>$Y$2*M239*Q239</f>
        <v>0</v>
      </c>
      <c r="AT239" s="54">
        <f>AS239+AR239+AQ239</f>
        <v>0</v>
      </c>
      <c r="AU239" s="296"/>
      <c r="AV239" s="53">
        <f>(R239-86.16)/6*O239</f>
        <v>0</v>
      </c>
      <c r="AW239" s="53">
        <f>$Y$2*O239*Q239</f>
        <v>0</v>
      </c>
      <c r="AX239" s="53">
        <f>$Y$2*O239*Q239</f>
        <v>0</v>
      </c>
      <c r="AY239" s="54">
        <f>AX239+AW239+AV239</f>
        <v>0</v>
      </c>
      <c r="AZ239" s="297">
        <f>+AY239+AT239+AO239++AJ239+AE239+Z239</f>
        <v>0</v>
      </c>
      <c r="BA239" s="298"/>
      <c r="BB239" s="311"/>
      <c r="BC239" s="311"/>
      <c r="BD239" s="311"/>
      <c r="BE239" s="312"/>
      <c r="BF239" s="313"/>
      <c r="BG239" s="314"/>
      <c r="BH239" s="314"/>
      <c r="BI239" s="314"/>
      <c r="BJ239" s="314"/>
      <c r="BK239" s="314"/>
      <c r="BL239" s="315"/>
      <c r="BM239" s="316"/>
      <c r="BN239" s="302"/>
      <c r="BO239" s="314"/>
      <c r="BP239" s="317"/>
      <c r="BQ239" s="305"/>
      <c r="BR239" s="9"/>
      <c r="BV239" s="1">
        <v>351</v>
      </c>
    </row>
    <row r="240" spans="1:74" customFormat="1" ht="15" customHeight="1" x14ac:dyDescent="0.3">
      <c r="A240" s="1"/>
      <c r="B240" s="327"/>
      <c r="C240" s="327"/>
      <c r="D240" s="328"/>
      <c r="E240" s="329"/>
      <c r="F240" s="330"/>
      <c r="G240" s="329"/>
      <c r="H240" s="330"/>
      <c r="I240" s="329"/>
      <c r="J240" s="330"/>
      <c r="K240" s="329"/>
      <c r="L240" s="330"/>
      <c r="M240" s="329"/>
      <c r="N240" s="330"/>
      <c r="O240" s="329"/>
      <c r="P240" s="330"/>
      <c r="Q240" s="329"/>
      <c r="R240" s="82"/>
      <c r="S240" s="51"/>
      <c r="T240" s="11"/>
      <c r="U240" s="52"/>
      <c r="V240" s="52"/>
      <c r="W240" s="9"/>
      <c r="X240" s="9"/>
      <c r="Y240" s="9"/>
      <c r="Z240" s="9"/>
      <c r="AA240" s="331"/>
      <c r="AB240" s="9"/>
      <c r="AC240" s="9"/>
      <c r="AD240" s="9"/>
      <c r="AE240" s="9"/>
      <c r="AF240" s="331"/>
      <c r="AG240" s="9"/>
      <c r="AH240" s="9"/>
      <c r="AI240" s="9"/>
      <c r="AJ240" s="9"/>
      <c r="AK240" s="9"/>
      <c r="AL240" s="9"/>
      <c r="AM240" s="9"/>
      <c r="AN240" s="9"/>
      <c r="AO240" s="9"/>
      <c r="AP240" s="331"/>
      <c r="AQ240" s="9"/>
      <c r="AR240" s="9"/>
      <c r="AS240" s="9"/>
      <c r="AT240" s="9"/>
      <c r="AU240" s="331"/>
      <c r="AV240" s="9"/>
      <c r="AW240" s="9"/>
      <c r="AX240" s="9"/>
      <c r="AY240" s="9"/>
      <c r="AZ240" s="297"/>
      <c r="BA240" s="298"/>
      <c r="BB240" s="332"/>
      <c r="BC240" s="332"/>
      <c r="BD240" s="332"/>
      <c r="BE240" s="333"/>
      <c r="BF240" s="313"/>
      <c r="BG240" s="314"/>
      <c r="BH240" s="314"/>
      <c r="BI240" s="314"/>
      <c r="BJ240" s="314"/>
      <c r="BK240" s="314"/>
      <c r="BL240" s="315"/>
      <c r="BM240" s="316"/>
      <c r="BN240" s="302"/>
      <c r="BO240" s="314"/>
      <c r="BP240" s="317"/>
      <c r="BQ240" s="305"/>
      <c r="BR240" s="9"/>
      <c r="BV240" s="1"/>
    </row>
    <row r="241" spans="1:74" customFormat="1" ht="15" customHeight="1" x14ac:dyDescent="0.3">
      <c r="A241" s="1"/>
      <c r="B241" s="327"/>
      <c r="C241" s="327"/>
      <c r="D241" s="328"/>
      <c r="E241" s="329"/>
      <c r="F241" s="330"/>
      <c r="G241" s="329"/>
      <c r="H241" s="330"/>
      <c r="I241" s="329"/>
      <c r="J241" s="330"/>
      <c r="K241" s="329"/>
      <c r="L241" s="330"/>
      <c r="M241" s="329"/>
      <c r="N241" s="330"/>
      <c r="O241" s="329"/>
      <c r="P241" s="330"/>
      <c r="Q241" s="329"/>
      <c r="R241" s="82"/>
      <c r="S241" s="51"/>
      <c r="T241" s="11"/>
      <c r="U241" s="52"/>
      <c r="V241" s="52"/>
      <c r="W241" s="9"/>
      <c r="X241" s="9"/>
      <c r="Y241" s="9"/>
      <c r="Z241" s="9"/>
      <c r="AA241" s="331"/>
      <c r="AB241" s="9"/>
      <c r="AC241" s="9"/>
      <c r="AD241" s="9"/>
      <c r="AE241" s="9"/>
      <c r="AF241" s="331"/>
      <c r="AG241" s="9"/>
      <c r="AH241" s="9"/>
      <c r="AI241" s="9"/>
      <c r="AJ241" s="9"/>
      <c r="AK241" s="9"/>
      <c r="AL241" s="9"/>
      <c r="AM241" s="9"/>
      <c r="AN241" s="9"/>
      <c r="AO241" s="9"/>
      <c r="AP241" s="331"/>
      <c r="AQ241" s="9"/>
      <c r="AR241" s="9"/>
      <c r="AS241" s="9"/>
      <c r="AT241" s="9"/>
      <c r="AU241" s="331"/>
      <c r="AV241" s="9"/>
      <c r="AW241" s="9"/>
      <c r="AX241" s="9"/>
      <c r="AY241" s="9"/>
      <c r="AZ241" s="297"/>
      <c r="BA241" s="298"/>
      <c r="BB241" s="332"/>
      <c r="BC241" s="332"/>
      <c r="BD241" s="332"/>
      <c r="BE241" s="333"/>
      <c r="BF241" s="313"/>
      <c r="BG241" s="314"/>
      <c r="BH241" s="314"/>
      <c r="BI241" s="314"/>
      <c r="BJ241" s="314"/>
      <c r="BK241" s="314"/>
      <c r="BL241" s="315"/>
      <c r="BM241" s="316"/>
      <c r="BN241" s="302"/>
      <c r="BO241" s="314"/>
      <c r="BP241" s="317"/>
      <c r="BQ241" s="305"/>
      <c r="BR241" s="9"/>
      <c r="BV241" s="1"/>
    </row>
    <row r="242" spans="1:74" ht="20.25" customHeight="1" thickBot="1" x14ac:dyDescent="0.45">
      <c r="A242" s="1">
        <v>553</v>
      </c>
      <c r="C242" s="148"/>
      <c r="D242" s="149"/>
      <c r="E242" s="150"/>
      <c r="F242" s="151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15"/>
      <c r="S242" s="153"/>
      <c r="T242" s="11"/>
      <c r="U242" s="11"/>
      <c r="W242" s="155"/>
      <c r="X242" s="155"/>
      <c r="Y242" s="155"/>
      <c r="Z242" s="155"/>
      <c r="AA242" s="155"/>
      <c r="AB242" s="155"/>
      <c r="AC242" s="155"/>
      <c r="AD242" s="155"/>
      <c r="AE242" s="155"/>
      <c r="AF242" s="155"/>
      <c r="AG242" s="155"/>
      <c r="AH242" s="155"/>
      <c r="AI242" s="155"/>
      <c r="AJ242" s="155"/>
      <c r="AK242" s="155"/>
      <c r="AL242" s="155"/>
      <c r="AM242" s="155"/>
      <c r="AN242" s="155"/>
      <c r="AO242" s="155"/>
      <c r="AP242" s="155"/>
      <c r="AQ242" s="155"/>
      <c r="AR242" s="155"/>
      <c r="AS242" s="155"/>
      <c r="AT242" s="155"/>
      <c r="AU242" s="155"/>
      <c r="AV242" s="155"/>
      <c r="AW242" s="155"/>
      <c r="AX242" s="155"/>
      <c r="AY242" s="155"/>
      <c r="AZ242" s="99"/>
      <c r="BA242" s="99"/>
      <c r="BE242" s="86"/>
      <c r="BF242" s="86"/>
      <c r="BG242" s="86"/>
      <c r="BH242" s="86"/>
      <c r="BJ242" s="86"/>
      <c r="BK242" s="86"/>
      <c r="BL242" s="86"/>
      <c r="BM242" s="86"/>
      <c r="BN242" s="86"/>
      <c r="BO242" s="156"/>
      <c r="BP242" s="87"/>
      <c r="BQ242" s="21"/>
      <c r="BR242" s="153"/>
      <c r="BS242" s="153"/>
      <c r="BT242" s="68"/>
      <c r="BU242" s="1">
        <v>553</v>
      </c>
    </row>
    <row r="243" spans="1:74" ht="15.75" customHeight="1" x14ac:dyDescent="0.4">
      <c r="A243" s="1">
        <v>554</v>
      </c>
      <c r="B243" s="822" t="s">
        <v>73</v>
      </c>
      <c r="C243" s="823"/>
      <c r="D243" s="823"/>
      <c r="E243" s="823"/>
      <c r="F243" s="824"/>
      <c r="G243" s="68"/>
      <c r="H243" s="822" t="s">
        <v>74</v>
      </c>
      <c r="I243" s="823"/>
      <c r="J243" s="823"/>
      <c r="K243" s="823"/>
      <c r="L243" s="823"/>
      <c r="M243" s="823"/>
      <c r="N243" s="823"/>
      <c r="O243" s="823"/>
      <c r="P243" s="824"/>
      <c r="Q243" s="22"/>
      <c r="R243" s="157"/>
      <c r="S243" s="153"/>
      <c r="T243" s="158"/>
      <c r="U243" s="153"/>
      <c r="W243" s="159"/>
      <c r="X243" s="159"/>
      <c r="Y243" s="159"/>
      <c r="Z243" s="159"/>
      <c r="AA243" s="159"/>
      <c r="AB243" s="159"/>
      <c r="AC243" s="159"/>
      <c r="AD243" s="159"/>
      <c r="AE243" s="159"/>
      <c r="AF243" s="159"/>
      <c r="AG243" s="159"/>
      <c r="AH243" s="159"/>
      <c r="AI243" s="159"/>
      <c r="AJ243" s="159"/>
      <c r="AK243" s="159"/>
      <c r="AL243" s="159"/>
      <c r="AM243" s="159"/>
      <c r="AN243" s="159"/>
      <c r="AO243" s="159"/>
      <c r="AP243" s="159"/>
      <c r="AQ243" s="159"/>
      <c r="AR243" s="159"/>
      <c r="AS243" s="159"/>
      <c r="AT243" s="159"/>
      <c r="AU243" s="159"/>
      <c r="AV243" s="159"/>
      <c r="AW243" s="159"/>
      <c r="AX243" s="159"/>
      <c r="AY243" s="159"/>
      <c r="AZ243" s="99"/>
      <c r="BA243" s="99"/>
      <c r="BE243" s="86"/>
      <c r="BF243" s="86"/>
      <c r="BG243" s="86"/>
      <c r="BH243" s="86"/>
      <c r="BI243" s="86"/>
      <c r="BJ243" s="86"/>
      <c r="BK243" s="86"/>
      <c r="BL243" s="86"/>
      <c r="BM243" s="86"/>
      <c r="BN243" s="86"/>
      <c r="BO243" s="156"/>
      <c r="BP243" s="21"/>
      <c r="BQ243" s="74"/>
      <c r="BR243" s="68"/>
      <c r="BS243" s="68"/>
      <c r="BT243" s="68"/>
      <c r="BU243" s="1">
        <v>554</v>
      </c>
    </row>
    <row r="244" spans="1:74" ht="15.75" customHeight="1" x14ac:dyDescent="0.45">
      <c r="A244" s="1">
        <v>555</v>
      </c>
      <c r="B244" s="160"/>
      <c r="C244" s="161"/>
      <c r="D244" s="813"/>
      <c r="E244" s="814"/>
      <c r="F244" s="265"/>
      <c r="G244" s="163"/>
      <c r="H244" s="815"/>
      <c r="I244" s="816"/>
      <c r="J244" s="816"/>
      <c r="K244" s="816"/>
      <c r="L244" s="816"/>
      <c r="M244" s="816"/>
      <c r="N244" s="816"/>
      <c r="O244" s="814"/>
      <c r="P244" s="164"/>
      <c r="Q244" s="153"/>
      <c r="R244" s="165"/>
      <c r="S244" s="153"/>
      <c r="T244" s="166"/>
      <c r="U244" s="153"/>
      <c r="W244" s="159"/>
      <c r="X244" s="159"/>
      <c r="Y244" s="159"/>
      <c r="Z244" s="159"/>
      <c r="AA244" s="159"/>
      <c r="AB244" s="159"/>
      <c r="AC244" s="159"/>
      <c r="AD244" s="159"/>
      <c r="AE244" s="159"/>
      <c r="AF244" s="159"/>
      <c r="AG244" s="159"/>
      <c r="AH244" s="159"/>
      <c r="AI244" s="159"/>
      <c r="AJ244" s="159"/>
      <c r="AK244" s="159"/>
      <c r="AL244" s="159"/>
      <c r="AM244" s="159"/>
      <c r="AN244" s="159"/>
      <c r="AO244" s="159"/>
      <c r="AP244" s="159"/>
      <c r="AQ244" s="159"/>
      <c r="AR244" s="159"/>
      <c r="AS244" s="159"/>
      <c r="AT244" s="159"/>
      <c r="AU244" s="159"/>
      <c r="AV244" s="159"/>
      <c r="AW244" s="159"/>
      <c r="AX244" s="159"/>
      <c r="AY244" s="159"/>
      <c r="AZ244" s="99"/>
      <c r="BA244" s="99"/>
      <c r="BE244" s="86"/>
      <c r="BF244" s="86"/>
      <c r="BG244" s="86"/>
      <c r="BH244" s="86"/>
      <c r="BI244" s="86"/>
      <c r="BJ244" s="86"/>
      <c r="BK244" s="86"/>
      <c r="BL244" s="86"/>
      <c r="BM244" s="86"/>
      <c r="BN244" s="86"/>
      <c r="BO244" s="156"/>
      <c r="BP244" s="21"/>
      <c r="BQ244" s="153"/>
      <c r="BR244" s="68"/>
      <c r="BS244" s="68"/>
      <c r="BT244" s="68"/>
      <c r="BU244" s="1">
        <v>555</v>
      </c>
    </row>
    <row r="245" spans="1:74" ht="15.75" customHeight="1" x14ac:dyDescent="0.45">
      <c r="A245" s="1">
        <v>556</v>
      </c>
      <c r="B245" s="160"/>
      <c r="C245" s="167"/>
      <c r="D245" s="813"/>
      <c r="E245" s="814"/>
      <c r="F245" s="162"/>
      <c r="G245" s="168"/>
      <c r="H245" s="815"/>
      <c r="I245" s="816"/>
      <c r="J245" s="816"/>
      <c r="K245" s="816"/>
      <c r="L245" s="816"/>
      <c r="M245" s="816"/>
      <c r="N245" s="816"/>
      <c r="O245" s="814"/>
      <c r="P245" s="164"/>
      <c r="Q245" s="153"/>
      <c r="R245" s="165"/>
      <c r="S245" s="153"/>
      <c r="T245" s="166"/>
      <c r="U245" s="153"/>
      <c r="W245" s="159"/>
      <c r="X245" s="159"/>
      <c r="Y245" s="159"/>
      <c r="Z245" s="159"/>
      <c r="AA245" s="159"/>
      <c r="AB245" s="159"/>
      <c r="AC245" s="159"/>
      <c r="AD245" s="159"/>
      <c r="AE245" s="159"/>
      <c r="AF245" s="159"/>
      <c r="AG245" s="159"/>
      <c r="AH245" s="159"/>
      <c r="AI245" s="159"/>
      <c r="AJ245" s="159"/>
      <c r="AK245" s="159"/>
      <c r="AL245" s="159"/>
      <c r="AM245" s="159"/>
      <c r="AN245" s="159"/>
      <c r="AO245" s="159"/>
      <c r="AP245" s="159"/>
      <c r="AQ245" s="159"/>
      <c r="AR245" s="159"/>
      <c r="AS245" s="159"/>
      <c r="AT245" s="159"/>
      <c r="AU245" s="159"/>
      <c r="AV245" s="159"/>
      <c r="AW245" s="159"/>
      <c r="AX245" s="159"/>
      <c r="AY245" s="159"/>
      <c r="AZ245" s="99"/>
      <c r="BA245" s="99"/>
      <c r="BE245" s="86"/>
      <c r="BF245" s="86"/>
      <c r="BG245" s="86"/>
      <c r="BH245" s="86"/>
      <c r="BI245" s="86"/>
      <c r="BJ245" s="86"/>
      <c r="BK245" s="86"/>
      <c r="BL245" s="86"/>
      <c r="BM245" s="86"/>
      <c r="BN245" s="86"/>
      <c r="BO245" s="156"/>
      <c r="BP245" s="21"/>
      <c r="BQ245" s="153"/>
      <c r="BR245" s="68"/>
      <c r="BS245" s="68"/>
      <c r="BT245" s="68"/>
      <c r="BU245" s="1">
        <v>556</v>
      </c>
    </row>
    <row r="246" spans="1:74" ht="15.75" customHeight="1" x14ac:dyDescent="0.4">
      <c r="A246" s="1">
        <v>557</v>
      </c>
      <c r="B246" s="160"/>
      <c r="C246" s="161"/>
      <c r="D246" s="813"/>
      <c r="E246" s="814"/>
      <c r="F246" s="162"/>
      <c r="G246" s="168"/>
      <c r="H246" s="815"/>
      <c r="I246" s="816"/>
      <c r="J246" s="816"/>
      <c r="K246" s="816"/>
      <c r="L246" s="816"/>
      <c r="M246" s="816"/>
      <c r="N246" s="816"/>
      <c r="O246" s="814"/>
      <c r="P246" s="164"/>
      <c r="Q246" s="153"/>
      <c r="R246" s="169"/>
      <c r="S246" s="153"/>
      <c r="T246" s="166"/>
      <c r="U246" s="153"/>
      <c r="W246" s="159"/>
      <c r="X246" s="159"/>
      <c r="Y246" s="159"/>
      <c r="Z246" s="159"/>
      <c r="AA246" s="159"/>
      <c r="AB246" s="159"/>
      <c r="AC246" s="159"/>
      <c r="AD246" s="159"/>
      <c r="AE246" s="159"/>
      <c r="AF246" s="159"/>
      <c r="AG246" s="159"/>
      <c r="AH246" s="159"/>
      <c r="AI246" s="159"/>
      <c r="AJ246" s="159"/>
      <c r="AK246" s="159"/>
      <c r="AL246" s="159"/>
      <c r="AM246" s="159"/>
      <c r="AN246" s="159"/>
      <c r="AO246" s="159"/>
      <c r="AP246" s="159"/>
      <c r="AQ246" s="159"/>
      <c r="AR246" s="159"/>
      <c r="AS246" s="159"/>
      <c r="AT246" s="159"/>
      <c r="AU246" s="159"/>
      <c r="AV246" s="159"/>
      <c r="AW246" s="159"/>
      <c r="AX246" s="159"/>
      <c r="AY246" s="159"/>
      <c r="AZ246" s="99"/>
      <c r="BA246" s="99"/>
      <c r="BE246" s="86"/>
      <c r="BF246" s="86"/>
      <c r="BG246" s="86"/>
      <c r="BH246" s="86"/>
      <c r="BI246" s="86"/>
      <c r="BJ246" s="86"/>
      <c r="BK246" s="86"/>
      <c r="BL246" s="86"/>
      <c r="BM246" s="86"/>
      <c r="BN246" s="86"/>
      <c r="BO246" s="156"/>
      <c r="BP246" s="21"/>
      <c r="BQ246" s="153"/>
      <c r="BR246" s="68"/>
      <c r="BS246" s="68"/>
      <c r="BT246" s="68"/>
      <c r="BU246" s="1">
        <v>557</v>
      </c>
    </row>
    <row r="247" spans="1:74" ht="15.75" customHeight="1" thickBot="1" x14ac:dyDescent="0.5">
      <c r="A247" s="1">
        <v>558</v>
      </c>
      <c r="B247" s="160"/>
      <c r="C247" s="167"/>
      <c r="D247" s="813"/>
      <c r="E247" s="814"/>
      <c r="F247" s="162"/>
      <c r="G247" s="168"/>
      <c r="H247" s="815"/>
      <c r="I247" s="816"/>
      <c r="J247" s="816"/>
      <c r="K247" s="816"/>
      <c r="L247" s="816"/>
      <c r="M247" s="816"/>
      <c r="N247" s="816"/>
      <c r="O247" s="814"/>
      <c r="P247" s="164"/>
      <c r="Q247" s="153"/>
      <c r="R247" s="170"/>
      <c r="S247" s="153"/>
      <c r="T247" s="166"/>
      <c r="U247" s="153"/>
      <c r="W247" s="159"/>
      <c r="X247" s="159"/>
      <c r="Y247" s="159"/>
      <c r="Z247" s="159"/>
      <c r="AA247" s="159"/>
      <c r="AB247" s="159"/>
      <c r="AC247" s="159"/>
      <c r="AD247" s="159"/>
      <c r="AE247" s="159"/>
      <c r="AF247" s="159"/>
      <c r="AG247" s="159"/>
      <c r="AH247" s="159"/>
      <c r="AI247" s="159"/>
      <c r="AJ247" s="159"/>
      <c r="AK247" s="159"/>
      <c r="AL247" s="159"/>
      <c r="AM247" s="159"/>
      <c r="AN247" s="159"/>
      <c r="AO247" s="159"/>
      <c r="AP247" s="159"/>
      <c r="AQ247" s="159"/>
      <c r="AR247" s="159"/>
      <c r="AS247" s="159"/>
      <c r="AT247" s="159"/>
      <c r="AU247" s="159"/>
      <c r="AV247" s="159"/>
      <c r="AW247" s="159"/>
      <c r="AX247" s="159"/>
      <c r="AY247" s="159"/>
      <c r="AZ247" s="99"/>
      <c r="BA247" s="99"/>
      <c r="BE247" s="86"/>
      <c r="BF247" s="86"/>
      <c r="BG247" s="86"/>
      <c r="BH247" s="86"/>
      <c r="BI247" s="86"/>
      <c r="BJ247" s="86"/>
      <c r="BK247" s="86"/>
      <c r="BL247" s="86"/>
      <c r="BM247" s="86"/>
      <c r="BN247" s="86"/>
      <c r="BO247" s="156"/>
      <c r="BP247" s="21"/>
      <c r="BQ247" s="153"/>
      <c r="BR247" s="68"/>
      <c r="BS247" s="68"/>
      <c r="BT247" s="68"/>
      <c r="BU247" s="1">
        <v>558</v>
      </c>
    </row>
    <row r="248" spans="1:74" ht="15.75" customHeight="1" thickBot="1" x14ac:dyDescent="0.45">
      <c r="A248" s="1">
        <v>572</v>
      </c>
      <c r="B248" s="171"/>
      <c r="C248" s="172"/>
      <c r="D248" s="826"/>
      <c r="E248" s="827"/>
      <c r="F248" s="173"/>
      <c r="G248" s="168"/>
      <c r="H248" s="828"/>
      <c r="I248" s="829"/>
      <c r="J248" s="829"/>
      <c r="K248" s="829"/>
      <c r="L248" s="829"/>
      <c r="M248" s="829"/>
      <c r="N248" s="829"/>
      <c r="O248" s="827"/>
      <c r="P248" s="174"/>
      <c r="Q248" s="153"/>
      <c r="R248" s="166"/>
      <c r="S248" s="153"/>
      <c r="T248" s="166"/>
      <c r="U248" s="153"/>
      <c r="W248" s="159"/>
      <c r="X248" s="159"/>
      <c r="Y248" s="159"/>
      <c r="Z248" s="159"/>
      <c r="AA248" s="159"/>
      <c r="AB248" s="159"/>
      <c r="AC248" s="159"/>
      <c r="AD248" s="159"/>
      <c r="AE248" s="159"/>
      <c r="AF248" s="159"/>
      <c r="AG248" s="159"/>
      <c r="AH248" s="159"/>
      <c r="AI248" s="159"/>
      <c r="AJ248" s="159"/>
      <c r="AK248" s="159"/>
      <c r="AL248" s="159"/>
      <c r="AM248" s="159"/>
      <c r="AN248" s="159"/>
      <c r="AO248" s="159"/>
      <c r="AP248" s="159"/>
      <c r="AQ248" s="159"/>
      <c r="AR248" s="159"/>
      <c r="AS248" s="159"/>
      <c r="AT248" s="159"/>
      <c r="AU248" s="159"/>
      <c r="AV248" s="159"/>
      <c r="AW248" s="159"/>
      <c r="AX248" s="159"/>
      <c r="AY248" s="159"/>
      <c r="AZ248" s="99"/>
      <c r="BA248" s="99"/>
      <c r="BE248" s="86"/>
      <c r="BF248" s="86"/>
      <c r="BG248" s="86"/>
      <c r="BH248" s="86"/>
      <c r="BI248" s="86"/>
      <c r="BJ248" s="86"/>
      <c r="BK248" s="86"/>
      <c r="BL248" s="86"/>
      <c r="BM248" s="86"/>
      <c r="BN248" s="86"/>
      <c r="BO248" s="156"/>
      <c r="BP248" s="21"/>
      <c r="BQ248" s="153"/>
      <c r="BR248" s="68"/>
      <c r="BS248" s="68"/>
      <c r="BT248" s="68"/>
      <c r="BU248" s="1">
        <v>572</v>
      </c>
    </row>
    <row r="249" spans="1:74" ht="16.5" customHeight="1" thickBot="1" x14ac:dyDescent="0.45">
      <c r="A249" s="1">
        <v>583</v>
      </c>
      <c r="B249" s="78"/>
      <c r="C249" s="153"/>
      <c r="D249" s="830"/>
      <c r="E249" s="831"/>
      <c r="F249" s="175">
        <f>SUM(F244:F248)</f>
        <v>0</v>
      </c>
      <c r="G249" s="163"/>
      <c r="H249" s="176"/>
      <c r="I249" s="176"/>
      <c r="J249" s="176"/>
      <c r="K249" s="176"/>
      <c r="L249" s="176"/>
      <c r="M249" s="176"/>
      <c r="N249" s="176"/>
      <c r="O249" s="177"/>
      <c r="P249" s="175">
        <f>SUM(P244:P248)</f>
        <v>0</v>
      </c>
      <c r="Q249" s="22"/>
      <c r="R249" s="178"/>
      <c r="S249" s="153"/>
      <c r="T249" s="153"/>
      <c r="U249" s="153"/>
      <c r="W249" s="159"/>
      <c r="X249" s="159"/>
      <c r="Y249" s="159"/>
      <c r="Z249" s="159"/>
      <c r="AA249" s="159"/>
      <c r="AB249" s="159"/>
      <c r="AC249" s="159"/>
      <c r="AD249" s="159"/>
      <c r="AE249" s="159"/>
      <c r="AF249" s="159"/>
      <c r="AG249" s="159"/>
      <c r="AH249" s="159"/>
      <c r="AI249" s="159"/>
      <c r="AJ249" s="159"/>
      <c r="AK249" s="159"/>
      <c r="AL249" s="159"/>
      <c r="AM249" s="159"/>
      <c r="AN249" s="159"/>
      <c r="AO249" s="159"/>
      <c r="AP249" s="159"/>
      <c r="AQ249" s="159"/>
      <c r="AR249" s="159"/>
      <c r="AS249" s="159"/>
      <c r="AT249" s="159"/>
      <c r="AU249" s="159"/>
      <c r="AV249" s="159"/>
      <c r="AW249" s="159"/>
      <c r="AX249" s="159"/>
      <c r="AY249" s="159"/>
      <c r="AZ249" s="99"/>
      <c r="BA249" s="99"/>
      <c r="BE249" s="86"/>
      <c r="BF249" s="86"/>
      <c r="BG249" s="86"/>
      <c r="BH249" s="86"/>
      <c r="BI249" s="86"/>
      <c r="BJ249" s="86"/>
      <c r="BK249" s="86"/>
      <c r="BL249" s="86"/>
      <c r="BM249" s="86"/>
      <c r="BN249" s="86"/>
      <c r="BO249" s="156"/>
      <c r="BP249" s="21"/>
      <c r="BQ249" s="153"/>
      <c r="BR249" s="68"/>
      <c r="BS249" s="68"/>
      <c r="BT249" s="68"/>
      <c r="BU249" s="1">
        <v>583</v>
      </c>
    </row>
    <row r="250" spans="1:74" ht="15.75" customHeight="1" x14ac:dyDescent="0.4">
      <c r="A250" s="1">
        <v>603</v>
      </c>
      <c r="B250" s="183"/>
      <c r="C250" s="184"/>
      <c r="D250" s="832"/>
      <c r="E250" s="832"/>
      <c r="F250" s="179"/>
      <c r="G250" s="163"/>
      <c r="H250" s="181"/>
      <c r="I250" s="176"/>
      <c r="J250" s="176"/>
      <c r="K250" s="342"/>
      <c r="L250" s="342"/>
      <c r="M250" s="342"/>
      <c r="N250" s="342"/>
      <c r="O250" s="180"/>
      <c r="S250" s="153"/>
      <c r="T250" s="153"/>
      <c r="U250" s="153"/>
      <c r="W250" s="155"/>
      <c r="X250" s="155"/>
      <c r="Y250" s="155"/>
      <c r="Z250" s="155"/>
      <c r="AA250" s="155"/>
      <c r="AB250" s="155"/>
      <c r="AC250" s="155"/>
      <c r="AD250" s="155"/>
      <c r="AE250" s="155"/>
      <c r="AF250" s="155"/>
      <c r="AG250" s="155"/>
      <c r="AH250" s="155"/>
      <c r="AI250" s="155"/>
      <c r="AJ250" s="155"/>
      <c r="AK250" s="155"/>
      <c r="AL250" s="155"/>
      <c r="AM250" s="155"/>
      <c r="AN250" s="155"/>
      <c r="AO250" s="155"/>
      <c r="AP250" s="155"/>
      <c r="AQ250" s="155"/>
      <c r="AR250" s="155"/>
      <c r="AS250" s="155"/>
      <c r="AT250" s="155"/>
      <c r="AU250" s="155"/>
      <c r="AV250" s="155"/>
      <c r="AW250" s="155"/>
      <c r="AX250" s="155"/>
      <c r="AY250" s="155"/>
      <c r="AZ250" s="99"/>
      <c r="BA250" s="99"/>
      <c r="BE250" s="86"/>
      <c r="BF250" s="86"/>
      <c r="BG250" s="86"/>
      <c r="BH250" s="86"/>
      <c r="BJ250" s="86"/>
      <c r="BK250" s="86"/>
      <c r="BL250" s="86"/>
      <c r="BM250" s="86"/>
      <c r="BN250" s="86"/>
      <c r="BO250" s="156"/>
      <c r="BP250" s="87"/>
      <c r="BQ250" s="21"/>
      <c r="BR250" s="153"/>
      <c r="BS250" s="153"/>
      <c r="BT250" s="68"/>
      <c r="BU250" s="1">
        <v>603</v>
      </c>
    </row>
    <row r="251" spans="1:74" ht="15.75" customHeight="1" x14ac:dyDescent="0.4">
      <c r="A251" s="1">
        <v>603</v>
      </c>
      <c r="C251" s="22"/>
      <c r="D251" s="833"/>
      <c r="E251" s="833"/>
      <c r="F251" s="179"/>
      <c r="G251" s="163"/>
      <c r="H251" s="181"/>
      <c r="I251" s="176"/>
      <c r="J251" s="176"/>
      <c r="K251" s="342"/>
      <c r="L251" s="342"/>
      <c r="M251" s="342"/>
      <c r="N251" s="342"/>
      <c r="O251" s="180"/>
      <c r="S251" s="153"/>
      <c r="T251" s="153"/>
      <c r="U251" s="153"/>
      <c r="W251" s="155"/>
      <c r="X251" s="155"/>
      <c r="Y251" s="155"/>
      <c r="Z251" s="155"/>
      <c r="AA251" s="155"/>
      <c r="AB251" s="155"/>
      <c r="AC251" s="155"/>
      <c r="AD251" s="155"/>
      <c r="AE251" s="155"/>
      <c r="AF251" s="155"/>
      <c r="AG251" s="155"/>
      <c r="AH251" s="155"/>
      <c r="AI251" s="155"/>
      <c r="AJ251" s="155"/>
      <c r="AK251" s="155"/>
      <c r="AL251" s="155"/>
      <c r="AM251" s="155"/>
      <c r="AN251" s="155"/>
      <c r="AO251" s="155"/>
      <c r="AP251" s="155"/>
      <c r="AQ251" s="155"/>
      <c r="AR251" s="155"/>
      <c r="AS251" s="155"/>
      <c r="AT251" s="155"/>
      <c r="AU251" s="155"/>
      <c r="AV251" s="155"/>
      <c r="AW251" s="155"/>
      <c r="AX251" s="155"/>
      <c r="AY251" s="155"/>
      <c r="AZ251" s="99"/>
      <c r="BA251" s="99"/>
      <c r="BE251" s="86"/>
      <c r="BF251" s="86"/>
      <c r="BG251" s="86"/>
      <c r="BH251" s="86"/>
      <c r="BJ251" s="86"/>
      <c r="BK251" s="86"/>
      <c r="BL251" s="86"/>
      <c r="BM251" s="86"/>
      <c r="BN251" s="86"/>
      <c r="BO251" s="156"/>
      <c r="BP251" s="87"/>
      <c r="BQ251" s="21"/>
      <c r="BR251" s="153"/>
      <c r="BS251" s="153"/>
      <c r="BT251" s="68"/>
      <c r="BU251" s="1">
        <v>603</v>
      </c>
    </row>
    <row r="252" spans="1:74" ht="15.75" customHeight="1" thickBot="1" x14ac:dyDescent="0.45">
      <c r="A252" s="1">
        <v>603</v>
      </c>
      <c r="C252" s="22"/>
      <c r="D252" s="825"/>
      <c r="E252" s="825"/>
      <c r="F252" s="179"/>
      <c r="G252" s="163"/>
      <c r="H252" s="181"/>
      <c r="I252" s="176"/>
      <c r="J252" s="176"/>
      <c r="K252" s="342"/>
      <c r="L252" s="342"/>
      <c r="M252" s="342"/>
      <c r="N252" s="342"/>
      <c r="O252" s="180"/>
      <c r="S252" s="153"/>
      <c r="T252" s="153"/>
      <c r="U252" s="153"/>
      <c r="W252" s="155"/>
      <c r="X252" s="155"/>
      <c r="Y252" s="155"/>
      <c r="Z252" s="155"/>
      <c r="AA252" s="155"/>
      <c r="AB252" s="155"/>
      <c r="AC252" s="155"/>
      <c r="AD252" s="155"/>
      <c r="AE252" s="155"/>
      <c r="AF252" s="155"/>
      <c r="AG252" s="155"/>
      <c r="AH252" s="155"/>
      <c r="AI252" s="155"/>
      <c r="AJ252" s="155"/>
      <c r="AK252" s="155"/>
      <c r="AL252" s="155"/>
      <c r="AM252" s="155"/>
      <c r="AN252" s="155"/>
      <c r="AO252" s="155"/>
      <c r="AP252" s="155"/>
      <c r="AQ252" s="155"/>
      <c r="AR252" s="155"/>
      <c r="AS252" s="155"/>
      <c r="AT252" s="155"/>
      <c r="AU252" s="155"/>
      <c r="AV252" s="155"/>
      <c r="AW252" s="155"/>
      <c r="AX252" s="155"/>
      <c r="AY252" s="155"/>
      <c r="AZ252" s="99"/>
      <c r="BA252" s="99"/>
      <c r="BE252" s="86"/>
      <c r="BF252" s="86"/>
      <c r="BG252" s="86"/>
      <c r="BH252" s="86"/>
      <c r="BJ252" s="86"/>
      <c r="BK252" s="86"/>
      <c r="BL252" s="86"/>
      <c r="BM252" s="86"/>
      <c r="BN252" s="86"/>
      <c r="BO252" s="156"/>
      <c r="BP252" s="87"/>
      <c r="BQ252" s="21"/>
      <c r="BR252" s="153"/>
      <c r="BS252" s="153"/>
      <c r="BT252" s="68"/>
      <c r="BU252" s="1">
        <v>603</v>
      </c>
    </row>
    <row r="253" spans="1:74" ht="15.75" customHeight="1" x14ac:dyDescent="0.4">
      <c r="A253" s="1">
        <v>604</v>
      </c>
      <c r="B253" s="185"/>
      <c r="C253" s="186"/>
      <c r="D253" s="187" t="s">
        <v>75</v>
      </c>
      <c r="E253" s="188" t="s">
        <v>76</v>
      </c>
      <c r="F253" s="834" t="s">
        <v>77</v>
      </c>
      <c r="G253" s="835"/>
      <c r="H253" s="181"/>
      <c r="I253" s="176"/>
      <c r="J253" s="176"/>
      <c r="K253" s="836" t="s">
        <v>78</v>
      </c>
      <c r="L253" s="837"/>
      <c r="M253" s="837"/>
      <c r="N253" s="837"/>
      <c r="O253" s="837"/>
      <c r="P253" s="838"/>
      <c r="Q253" s="189"/>
      <c r="S253" s="153"/>
      <c r="T253" s="153"/>
      <c r="U253" s="153"/>
      <c r="W253" s="155"/>
      <c r="X253" s="155"/>
      <c r="Y253" s="155"/>
      <c r="Z253" s="155"/>
      <c r="AA253" s="155"/>
      <c r="AB253" s="155"/>
      <c r="AC253" s="155"/>
      <c r="AD253" s="155"/>
      <c r="AE253" s="155"/>
      <c r="AF253" s="155"/>
      <c r="AG253" s="155"/>
      <c r="AH253" s="155"/>
      <c r="AI253" s="155"/>
      <c r="AJ253" s="155"/>
      <c r="AK253" s="155"/>
      <c r="AL253" s="155"/>
      <c r="AM253" s="155"/>
      <c r="AN253" s="155"/>
      <c r="AO253" s="155"/>
      <c r="AP253" s="155"/>
      <c r="AQ253" s="155"/>
      <c r="AR253" s="155"/>
      <c r="AS253" s="155"/>
      <c r="AT253" s="155"/>
      <c r="AU253" s="155"/>
      <c r="AV253" s="155"/>
      <c r="AW253" s="155"/>
      <c r="AX253" s="155"/>
      <c r="AY253" s="155"/>
      <c r="AZ253" s="99"/>
      <c r="BA253" s="99"/>
      <c r="BE253" s="86"/>
      <c r="BF253" s="86"/>
      <c r="BG253" s="86"/>
      <c r="BH253" s="86"/>
      <c r="BJ253" s="86"/>
      <c r="BK253" s="86"/>
      <c r="BL253" s="86"/>
      <c r="BM253" s="86"/>
      <c r="BN253" s="86"/>
      <c r="BO253" s="156"/>
      <c r="BP253" s="87"/>
      <c r="BQ253" s="21"/>
      <c r="BR253" s="153"/>
      <c r="BS253" s="153"/>
      <c r="BT253" s="68"/>
      <c r="BU253" s="1">
        <v>604</v>
      </c>
    </row>
    <row r="254" spans="1:74" ht="15.75" customHeight="1" x14ac:dyDescent="0.4">
      <c r="A254" s="1">
        <v>605</v>
      </c>
      <c r="B254" s="190"/>
      <c r="C254" s="118"/>
      <c r="D254" s="191" t="s">
        <v>45</v>
      </c>
      <c r="E254" s="192">
        <v>2</v>
      </c>
      <c r="F254" s="839">
        <v>44551</v>
      </c>
      <c r="G254" s="840"/>
      <c r="H254" t="s">
        <v>180</v>
      </c>
      <c r="I254" s="193"/>
      <c r="J254" s="194">
        <v>3500</v>
      </c>
      <c r="K254" s="195"/>
      <c r="L254" s="841"/>
      <c r="M254" s="842"/>
      <c r="N254" s="842"/>
      <c r="O254" s="842"/>
      <c r="P254" s="843"/>
      <c r="Q254" s="196"/>
      <c r="S254" s="153"/>
      <c r="T254" s="153"/>
      <c r="U254" s="22"/>
      <c r="V254" s="197"/>
      <c r="W254" s="155"/>
      <c r="X254" s="155"/>
      <c r="Y254" s="155"/>
      <c r="Z254" s="155"/>
      <c r="AA254" s="155"/>
      <c r="AB254" s="155"/>
      <c r="AC254" s="155"/>
      <c r="AD254" s="155"/>
      <c r="AE254" s="155"/>
      <c r="AF254" s="155"/>
      <c r="AG254" s="155"/>
      <c r="AH254" s="155"/>
      <c r="AI254" s="155"/>
      <c r="AJ254" s="155"/>
      <c r="AK254" s="155"/>
      <c r="AL254" s="155"/>
      <c r="AM254" s="155"/>
      <c r="AN254" s="155"/>
      <c r="AO254" s="155"/>
      <c r="AP254" s="155"/>
      <c r="AQ254" s="155"/>
      <c r="AR254" s="155"/>
      <c r="AS254" s="155"/>
      <c r="AT254" s="155"/>
      <c r="AU254" s="155"/>
      <c r="AV254" s="155"/>
      <c r="AW254" s="155"/>
      <c r="AX254" s="155"/>
      <c r="AY254" s="155"/>
      <c r="AZ254" s="99"/>
      <c r="BA254" s="99"/>
      <c r="BE254" s="86"/>
      <c r="BF254" s="86"/>
      <c r="BG254" s="86"/>
      <c r="BH254" s="86"/>
      <c r="BJ254" s="86"/>
      <c r="BK254" s="86"/>
      <c r="BL254" s="86"/>
      <c r="BM254" s="86"/>
      <c r="BN254" s="86"/>
      <c r="BO254" s="156"/>
      <c r="BP254" s="87"/>
      <c r="BQ254" s="21"/>
      <c r="BR254" s="153"/>
      <c r="BS254" s="153"/>
      <c r="BT254" s="68"/>
      <c r="BU254" s="1">
        <v>605</v>
      </c>
    </row>
    <row r="255" spans="1:74" ht="15.75" customHeight="1" x14ac:dyDescent="0.4">
      <c r="A255" s="1">
        <v>606</v>
      </c>
      <c r="B255" s="190"/>
      <c r="C255" s="118"/>
      <c r="D255" s="191"/>
      <c r="E255" s="192"/>
      <c r="F255" s="839"/>
      <c r="G255" s="840"/>
      <c r="I255" s="193"/>
      <c r="J255" s="22"/>
      <c r="K255" s="195"/>
      <c r="L255" s="841"/>
      <c r="M255" s="842"/>
      <c r="N255" s="842"/>
      <c r="O255" s="842"/>
      <c r="P255" s="843"/>
      <c r="Q255" s="196"/>
      <c r="S255" s="153"/>
      <c r="T255" s="153"/>
      <c r="U255" s="22"/>
      <c r="V255" s="197"/>
      <c r="W255" s="155"/>
      <c r="X255" s="155"/>
      <c r="Y255" s="155"/>
      <c r="Z255" s="155"/>
      <c r="AA255" s="155"/>
      <c r="AB255" s="155"/>
      <c r="AC255" s="155"/>
      <c r="AD255" s="155"/>
      <c r="AE255" s="155"/>
      <c r="AF255" s="155"/>
      <c r="AG255" s="155"/>
      <c r="AH255" s="155"/>
      <c r="AI255" s="155"/>
      <c r="AJ255" s="155"/>
      <c r="AK255" s="155"/>
      <c r="AL255" s="155"/>
      <c r="AM255" s="155"/>
      <c r="AN255" s="155"/>
      <c r="AO255" s="155"/>
      <c r="AP255" s="155"/>
      <c r="AQ255" s="155"/>
      <c r="AR255" s="155"/>
      <c r="AS255" s="155"/>
      <c r="AT255" s="155"/>
      <c r="AU255" s="155"/>
      <c r="AV255" s="155"/>
      <c r="AW255" s="155"/>
      <c r="AX255" s="155"/>
      <c r="AY255" s="155"/>
      <c r="AZ255" s="99"/>
      <c r="BA255" s="99"/>
      <c r="BE255" s="86"/>
      <c r="BF255" s="86"/>
      <c r="BG255" s="86"/>
      <c r="BH255" s="86"/>
      <c r="BJ255" s="86"/>
      <c r="BK255" s="86"/>
      <c r="BL255" s="86"/>
      <c r="BM255" s="86"/>
      <c r="BN255" s="86"/>
      <c r="BO255" s="156"/>
      <c r="BP255" s="87"/>
      <c r="BQ255" s="21"/>
      <c r="BR255" s="153"/>
      <c r="BS255" s="153"/>
      <c r="BT255" s="68"/>
      <c r="BU255" s="1">
        <v>606</v>
      </c>
    </row>
    <row r="256" spans="1:74" ht="15.75" customHeight="1" x14ac:dyDescent="0.4">
      <c r="A256" s="1">
        <v>607</v>
      </c>
      <c r="B256" s="198"/>
      <c r="C256" s="199"/>
      <c r="D256" s="200"/>
      <c r="E256" s="201"/>
      <c r="F256" s="850"/>
      <c r="G256" s="851"/>
      <c r="I256" s="193"/>
      <c r="J256" s="22"/>
      <c r="K256" s="852" t="s">
        <v>79</v>
      </c>
      <c r="L256" s="853"/>
      <c r="M256" s="853"/>
      <c r="N256" s="853"/>
      <c r="O256" s="853"/>
      <c r="P256" s="853"/>
      <c r="Q256" s="854"/>
      <c r="S256" s="153"/>
      <c r="T256" s="153"/>
      <c r="U256" s="22"/>
      <c r="V256" s="197"/>
      <c r="W256" s="155"/>
      <c r="X256" s="155"/>
      <c r="Y256" s="155"/>
      <c r="Z256" s="155"/>
      <c r="AA256" s="155"/>
      <c r="AB256" s="155"/>
      <c r="AC256" s="155"/>
      <c r="AD256" s="155"/>
      <c r="AE256" s="155"/>
      <c r="AF256" s="155"/>
      <c r="AG256" s="155"/>
      <c r="AH256" s="155"/>
      <c r="AI256" s="155"/>
      <c r="AJ256" s="155"/>
      <c r="AK256" s="155"/>
      <c r="AL256" s="155"/>
      <c r="AM256" s="155"/>
      <c r="AN256" s="155"/>
      <c r="AO256" s="155"/>
      <c r="AP256" s="155"/>
      <c r="AQ256" s="155"/>
      <c r="AR256" s="155"/>
      <c r="AS256" s="155"/>
      <c r="AT256" s="155"/>
      <c r="AU256" s="155"/>
      <c r="AV256" s="155"/>
      <c r="AW256" s="155"/>
      <c r="AX256" s="155"/>
      <c r="AY256" s="155"/>
      <c r="AZ256" s="99"/>
      <c r="BA256" s="99"/>
      <c r="BE256" s="86"/>
      <c r="BF256" s="86"/>
      <c r="BG256" s="86"/>
      <c r="BH256" s="86"/>
      <c r="BJ256" s="86"/>
      <c r="BK256" s="86"/>
      <c r="BL256" s="86"/>
      <c r="BM256" s="86"/>
      <c r="BN256" s="86"/>
      <c r="BO256" s="156"/>
      <c r="BP256" s="87"/>
      <c r="BQ256" s="21"/>
      <c r="BR256" s="153"/>
      <c r="BS256" s="153"/>
      <c r="BT256" s="68"/>
      <c r="BU256" s="1">
        <v>607</v>
      </c>
    </row>
    <row r="257" spans="1:73" ht="15.75" customHeight="1" x14ac:dyDescent="0.4">
      <c r="A257" s="1">
        <v>608</v>
      </c>
      <c r="B257" s="190"/>
      <c r="C257" s="118"/>
      <c r="D257" s="191"/>
      <c r="E257" s="192"/>
      <c r="F257" s="855"/>
      <c r="G257" s="856"/>
      <c r="J257" s="22"/>
      <c r="K257" s="143"/>
      <c r="L257" s="841"/>
      <c r="M257" s="842"/>
      <c r="N257" s="842"/>
      <c r="O257" s="842"/>
      <c r="P257" s="843"/>
      <c r="Q257" s="202"/>
      <c r="S257" s="153"/>
      <c r="T257" s="153"/>
      <c r="U257" s="22"/>
      <c r="V257" s="197"/>
      <c r="W257" s="155"/>
      <c r="X257" s="155"/>
      <c r="Y257" s="155"/>
      <c r="Z257" s="155"/>
      <c r="AA257" s="155"/>
      <c r="AB257" s="155"/>
      <c r="AC257" s="155"/>
      <c r="AD257" s="155"/>
      <c r="AE257" s="155"/>
      <c r="AF257" s="155"/>
      <c r="AG257" s="155"/>
      <c r="AH257" s="155"/>
      <c r="AI257" s="155"/>
      <c r="AJ257" s="155"/>
      <c r="AK257" s="155"/>
      <c r="AL257" s="155"/>
      <c r="AM257" s="155"/>
      <c r="AN257" s="155"/>
      <c r="AO257" s="155"/>
      <c r="AP257" s="155"/>
      <c r="AQ257" s="155"/>
      <c r="AR257" s="155"/>
      <c r="AS257" s="155"/>
      <c r="AT257" s="155"/>
      <c r="AU257" s="155"/>
      <c r="AV257" s="155"/>
      <c r="AW257" s="155"/>
      <c r="AX257" s="155"/>
      <c r="AY257" s="155"/>
      <c r="AZ257" s="99"/>
      <c r="BA257" s="99"/>
      <c r="BE257" s="86"/>
      <c r="BF257" s="86"/>
      <c r="BG257" s="86"/>
      <c r="BH257" s="86"/>
      <c r="BJ257" s="86"/>
      <c r="BK257" s="86"/>
      <c r="BL257" s="86"/>
      <c r="BM257" s="86"/>
      <c r="BN257" s="86"/>
      <c r="BO257" s="156"/>
      <c r="BP257" s="87"/>
      <c r="BQ257" s="21"/>
      <c r="BR257" s="153"/>
      <c r="BS257" s="153"/>
      <c r="BT257" s="68"/>
      <c r="BU257" s="1">
        <v>608</v>
      </c>
    </row>
    <row r="258" spans="1:73" ht="15.75" customHeight="1" x14ac:dyDescent="0.4">
      <c r="A258" s="1">
        <v>609</v>
      </c>
      <c r="B258" s="198"/>
      <c r="C258" s="199"/>
      <c r="D258" s="200"/>
      <c r="E258" s="201"/>
      <c r="F258" s="850"/>
      <c r="G258" s="851"/>
      <c r="I258" s="193"/>
      <c r="J258" s="22"/>
      <c r="K258" s="143"/>
      <c r="L258" s="841"/>
      <c r="M258" s="842"/>
      <c r="N258" s="842"/>
      <c r="O258" s="842"/>
      <c r="P258" s="843"/>
      <c r="Q258" s="202"/>
      <c r="S258" s="153"/>
      <c r="T258" s="153"/>
      <c r="U258" s="22"/>
      <c r="V258" s="197"/>
      <c r="W258" s="155"/>
      <c r="X258" s="155"/>
      <c r="Y258" s="155"/>
      <c r="Z258" s="155"/>
      <c r="AA258" s="155"/>
      <c r="AB258" s="155"/>
      <c r="AC258" s="155"/>
      <c r="AD258" s="155"/>
      <c r="AE258" s="155"/>
      <c r="AF258" s="155"/>
      <c r="AG258" s="155"/>
      <c r="AH258" s="155"/>
      <c r="AI258" s="155"/>
      <c r="AJ258" s="155"/>
      <c r="AK258" s="155"/>
      <c r="AL258" s="155"/>
      <c r="AM258" s="155"/>
      <c r="AN258" s="155"/>
      <c r="AO258" s="155"/>
      <c r="AP258" s="155"/>
      <c r="AQ258" s="155"/>
      <c r="AR258" s="155"/>
      <c r="AS258" s="155"/>
      <c r="AT258" s="155"/>
      <c r="AU258" s="155"/>
      <c r="AV258" s="155"/>
      <c r="AW258" s="155"/>
      <c r="AX258" s="155"/>
      <c r="AY258" s="155"/>
      <c r="AZ258" s="99"/>
      <c r="BA258" s="99"/>
      <c r="BE258" s="86"/>
      <c r="BF258" s="86"/>
      <c r="BG258" s="86"/>
      <c r="BH258" s="86"/>
      <c r="BJ258" s="86"/>
      <c r="BK258" s="86"/>
      <c r="BL258" s="86"/>
      <c r="BM258" s="86"/>
      <c r="BN258" s="86"/>
      <c r="BO258" s="156"/>
      <c r="BP258" s="87"/>
      <c r="BQ258" s="21"/>
      <c r="BR258" s="153"/>
      <c r="BS258" s="153"/>
      <c r="BT258" s="68"/>
      <c r="BU258" s="1">
        <v>609</v>
      </c>
    </row>
    <row r="259" spans="1:73" ht="15.75" customHeight="1" x14ac:dyDescent="0.4">
      <c r="A259" s="1">
        <v>610</v>
      </c>
      <c r="B259" s="190"/>
      <c r="C259" s="118"/>
      <c r="D259" s="191"/>
      <c r="E259" s="192"/>
      <c r="F259" s="839"/>
      <c r="G259" s="840"/>
      <c r="I259" s="193"/>
      <c r="J259" s="22"/>
      <c r="K259" s="195"/>
      <c r="L259" s="844"/>
      <c r="M259" s="844"/>
      <c r="N259" s="844"/>
      <c r="O259" s="844"/>
      <c r="P259" s="844"/>
      <c r="Q259" s="202"/>
      <c r="S259" s="22"/>
      <c r="T259" s="22"/>
      <c r="U259" s="22"/>
      <c r="V259" s="197"/>
      <c r="W259" s="155"/>
      <c r="X259" s="155"/>
      <c r="Y259" s="155"/>
      <c r="Z259" s="155"/>
      <c r="AA259" s="155"/>
      <c r="AB259" s="155"/>
      <c r="AC259" s="155"/>
      <c r="AD259" s="155"/>
      <c r="AE259" s="155"/>
      <c r="AF259" s="155"/>
      <c r="AG259" s="155"/>
      <c r="AH259" s="155"/>
      <c r="AI259" s="155"/>
      <c r="AJ259" s="155"/>
      <c r="AK259" s="155"/>
      <c r="AL259" s="155"/>
      <c r="AM259" s="155"/>
      <c r="AN259" s="155"/>
      <c r="AO259" s="155"/>
      <c r="AP259" s="155"/>
      <c r="AQ259" s="155"/>
      <c r="AR259" s="155"/>
      <c r="AS259" s="155"/>
      <c r="AT259" s="155"/>
      <c r="AU259" s="155"/>
      <c r="AV259" s="155"/>
      <c r="AW259" s="155"/>
      <c r="AX259" s="155"/>
      <c r="AY259" s="155"/>
      <c r="AZ259" s="99"/>
      <c r="BA259" s="99"/>
      <c r="BE259" s="86"/>
      <c r="BF259" s="86"/>
      <c r="BG259" s="86"/>
      <c r="BH259" s="86"/>
      <c r="BJ259" s="86"/>
      <c r="BK259" s="86"/>
      <c r="BL259" s="86"/>
      <c r="BM259" s="86"/>
      <c r="BN259" s="86"/>
      <c r="BO259" s="156"/>
      <c r="BP259" s="87"/>
      <c r="BQ259" s="21"/>
      <c r="BR259" s="153"/>
      <c r="BS259" s="153"/>
      <c r="BT259" s="68"/>
      <c r="BU259" s="1">
        <v>610</v>
      </c>
    </row>
    <row r="260" spans="1:73" ht="15.75" customHeight="1" thickBot="1" x14ac:dyDescent="0.45">
      <c r="A260" s="1">
        <v>611</v>
      </c>
      <c r="B260" s="203"/>
      <c r="C260" s="204"/>
      <c r="D260" s="205"/>
      <c r="E260" s="206"/>
      <c r="F260" s="845"/>
      <c r="G260" s="846"/>
      <c r="K260" s="207"/>
      <c r="L260" s="847"/>
      <c r="M260" s="848"/>
      <c r="N260" s="848"/>
      <c r="O260" s="848"/>
      <c r="P260" s="849"/>
      <c r="Q260" s="208"/>
      <c r="S260" s="22"/>
      <c r="T260" s="22"/>
      <c r="U260" s="22"/>
      <c r="V260" s="197"/>
      <c r="W260" s="155"/>
      <c r="X260" s="155"/>
      <c r="Y260" s="155"/>
      <c r="Z260" s="155"/>
      <c r="AA260" s="155"/>
      <c r="AB260" s="155"/>
      <c r="AC260" s="155"/>
      <c r="AD260" s="155"/>
      <c r="AE260" s="155"/>
      <c r="AF260" s="155"/>
      <c r="AG260" s="155"/>
      <c r="AH260" s="155"/>
      <c r="AI260" s="155"/>
      <c r="AJ260" s="155"/>
      <c r="AK260" s="155"/>
      <c r="AL260" s="155"/>
      <c r="AM260" s="155"/>
      <c r="AN260" s="155"/>
      <c r="AO260" s="155"/>
      <c r="AP260" s="155"/>
      <c r="AQ260" s="155"/>
      <c r="AR260" s="155"/>
      <c r="AS260" s="155"/>
      <c r="AT260" s="155"/>
      <c r="AU260" s="155"/>
      <c r="AV260" s="155"/>
      <c r="AW260" s="155"/>
      <c r="AX260" s="155"/>
      <c r="AY260" s="155"/>
      <c r="AZ260" s="99"/>
      <c r="BA260" s="99"/>
      <c r="BE260" s="86"/>
      <c r="BF260" s="86"/>
      <c r="BG260" s="86"/>
      <c r="BH260" s="86"/>
      <c r="BJ260" s="86"/>
      <c r="BK260" s="86"/>
      <c r="BL260" s="86"/>
      <c r="BM260" s="86"/>
      <c r="BN260" s="86"/>
      <c r="BO260" s="156"/>
      <c r="BP260" s="87"/>
      <c r="BQ260" s="21"/>
      <c r="BR260" s="153"/>
      <c r="BS260" s="153"/>
      <c r="BT260" s="68"/>
      <c r="BU260" s="1">
        <v>611</v>
      </c>
    </row>
    <row r="261" spans="1:73" ht="15.75" customHeight="1" x14ac:dyDescent="0.4">
      <c r="A261" s="1"/>
      <c r="B261" s="209"/>
      <c r="C261" s="210"/>
      <c r="D261" s="211"/>
      <c r="E261" s="150"/>
      <c r="F261" s="85"/>
      <c r="G261" s="212"/>
      <c r="H261" s="68"/>
      <c r="I261" s="213"/>
      <c r="J261" s="68"/>
      <c r="K261" s="214"/>
      <c r="L261" s="84"/>
      <c r="M261" s="84"/>
      <c r="N261" s="84"/>
      <c r="O261" s="84"/>
      <c r="P261" s="84"/>
      <c r="Q261" s="22"/>
      <c r="S261" s="22"/>
      <c r="T261" s="22"/>
      <c r="U261" s="22"/>
      <c r="V261" s="215"/>
      <c r="W261" s="159"/>
      <c r="X261" s="159"/>
      <c r="Y261" s="159"/>
      <c r="Z261" s="159"/>
      <c r="AA261" s="159"/>
      <c r="AB261" s="159"/>
      <c r="AC261" s="159"/>
      <c r="AD261" s="159"/>
      <c r="AE261" s="159"/>
      <c r="AF261" s="159"/>
      <c r="AG261" s="159"/>
      <c r="AH261" s="159"/>
      <c r="AI261" s="159"/>
      <c r="AJ261" s="159"/>
      <c r="AK261" s="159"/>
      <c r="AL261" s="159"/>
      <c r="AM261" s="159"/>
      <c r="AN261" s="159"/>
      <c r="AO261" s="159"/>
      <c r="AP261" s="159"/>
      <c r="AQ261" s="159"/>
      <c r="AR261" s="159"/>
      <c r="AS261" s="159"/>
      <c r="AT261" s="159"/>
      <c r="AU261" s="159"/>
      <c r="AV261" s="159"/>
      <c r="AW261" s="159"/>
      <c r="AX261" s="159"/>
      <c r="AY261" s="159"/>
      <c r="AZ261" s="216"/>
      <c r="BA261" s="216"/>
      <c r="BE261" s="217"/>
      <c r="BF261" s="217"/>
      <c r="BG261" s="217"/>
      <c r="BH261" s="217"/>
      <c r="BJ261" s="217"/>
      <c r="BK261" s="217"/>
      <c r="BL261" s="217"/>
      <c r="BM261" s="217"/>
      <c r="BN261" s="217"/>
      <c r="BO261" s="87"/>
      <c r="BP261" s="87"/>
      <c r="BQ261" s="21"/>
      <c r="BR261" s="153"/>
      <c r="BS261" s="153"/>
      <c r="BT261" s="68"/>
      <c r="BU261" s="1"/>
    </row>
    <row r="262" spans="1:73" ht="15.75" customHeight="1" x14ac:dyDescent="0.4">
      <c r="A262" s="1"/>
      <c r="B262" s="209"/>
      <c r="C262" s="218"/>
      <c r="D262" s="219"/>
      <c r="I262" s="222"/>
      <c r="K262" s="214"/>
      <c r="L262" s="84"/>
      <c r="M262" s="84"/>
      <c r="N262" s="84"/>
      <c r="O262" s="84"/>
      <c r="P262" s="84"/>
      <c r="Q262" s="22"/>
      <c r="S262" s="22"/>
      <c r="T262" s="22"/>
      <c r="U262" s="22"/>
      <c r="V262" s="197"/>
      <c r="W262" s="155"/>
      <c r="X262" s="155"/>
      <c r="Y262" s="155"/>
      <c r="Z262" s="155"/>
      <c r="AA262" s="155"/>
      <c r="AB262" s="155"/>
      <c r="AC262" s="155"/>
      <c r="AD262" s="155"/>
      <c r="AE262" s="155"/>
      <c r="AF262" s="155"/>
      <c r="AG262" s="155"/>
      <c r="AH262" s="155"/>
      <c r="AI262" s="155"/>
      <c r="AJ262" s="155"/>
      <c r="AK262" s="155"/>
      <c r="AL262" s="155"/>
      <c r="AM262" s="155"/>
      <c r="AN262" s="155"/>
      <c r="AO262" s="155"/>
      <c r="AP262" s="155"/>
      <c r="AQ262" s="155"/>
      <c r="AR262" s="155"/>
      <c r="AS262" s="155"/>
      <c r="AT262" s="155"/>
      <c r="AU262" s="155"/>
      <c r="AV262" s="155"/>
      <c r="AW262" s="155"/>
      <c r="AX262" s="155"/>
      <c r="AY262" s="155"/>
      <c r="AZ262" s="99"/>
      <c r="BA262" s="99"/>
      <c r="BE262" s="86"/>
      <c r="BF262" s="86"/>
      <c r="BG262" s="86"/>
      <c r="BH262" s="86"/>
      <c r="BJ262" s="86"/>
      <c r="BK262" s="86"/>
      <c r="BL262" s="86"/>
      <c r="BM262" s="86"/>
      <c r="BN262" s="86"/>
      <c r="BO262" s="156"/>
      <c r="BP262" s="87"/>
      <c r="BQ262" s="21"/>
      <c r="BR262" s="153"/>
      <c r="BS262" s="153"/>
      <c r="BT262" s="68"/>
      <c r="BU262" s="1"/>
    </row>
    <row r="263" spans="1:73" ht="15.75" customHeight="1" x14ac:dyDescent="0.4">
      <c r="A263" s="1"/>
      <c r="B263" s="209"/>
      <c r="C263" s="218"/>
      <c r="D263" s="219"/>
      <c r="H263" s="181"/>
      <c r="K263" s="214"/>
      <c r="L263" s="84"/>
      <c r="M263" s="84"/>
      <c r="N263" s="84"/>
      <c r="O263" s="84"/>
      <c r="P263" s="84"/>
      <c r="Q263" s="22"/>
      <c r="R263" s="178"/>
      <c r="S263" s="22"/>
      <c r="T263" s="22"/>
      <c r="U263" s="22"/>
      <c r="V263" s="197"/>
      <c r="W263" s="155"/>
      <c r="X263" s="155"/>
      <c r="Y263" s="155"/>
      <c r="Z263" s="155"/>
      <c r="AA263" s="155"/>
      <c r="AB263" s="155"/>
      <c r="AC263" s="155"/>
      <c r="AD263" s="155"/>
      <c r="AE263" s="155"/>
      <c r="AF263" s="155"/>
      <c r="AG263" s="155"/>
      <c r="AH263" s="155"/>
      <c r="AI263" s="155"/>
      <c r="AJ263" s="155"/>
      <c r="AK263" s="155"/>
      <c r="AL263" s="155"/>
      <c r="AM263" s="155"/>
      <c r="AN263" s="155"/>
      <c r="AO263" s="155"/>
      <c r="AP263" s="155"/>
      <c r="AQ263" s="155"/>
      <c r="AR263" s="155"/>
      <c r="AS263" s="155"/>
      <c r="AT263" s="155"/>
      <c r="AU263" s="155"/>
      <c r="AV263" s="155"/>
      <c r="AW263" s="155"/>
      <c r="AX263" s="155"/>
      <c r="AY263" s="155"/>
      <c r="AZ263" s="99"/>
      <c r="BA263" s="99"/>
      <c r="BE263" s="86"/>
      <c r="BF263" s="86"/>
      <c r="BG263" s="86"/>
      <c r="BH263" s="86"/>
      <c r="BJ263" s="86"/>
      <c r="BK263" s="86"/>
      <c r="BL263" s="86"/>
      <c r="BM263" s="86"/>
      <c r="BN263" s="86"/>
      <c r="BO263" s="156"/>
      <c r="BP263" s="87"/>
      <c r="BQ263" s="21"/>
      <c r="BR263" s="153"/>
      <c r="BS263" s="153"/>
      <c r="BT263" s="68"/>
      <c r="BU263" s="1"/>
    </row>
    <row r="264" spans="1:73" ht="15.75" customHeight="1" x14ac:dyDescent="0.4">
      <c r="A264" s="223"/>
      <c r="B264" s="209"/>
      <c r="C264" s="218"/>
      <c r="D264" s="219"/>
      <c r="G264" s="224"/>
      <c r="H264" s="181"/>
      <c r="I264" s="181"/>
      <c r="J264" s="181"/>
      <c r="K264" s="214"/>
      <c r="L264" s="84"/>
      <c r="M264" s="84"/>
      <c r="N264" s="84"/>
      <c r="O264" s="84"/>
      <c r="P264" s="84"/>
      <c r="Q264" s="22"/>
      <c r="R264" s="178"/>
      <c r="S264" s="22"/>
      <c r="T264" s="22"/>
      <c r="U264" s="22"/>
      <c r="V264" s="197"/>
      <c r="W264" s="155"/>
      <c r="X264" s="155"/>
      <c r="Y264" s="155"/>
      <c r="Z264" s="155"/>
      <c r="AA264" s="155"/>
      <c r="AB264" s="155"/>
      <c r="AC264" s="155"/>
      <c r="AD264" s="155"/>
      <c r="AE264" s="155"/>
      <c r="AF264" s="155"/>
      <c r="AG264" s="155"/>
      <c r="AH264" s="155"/>
      <c r="AI264" s="155"/>
      <c r="AJ264" s="155"/>
      <c r="AK264" s="155"/>
      <c r="AL264" s="155"/>
      <c r="AM264" s="155"/>
      <c r="AN264" s="155"/>
      <c r="AO264" s="155"/>
      <c r="AP264" s="155"/>
      <c r="AQ264" s="155"/>
      <c r="AR264" s="155"/>
      <c r="AS264" s="155"/>
      <c r="AT264" s="155"/>
      <c r="AU264" s="155"/>
      <c r="AV264" s="155"/>
      <c r="AW264" s="155"/>
      <c r="AX264" s="155"/>
      <c r="AY264" s="155"/>
      <c r="AZ264" s="99"/>
      <c r="BA264" s="99"/>
      <c r="BE264" s="86"/>
      <c r="BF264" s="86"/>
      <c r="BG264" s="86"/>
      <c r="BH264" s="86"/>
      <c r="BJ264" s="86"/>
      <c r="BK264" s="86"/>
      <c r="BL264" s="86"/>
      <c r="BM264" s="86"/>
      <c r="BN264" s="86"/>
      <c r="BO264" s="156"/>
      <c r="BP264" s="87"/>
      <c r="BQ264" s="21"/>
      <c r="BR264" s="153"/>
      <c r="BS264" s="153"/>
      <c r="BT264" s="68"/>
      <c r="BU264" s="223"/>
    </row>
    <row r="265" spans="1:73" ht="15.75" customHeight="1" x14ac:dyDescent="0.4">
      <c r="A265" s="1"/>
      <c r="B265" s="209"/>
      <c r="C265" s="218"/>
      <c r="D265" s="219"/>
      <c r="G265" s="224"/>
      <c r="I265" s="181"/>
      <c r="J265" s="181"/>
      <c r="K265" s="214"/>
      <c r="L265" s="84"/>
      <c r="M265" s="84"/>
      <c r="N265" s="84"/>
      <c r="O265" s="84"/>
      <c r="P265" s="84"/>
      <c r="Q265" s="225"/>
      <c r="S265" s="22"/>
      <c r="T265" s="22"/>
      <c r="U265" s="22"/>
      <c r="V265" s="197"/>
      <c r="W265" s="155"/>
      <c r="X265" s="155"/>
      <c r="Y265" s="155"/>
      <c r="Z265" s="155"/>
      <c r="AA265" s="155"/>
      <c r="AB265" s="155"/>
      <c r="AC265" s="155"/>
      <c r="AD265" s="155"/>
      <c r="AE265" s="155"/>
      <c r="AF265" s="155"/>
      <c r="AG265" s="155"/>
      <c r="AH265" s="155"/>
      <c r="AI265" s="155"/>
      <c r="AJ265" s="155"/>
      <c r="AK265" s="155"/>
      <c r="AL265" s="155"/>
      <c r="AM265" s="155"/>
      <c r="AN265" s="155"/>
      <c r="AO265" s="155"/>
      <c r="AP265" s="155"/>
      <c r="AQ265" s="155"/>
      <c r="AR265" s="155"/>
      <c r="AS265" s="155"/>
      <c r="AT265" s="155"/>
      <c r="AU265" s="155"/>
      <c r="AV265" s="155"/>
      <c r="AW265" s="155"/>
      <c r="AX265" s="155"/>
      <c r="AY265" s="155"/>
      <c r="AZ265" s="99"/>
      <c r="BA265" s="99"/>
      <c r="BE265" s="86"/>
      <c r="BF265" s="86"/>
      <c r="BG265" s="86"/>
      <c r="BH265" s="86"/>
      <c r="BJ265" s="86"/>
      <c r="BK265" s="86"/>
      <c r="BL265" s="86"/>
      <c r="BM265" s="86"/>
      <c r="BN265" s="86"/>
      <c r="BO265" s="156"/>
      <c r="BP265" s="87"/>
      <c r="BQ265" s="21"/>
      <c r="BR265" s="153"/>
      <c r="BS265" s="153"/>
      <c r="BT265" s="68"/>
      <c r="BU265" s="1"/>
    </row>
    <row r="266" spans="1:73" ht="15.75" customHeight="1" x14ac:dyDescent="0.4">
      <c r="A266" s="1"/>
      <c r="B266" s="209"/>
      <c r="C266" s="218"/>
      <c r="D266" s="219"/>
      <c r="G266" s="212"/>
      <c r="H266" s="181"/>
      <c r="I266" s="181"/>
      <c r="J266" s="181"/>
      <c r="K266" s="181"/>
      <c r="P266" s="181"/>
      <c r="Q266" s="225"/>
      <c r="S266" s="22"/>
      <c r="T266" s="22"/>
      <c r="U266" s="22"/>
      <c r="V266" s="197"/>
      <c r="W266" s="155"/>
      <c r="X266" s="155"/>
      <c r="Y266" s="155"/>
      <c r="Z266" s="155"/>
      <c r="AA266" s="155"/>
      <c r="AB266" s="155"/>
      <c r="AC266" s="155"/>
      <c r="AD266" s="155"/>
      <c r="AE266" s="155"/>
      <c r="AF266" s="155"/>
      <c r="AG266" s="155"/>
      <c r="AH266" s="155"/>
      <c r="AI266" s="155"/>
      <c r="AJ266" s="155"/>
      <c r="AK266" s="155"/>
      <c r="AL266" s="155"/>
      <c r="AM266" s="155"/>
      <c r="AN266" s="155"/>
      <c r="AO266" s="155"/>
      <c r="AP266" s="155"/>
      <c r="AQ266" s="155"/>
      <c r="AR266" s="155"/>
      <c r="AS266" s="155"/>
      <c r="AT266" s="155"/>
      <c r="AU266" s="155"/>
      <c r="AV266" s="155"/>
      <c r="AW266" s="155"/>
      <c r="AX266" s="155"/>
      <c r="AY266" s="155"/>
      <c r="AZ266" s="99"/>
      <c r="BA266" s="99"/>
      <c r="BE266" s="86"/>
      <c r="BF266" s="86"/>
      <c r="BG266" s="86"/>
      <c r="BH266" s="86"/>
      <c r="BJ266" s="86"/>
      <c r="BK266" s="86"/>
      <c r="BL266" s="86"/>
      <c r="BM266" s="86"/>
      <c r="BN266" s="86"/>
      <c r="BO266" s="156"/>
      <c r="BP266" s="87"/>
      <c r="BQ266" s="21"/>
      <c r="BR266" s="153"/>
      <c r="BS266" s="153"/>
      <c r="BT266" s="68"/>
      <c r="BU266" s="1"/>
    </row>
    <row r="267" spans="1:73" ht="15" customHeight="1" x14ac:dyDescent="0.3">
      <c r="A267" s="1"/>
      <c r="B267" s="209"/>
      <c r="C267" s="218"/>
      <c r="D267" s="219"/>
      <c r="G267" s="22"/>
      <c r="H267" s="181"/>
      <c r="I267" s="181"/>
      <c r="J267" s="181"/>
      <c r="K267" s="214"/>
      <c r="L267" s="84"/>
      <c r="M267" s="84"/>
      <c r="N267" s="84"/>
      <c r="O267" s="84"/>
      <c r="P267" s="84"/>
      <c r="Q267" s="22"/>
      <c r="S267" s="22"/>
      <c r="T267" s="22"/>
      <c r="U267" s="22"/>
      <c r="V267" s="197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81"/>
      <c r="AJ267" s="181"/>
      <c r="AK267" s="181"/>
      <c r="AL267" s="181"/>
      <c r="AM267" s="181"/>
      <c r="AN267" s="181"/>
      <c r="AO267" s="181"/>
      <c r="AP267" s="181"/>
      <c r="AQ267" s="181"/>
      <c r="AR267" s="181"/>
      <c r="AS267" s="181"/>
      <c r="AT267" s="181"/>
      <c r="AU267" s="181"/>
      <c r="AV267" s="181"/>
      <c r="AW267" s="181"/>
      <c r="AX267" s="181"/>
      <c r="AY267" s="181"/>
      <c r="AZ267" s="99"/>
      <c r="BA267" s="99"/>
      <c r="BE267" s="226"/>
      <c r="BF267" s="226"/>
      <c r="BG267" s="226"/>
      <c r="BH267" s="226"/>
      <c r="BJ267" s="226"/>
      <c r="BK267" s="226"/>
      <c r="BL267" s="226"/>
      <c r="BM267" s="226"/>
      <c r="BN267" s="226"/>
      <c r="BO267" s="227"/>
      <c r="BP267" s="228"/>
      <c r="BQ267" s="21"/>
      <c r="BU267" s="1"/>
    </row>
    <row r="268" spans="1:73" ht="15" customHeight="1" x14ac:dyDescent="0.3">
      <c r="A268" s="1"/>
      <c r="B268" s="209"/>
      <c r="C268" s="218"/>
      <c r="D268" s="219"/>
      <c r="G268" s="22"/>
      <c r="H268" s="181"/>
      <c r="I268" s="181"/>
      <c r="J268" s="181"/>
      <c r="K268" s="214"/>
      <c r="L268" s="84"/>
      <c r="M268" s="84"/>
      <c r="N268" s="84"/>
      <c r="O268" s="84"/>
      <c r="P268" s="84"/>
      <c r="Q268" s="22"/>
      <c r="S268" s="22"/>
      <c r="T268" s="22"/>
      <c r="U268" s="22"/>
      <c r="V268" s="197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81"/>
      <c r="AJ268" s="181"/>
      <c r="AK268" s="181"/>
      <c r="AL268" s="181"/>
      <c r="AM268" s="181"/>
      <c r="AN268" s="181"/>
      <c r="AO268" s="181"/>
      <c r="AP268" s="181"/>
      <c r="AQ268" s="181"/>
      <c r="AR268" s="181"/>
      <c r="AS268" s="181"/>
      <c r="AT268" s="181"/>
      <c r="AU268" s="181"/>
      <c r="AV268" s="181"/>
      <c r="AW268" s="181"/>
      <c r="AX268" s="181"/>
      <c r="AY268" s="181"/>
      <c r="AZ268" s="99"/>
      <c r="BA268" s="99"/>
      <c r="BE268" s="226"/>
      <c r="BF268" s="226"/>
      <c r="BG268" s="226"/>
      <c r="BH268" s="226"/>
      <c r="BJ268" s="226"/>
      <c r="BK268" s="226"/>
      <c r="BL268" s="226"/>
      <c r="BM268" s="226"/>
      <c r="BN268" s="226"/>
      <c r="BO268" s="227"/>
      <c r="BP268" s="228"/>
      <c r="BQ268" s="21"/>
      <c r="BU268" s="1"/>
    </row>
    <row r="269" spans="1:73" ht="15" customHeight="1" x14ac:dyDescent="0.3">
      <c r="A269" s="223"/>
      <c r="B269" s="209"/>
      <c r="C269" s="218"/>
      <c r="D269" s="219"/>
      <c r="G269" s="22"/>
      <c r="I269" s="181"/>
      <c r="J269" s="181"/>
      <c r="K269" s="214"/>
      <c r="L269" s="84"/>
      <c r="M269" s="84"/>
      <c r="N269" s="84"/>
      <c r="O269" s="84"/>
      <c r="P269" s="84"/>
      <c r="Q269" s="22"/>
      <c r="S269" s="22"/>
      <c r="T269" s="22"/>
      <c r="U269" s="22"/>
      <c r="V269" s="197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81"/>
      <c r="AJ269" s="181"/>
      <c r="AK269" s="181"/>
      <c r="AL269" s="181"/>
      <c r="AM269" s="181"/>
      <c r="AN269" s="181"/>
      <c r="AO269" s="181"/>
      <c r="AP269" s="181"/>
      <c r="AQ269" s="181"/>
      <c r="AR269" s="181"/>
      <c r="AS269" s="181"/>
      <c r="AT269" s="181"/>
      <c r="AU269" s="181"/>
      <c r="AV269" s="181"/>
      <c r="AW269" s="181"/>
      <c r="AX269" s="181"/>
      <c r="AY269" s="181"/>
      <c r="AZ269" s="99"/>
      <c r="BA269" s="99"/>
      <c r="BE269" s="226"/>
      <c r="BF269" s="226"/>
      <c r="BG269" s="226"/>
      <c r="BH269" s="226"/>
      <c r="BJ269" s="226"/>
      <c r="BK269" s="226"/>
      <c r="BL269" s="226"/>
      <c r="BM269" s="226"/>
      <c r="BN269" s="226"/>
      <c r="BO269" s="227"/>
      <c r="BP269" s="228"/>
      <c r="BQ269" s="21"/>
      <c r="BU269" s="223"/>
    </row>
    <row r="270" spans="1:73" ht="15" customHeight="1" x14ac:dyDescent="0.3">
      <c r="A270" s="1"/>
      <c r="B270" s="209"/>
      <c r="C270" s="218"/>
      <c r="D270" s="219"/>
      <c r="G270" s="22"/>
      <c r="I270" s="181"/>
      <c r="J270" s="181"/>
      <c r="K270" s="214"/>
      <c r="L270" s="84"/>
      <c r="M270" s="84"/>
      <c r="N270" s="84"/>
      <c r="O270" s="84"/>
      <c r="P270" s="84"/>
      <c r="Q270" s="225"/>
      <c r="S270" s="22"/>
      <c r="T270" s="22"/>
      <c r="U270" s="22"/>
      <c r="V270" s="197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81"/>
      <c r="AJ270" s="181"/>
      <c r="AK270" s="181"/>
      <c r="AL270" s="181"/>
      <c r="AM270" s="181"/>
      <c r="AN270" s="181"/>
      <c r="AO270" s="181"/>
      <c r="AP270" s="181"/>
      <c r="AQ270" s="181"/>
      <c r="AR270" s="181"/>
      <c r="AS270" s="181"/>
      <c r="AT270" s="181"/>
      <c r="AU270" s="181"/>
      <c r="AV270" s="181"/>
      <c r="AW270" s="181"/>
      <c r="AX270" s="181"/>
      <c r="AY270" s="181"/>
      <c r="AZ270" s="99"/>
      <c r="BA270" s="99"/>
      <c r="BE270" s="226"/>
      <c r="BF270" s="226"/>
      <c r="BG270" s="226"/>
      <c r="BH270" s="226"/>
      <c r="BJ270" s="226"/>
      <c r="BK270" s="226"/>
      <c r="BL270" s="226"/>
      <c r="BM270" s="226"/>
      <c r="BN270" s="226"/>
      <c r="BO270" s="227"/>
      <c r="BP270" s="228"/>
      <c r="BQ270" s="21"/>
      <c r="BU270" s="1"/>
    </row>
    <row r="271" spans="1:73" ht="15" customHeight="1" x14ac:dyDescent="0.3">
      <c r="A271" s="1"/>
      <c r="B271" s="209"/>
      <c r="C271" s="218"/>
      <c r="D271" s="219"/>
      <c r="G271" s="212"/>
      <c r="H271" s="181"/>
      <c r="I271" s="181"/>
      <c r="J271" s="181"/>
      <c r="K271" s="181"/>
      <c r="P271" s="181"/>
      <c r="Q271" s="225"/>
      <c r="S271" s="22"/>
      <c r="T271" s="22"/>
      <c r="U271" s="22"/>
      <c r="V271" s="197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81"/>
      <c r="AJ271" s="181"/>
      <c r="AK271" s="181"/>
      <c r="AL271" s="181"/>
      <c r="AM271" s="181"/>
      <c r="AN271" s="181"/>
      <c r="AO271" s="181"/>
      <c r="AP271" s="181"/>
      <c r="AQ271" s="181"/>
      <c r="AR271" s="181"/>
      <c r="AS271" s="181"/>
      <c r="AT271" s="181"/>
      <c r="AU271" s="181"/>
      <c r="AV271" s="181"/>
      <c r="AW271" s="181"/>
      <c r="AX271" s="181"/>
      <c r="AY271" s="181"/>
      <c r="AZ271" s="99"/>
      <c r="BA271" s="99"/>
      <c r="BE271" s="226"/>
      <c r="BF271" s="226"/>
      <c r="BG271" s="226"/>
      <c r="BH271" s="226"/>
      <c r="BJ271" s="226"/>
      <c r="BK271" s="226"/>
      <c r="BL271" s="226"/>
      <c r="BM271" s="226"/>
      <c r="BN271" s="226"/>
      <c r="BO271" s="227"/>
      <c r="BP271" s="228"/>
      <c r="BQ271" s="21"/>
      <c r="BU271" s="1"/>
    </row>
    <row r="272" spans="1:73" ht="15" customHeight="1" x14ac:dyDescent="0.3">
      <c r="A272" s="1"/>
      <c r="B272" s="209"/>
      <c r="C272" s="218"/>
      <c r="D272" s="219"/>
      <c r="G272" s="22"/>
      <c r="H272" s="181"/>
      <c r="I272" s="181"/>
      <c r="J272" s="181"/>
      <c r="K272" s="214"/>
      <c r="L272" s="84"/>
      <c r="M272" s="84"/>
      <c r="N272" s="84"/>
      <c r="O272" s="84"/>
      <c r="P272" s="84"/>
      <c r="Q272" s="22"/>
      <c r="S272" s="22"/>
      <c r="T272" s="22"/>
      <c r="V272" s="197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81"/>
      <c r="AJ272" s="181"/>
      <c r="AK272" s="181"/>
      <c r="AL272" s="181"/>
      <c r="AM272" s="181"/>
      <c r="AN272" s="181"/>
      <c r="AO272" s="181"/>
      <c r="AP272" s="181"/>
      <c r="AQ272" s="181"/>
      <c r="AR272" s="181"/>
      <c r="AS272" s="181"/>
      <c r="AT272" s="181"/>
      <c r="AU272" s="181"/>
      <c r="AV272" s="181"/>
      <c r="AW272" s="181"/>
      <c r="AX272" s="181"/>
      <c r="AY272" s="181"/>
      <c r="AZ272" s="99"/>
      <c r="BA272" s="99"/>
      <c r="BE272" s="226"/>
      <c r="BF272" s="226"/>
      <c r="BG272" s="226"/>
      <c r="BH272" s="226"/>
      <c r="BJ272" s="226"/>
      <c r="BK272" s="226"/>
      <c r="BL272" s="226"/>
      <c r="BM272" s="226"/>
      <c r="BN272" s="226"/>
      <c r="BO272" s="227"/>
      <c r="BP272" s="228"/>
      <c r="BQ272" s="21"/>
      <c r="BU272" s="1"/>
    </row>
    <row r="273" spans="1:73" ht="15" customHeight="1" x14ac:dyDescent="0.3">
      <c r="A273" s="1"/>
      <c r="B273" s="209"/>
      <c r="C273" s="218"/>
      <c r="D273" s="219"/>
      <c r="G273" s="22"/>
      <c r="H273" s="181"/>
      <c r="I273" s="181"/>
      <c r="J273" s="181"/>
      <c r="K273" s="214"/>
      <c r="L273" s="84"/>
      <c r="M273" s="84"/>
      <c r="N273" s="84"/>
      <c r="O273" s="84"/>
      <c r="P273" s="84"/>
      <c r="Q273" s="22"/>
      <c r="S273" s="22"/>
      <c r="T273" s="22"/>
      <c r="V273" s="197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81"/>
      <c r="AI273" s="181"/>
      <c r="AJ273" s="181"/>
      <c r="AK273" s="181"/>
      <c r="AL273" s="181"/>
      <c r="AM273" s="181"/>
      <c r="AN273" s="181"/>
      <c r="AO273" s="181"/>
      <c r="AP273" s="181"/>
      <c r="AQ273" s="181"/>
      <c r="AR273" s="181"/>
      <c r="AS273" s="181"/>
      <c r="AT273" s="181"/>
      <c r="AU273" s="181"/>
      <c r="AV273" s="181"/>
      <c r="AW273" s="181"/>
      <c r="AX273" s="181"/>
      <c r="AY273" s="181"/>
      <c r="AZ273" s="99"/>
      <c r="BA273" s="99"/>
      <c r="BE273" s="226"/>
      <c r="BF273" s="226"/>
      <c r="BG273" s="226"/>
      <c r="BH273" s="226"/>
      <c r="BJ273" s="226"/>
      <c r="BK273" s="226"/>
      <c r="BL273" s="226"/>
      <c r="BM273" s="226"/>
      <c r="BN273" s="226"/>
      <c r="BO273" s="227"/>
      <c r="BP273" s="228"/>
      <c r="BQ273" s="21"/>
      <c r="BU273" s="1"/>
    </row>
    <row r="274" spans="1:73" ht="15" customHeight="1" x14ac:dyDescent="0.3">
      <c r="A274" s="223"/>
      <c r="B274" s="209"/>
      <c r="C274" s="218"/>
      <c r="D274" s="219"/>
      <c r="G274" s="22"/>
      <c r="I274" s="181"/>
      <c r="J274" s="181"/>
      <c r="K274" s="214"/>
      <c r="L274" s="84"/>
      <c r="M274" s="84"/>
      <c r="N274" s="84"/>
      <c r="O274" s="84"/>
      <c r="P274" s="84"/>
      <c r="Q274" s="22"/>
      <c r="S274" s="22"/>
      <c r="T274" s="22"/>
      <c r="V274" s="197"/>
      <c r="W274" s="181"/>
      <c r="X274" s="181"/>
      <c r="Y274" s="181"/>
      <c r="Z274" s="181"/>
      <c r="AA274" s="181"/>
      <c r="AB274" s="181"/>
      <c r="AC274" s="181"/>
      <c r="AD274" s="181"/>
      <c r="AE274" s="181"/>
      <c r="AF274" s="181"/>
      <c r="AG274" s="181"/>
      <c r="AH274" s="181"/>
      <c r="AI274" s="181"/>
      <c r="AJ274" s="181"/>
      <c r="AK274" s="181"/>
      <c r="AL274" s="181"/>
      <c r="AM274" s="181"/>
      <c r="AN274" s="181"/>
      <c r="AO274" s="181"/>
      <c r="AP274" s="181"/>
      <c r="AQ274" s="181"/>
      <c r="AR274" s="181"/>
      <c r="AS274" s="181"/>
      <c r="AT274" s="181"/>
      <c r="AU274" s="181"/>
      <c r="AV274" s="181"/>
      <c r="AW274" s="181"/>
      <c r="AX274" s="181"/>
      <c r="AY274" s="181"/>
      <c r="AZ274" s="99"/>
      <c r="BA274" s="99"/>
      <c r="BE274" s="226"/>
      <c r="BF274" s="226"/>
      <c r="BG274" s="226"/>
      <c r="BH274" s="226"/>
      <c r="BJ274" s="226"/>
      <c r="BK274" s="226"/>
      <c r="BL274" s="226"/>
      <c r="BM274" s="226"/>
      <c r="BN274" s="226"/>
      <c r="BO274" s="227"/>
      <c r="BP274" s="228"/>
      <c r="BQ274" s="21"/>
      <c r="BU274" s="223"/>
    </row>
    <row r="275" spans="1:73" ht="15" customHeight="1" x14ac:dyDescent="0.3">
      <c r="A275" s="1"/>
      <c r="B275" s="209"/>
      <c r="C275" s="218"/>
      <c r="D275" s="219"/>
      <c r="G275" s="22"/>
      <c r="I275" s="181"/>
      <c r="J275" s="181"/>
      <c r="K275" s="214"/>
      <c r="L275" s="84"/>
      <c r="M275" s="84"/>
      <c r="N275" s="84"/>
      <c r="O275" s="84"/>
      <c r="P275" s="84"/>
      <c r="Q275" s="22"/>
      <c r="S275" s="22"/>
      <c r="T275" s="22"/>
      <c r="U275" s="22"/>
      <c r="V275" s="197"/>
      <c r="W275" s="181"/>
      <c r="X275" s="181"/>
      <c r="Y275" s="181"/>
      <c r="Z275" s="181"/>
      <c r="AA275" s="181"/>
      <c r="AB275" s="181"/>
      <c r="AC275" s="181"/>
      <c r="AD275" s="181"/>
      <c r="AE275" s="181"/>
      <c r="AF275" s="181"/>
      <c r="AG275" s="181"/>
      <c r="AH275" s="181"/>
      <c r="AI275" s="181"/>
      <c r="AJ275" s="181"/>
      <c r="AK275" s="181"/>
      <c r="AL275" s="181"/>
      <c r="AM275" s="181"/>
      <c r="AN275" s="181"/>
      <c r="AO275" s="181"/>
      <c r="AP275" s="181"/>
      <c r="AQ275" s="181"/>
      <c r="AR275" s="181"/>
      <c r="AS275" s="181"/>
      <c r="AT275" s="181"/>
      <c r="AU275" s="181"/>
      <c r="AV275" s="181"/>
      <c r="AW275" s="181"/>
      <c r="AX275" s="181"/>
      <c r="AY275" s="181"/>
      <c r="AZ275" s="99"/>
      <c r="BA275" s="99"/>
      <c r="BE275" s="226"/>
      <c r="BF275" s="226"/>
      <c r="BG275" s="226"/>
      <c r="BH275" s="226"/>
      <c r="BJ275" s="226"/>
      <c r="BK275" s="226"/>
      <c r="BL275" s="226"/>
      <c r="BM275" s="226"/>
      <c r="BN275" s="226"/>
      <c r="BO275" s="227"/>
      <c r="BP275" s="228"/>
      <c r="BQ275" s="21"/>
      <c r="BU275" s="1"/>
    </row>
    <row r="276" spans="1:73" ht="15" customHeight="1" x14ac:dyDescent="0.3">
      <c r="A276" s="1"/>
      <c r="B276" s="209"/>
      <c r="C276" s="218"/>
      <c r="D276" s="219"/>
      <c r="G276" s="212"/>
      <c r="H276" s="181"/>
      <c r="I276" s="181"/>
      <c r="J276" s="181"/>
      <c r="K276" s="214"/>
      <c r="L276" s="84"/>
      <c r="M276" s="84"/>
      <c r="N276" s="84"/>
      <c r="O276" s="84"/>
      <c r="P276" s="84"/>
      <c r="Q276" s="225"/>
      <c r="S276" s="22"/>
      <c r="T276" s="22"/>
      <c r="U276" s="22"/>
      <c r="V276" s="197"/>
      <c r="W276" s="181"/>
      <c r="X276" s="181"/>
      <c r="Y276" s="181"/>
      <c r="Z276" s="181"/>
      <c r="AA276" s="181"/>
      <c r="AB276" s="181"/>
      <c r="AC276" s="181"/>
      <c r="AD276" s="181"/>
      <c r="AE276" s="181"/>
      <c r="AF276" s="181"/>
      <c r="AG276" s="181"/>
      <c r="AH276" s="181"/>
      <c r="AI276" s="181"/>
      <c r="AJ276" s="181"/>
      <c r="AK276" s="181"/>
      <c r="AL276" s="181"/>
      <c r="AM276" s="181"/>
      <c r="AN276" s="181"/>
      <c r="AO276" s="181"/>
      <c r="AP276" s="181"/>
      <c r="AQ276" s="181"/>
      <c r="AR276" s="181"/>
      <c r="AS276" s="181"/>
      <c r="AT276" s="181"/>
      <c r="AU276" s="181"/>
      <c r="AV276" s="181"/>
      <c r="AW276" s="181"/>
      <c r="AX276" s="181"/>
      <c r="AY276" s="181"/>
      <c r="AZ276" s="99"/>
      <c r="BA276" s="99"/>
      <c r="BE276" s="226"/>
      <c r="BF276" s="226"/>
      <c r="BG276" s="226"/>
      <c r="BH276" s="226"/>
      <c r="BJ276" s="226"/>
      <c r="BK276" s="226"/>
      <c r="BL276" s="226"/>
      <c r="BM276" s="226"/>
      <c r="BN276" s="226"/>
      <c r="BO276" s="227"/>
      <c r="BP276" s="228"/>
      <c r="BQ276" s="21"/>
      <c r="BU276" s="1"/>
    </row>
    <row r="277" spans="1:73" ht="15" customHeight="1" x14ac:dyDescent="0.3">
      <c r="A277" s="1"/>
      <c r="B277" s="209"/>
      <c r="C277" s="218"/>
      <c r="D277" s="219"/>
      <c r="G277" s="22"/>
      <c r="H277" s="181"/>
      <c r="I277" s="181"/>
      <c r="J277" s="181"/>
      <c r="K277" s="181"/>
      <c r="P277" s="181"/>
      <c r="Q277" s="225"/>
      <c r="S277" s="22"/>
      <c r="T277" s="22"/>
      <c r="V277" s="197"/>
      <c r="W277" s="181"/>
      <c r="X277" s="181"/>
      <c r="Y277" s="181"/>
      <c r="Z277" s="181"/>
      <c r="AA277" s="181"/>
      <c r="AB277" s="181"/>
      <c r="AC277" s="181"/>
      <c r="AD277" s="181"/>
      <c r="AE277" s="181"/>
      <c r="AF277" s="181"/>
      <c r="AG277" s="181"/>
      <c r="AH277" s="181"/>
      <c r="AI277" s="181"/>
      <c r="AJ277" s="181"/>
      <c r="AK277" s="181"/>
      <c r="AL277" s="181"/>
      <c r="AM277" s="181"/>
      <c r="AN277" s="181"/>
      <c r="AO277" s="181"/>
      <c r="AP277" s="181"/>
      <c r="AQ277" s="181"/>
      <c r="AR277" s="181"/>
      <c r="AS277" s="181"/>
      <c r="AT277" s="181"/>
      <c r="AU277" s="181"/>
      <c r="AV277" s="181"/>
      <c r="AW277" s="181"/>
      <c r="AX277" s="181"/>
      <c r="AY277" s="181"/>
      <c r="AZ277" s="99"/>
      <c r="BA277" s="99"/>
      <c r="BE277" s="226"/>
      <c r="BF277" s="226"/>
      <c r="BG277" s="226"/>
      <c r="BH277" s="226"/>
      <c r="BJ277" s="226"/>
      <c r="BK277" s="226"/>
      <c r="BL277" s="226"/>
      <c r="BM277" s="226"/>
      <c r="BN277" s="226"/>
      <c r="BO277" s="227"/>
      <c r="BP277" s="228"/>
      <c r="BQ277" s="21"/>
      <c r="BU277" s="1"/>
    </row>
    <row r="278" spans="1:73" ht="15" customHeight="1" x14ac:dyDescent="0.3">
      <c r="A278" s="1"/>
      <c r="B278" s="209"/>
      <c r="C278" s="218"/>
      <c r="D278" s="219"/>
      <c r="G278" s="22"/>
      <c r="H278" s="181"/>
      <c r="I278" s="181"/>
      <c r="J278" s="181"/>
      <c r="K278" s="214"/>
      <c r="L278" s="84"/>
      <c r="M278" s="84"/>
      <c r="N278" s="84"/>
      <c r="O278" s="84"/>
      <c r="P278" s="84"/>
      <c r="Q278" s="22"/>
      <c r="S278" s="22"/>
      <c r="T278" s="22"/>
      <c r="V278" s="197"/>
      <c r="W278" s="181"/>
      <c r="X278" s="181"/>
      <c r="Y278" s="181"/>
      <c r="Z278" s="181"/>
      <c r="AA278" s="181"/>
      <c r="AB278" s="181"/>
      <c r="AC278" s="181"/>
      <c r="AD278" s="181"/>
      <c r="AE278" s="181"/>
      <c r="AF278" s="181"/>
      <c r="AG278" s="181"/>
      <c r="AH278" s="181"/>
      <c r="AI278" s="181"/>
      <c r="AJ278" s="181"/>
      <c r="AK278" s="181"/>
      <c r="AL278" s="181"/>
      <c r="AM278" s="181"/>
      <c r="AN278" s="181"/>
      <c r="AO278" s="181"/>
      <c r="AP278" s="181"/>
      <c r="AQ278" s="181"/>
      <c r="AR278" s="181"/>
      <c r="AS278" s="181"/>
      <c r="AT278" s="181"/>
      <c r="AU278" s="181"/>
      <c r="AV278" s="181"/>
      <c r="AW278" s="181"/>
      <c r="AX278" s="181"/>
      <c r="AY278" s="181"/>
      <c r="AZ278" s="99"/>
      <c r="BA278" s="99"/>
      <c r="BE278" s="226"/>
      <c r="BF278" s="226"/>
      <c r="BG278" s="226"/>
      <c r="BH278" s="226"/>
      <c r="BJ278" s="226"/>
      <c r="BK278" s="226"/>
      <c r="BL278" s="226"/>
      <c r="BM278" s="226"/>
      <c r="BN278" s="226"/>
      <c r="BO278" s="227"/>
      <c r="BP278" s="228"/>
      <c r="BQ278" s="21"/>
      <c r="BU278" s="1"/>
    </row>
    <row r="279" spans="1:73" ht="15" customHeight="1" x14ac:dyDescent="0.3">
      <c r="A279" s="1"/>
      <c r="B279" s="209"/>
      <c r="C279" s="218"/>
      <c r="D279" s="219"/>
      <c r="G279" s="22"/>
      <c r="I279" s="181"/>
      <c r="J279" s="181"/>
      <c r="K279" s="214"/>
      <c r="L279" s="84"/>
      <c r="M279" s="84"/>
      <c r="N279" s="84"/>
      <c r="O279" s="84"/>
      <c r="P279" s="84"/>
      <c r="Q279" s="22"/>
      <c r="S279" s="22"/>
      <c r="T279" s="22"/>
      <c r="V279" s="197"/>
      <c r="W279" s="181"/>
      <c r="X279" s="181"/>
      <c r="Y279" s="181"/>
      <c r="Z279" s="181"/>
      <c r="AA279" s="181"/>
      <c r="AB279" s="181"/>
      <c r="AC279" s="181"/>
      <c r="AD279" s="181"/>
      <c r="AE279" s="181"/>
      <c r="AF279" s="181"/>
      <c r="AG279" s="181"/>
      <c r="AH279" s="181"/>
      <c r="AI279" s="181"/>
      <c r="AJ279" s="181"/>
      <c r="AK279" s="181"/>
      <c r="AL279" s="181"/>
      <c r="AM279" s="181"/>
      <c r="AN279" s="181"/>
      <c r="AO279" s="181"/>
      <c r="AP279" s="181"/>
      <c r="AQ279" s="181"/>
      <c r="AR279" s="181"/>
      <c r="AS279" s="181"/>
      <c r="AT279" s="181"/>
      <c r="AU279" s="181"/>
      <c r="AV279" s="181"/>
      <c r="AW279" s="181"/>
      <c r="AX279" s="181"/>
      <c r="AY279" s="181"/>
      <c r="AZ279" s="99"/>
      <c r="BA279" s="99"/>
      <c r="BE279" s="226"/>
      <c r="BF279" s="226"/>
      <c r="BG279" s="226"/>
      <c r="BH279" s="226"/>
      <c r="BJ279" s="226"/>
      <c r="BK279" s="226"/>
      <c r="BL279" s="226"/>
      <c r="BM279" s="226"/>
      <c r="BN279" s="226"/>
      <c r="BO279" s="227"/>
      <c r="BP279" s="228"/>
      <c r="BQ279" s="21"/>
      <c r="BU279" s="1"/>
    </row>
    <row r="280" spans="1:73" ht="15" customHeight="1" x14ac:dyDescent="0.3">
      <c r="A280" s="1"/>
      <c r="B280" s="209"/>
      <c r="C280" s="218"/>
      <c r="D280" s="219"/>
      <c r="G280" s="22"/>
      <c r="I280" s="181"/>
      <c r="J280" s="181"/>
      <c r="K280" s="214"/>
      <c r="L280" s="84"/>
      <c r="M280" s="84"/>
      <c r="N280" s="84"/>
      <c r="O280" s="84"/>
      <c r="P280" s="84"/>
      <c r="Q280" s="22"/>
      <c r="S280" s="22"/>
      <c r="T280" s="22"/>
      <c r="U280" s="22"/>
      <c r="V280" s="197"/>
      <c r="W280" s="181"/>
      <c r="X280" s="181"/>
      <c r="Y280" s="181"/>
      <c r="Z280" s="181"/>
      <c r="AA280" s="181"/>
      <c r="AB280" s="181"/>
      <c r="AC280" s="181"/>
      <c r="AD280" s="181"/>
      <c r="AE280" s="181"/>
      <c r="AF280" s="181"/>
      <c r="AG280" s="181"/>
      <c r="AH280" s="181"/>
      <c r="AI280" s="181"/>
      <c r="AJ280" s="181"/>
      <c r="AK280" s="181"/>
      <c r="AL280" s="181"/>
      <c r="AM280" s="181"/>
      <c r="AN280" s="181"/>
      <c r="AO280" s="181"/>
      <c r="AP280" s="181"/>
      <c r="AQ280" s="181"/>
      <c r="AR280" s="181"/>
      <c r="AS280" s="181"/>
      <c r="AT280" s="181"/>
      <c r="AU280" s="181"/>
      <c r="AV280" s="181"/>
      <c r="AW280" s="181"/>
      <c r="AX280" s="181"/>
      <c r="AY280" s="181"/>
      <c r="AZ280" s="99"/>
      <c r="BA280" s="99"/>
      <c r="BE280" s="226"/>
      <c r="BF280" s="226"/>
      <c r="BG280" s="226"/>
      <c r="BH280" s="226"/>
      <c r="BJ280" s="226"/>
      <c r="BK280" s="226"/>
      <c r="BL280" s="226"/>
      <c r="BM280" s="226"/>
      <c r="BN280" s="226"/>
      <c r="BO280" s="227"/>
      <c r="BP280" s="228"/>
      <c r="BQ280" s="21"/>
      <c r="BU280" s="1"/>
    </row>
    <row r="281" spans="1:73" ht="15" customHeight="1" x14ac:dyDescent="0.3">
      <c r="A281" s="1"/>
      <c r="B281" s="209"/>
      <c r="C281" s="218"/>
      <c r="D281" s="219"/>
      <c r="G281" s="22"/>
      <c r="I281" s="181"/>
      <c r="J281" s="181"/>
      <c r="K281" s="214"/>
      <c r="L281" s="84"/>
      <c r="M281" s="84"/>
      <c r="N281" s="84"/>
      <c r="O281" s="84"/>
      <c r="P281" s="84"/>
      <c r="Q281" s="225"/>
      <c r="S281" s="22"/>
      <c r="T281" s="22"/>
      <c r="U281" s="22"/>
      <c r="V281" s="197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81"/>
      <c r="AJ281" s="181"/>
      <c r="AK281" s="181"/>
      <c r="AL281" s="181"/>
      <c r="AM281" s="181"/>
      <c r="AN281" s="181"/>
      <c r="AO281" s="181"/>
      <c r="AP281" s="181"/>
      <c r="AQ281" s="181"/>
      <c r="AR281" s="181"/>
      <c r="AS281" s="181"/>
      <c r="AT281" s="181"/>
      <c r="AU281" s="181"/>
      <c r="AV281" s="181"/>
      <c r="AW281" s="181"/>
      <c r="AX281" s="181"/>
      <c r="AY281" s="181"/>
      <c r="AZ281" s="99"/>
      <c r="BA281" s="99"/>
      <c r="BE281" s="226"/>
      <c r="BF281" s="226"/>
      <c r="BG281" s="226"/>
      <c r="BH281" s="226"/>
      <c r="BJ281" s="226"/>
      <c r="BK281" s="226"/>
      <c r="BL281" s="226"/>
      <c r="BM281" s="226"/>
      <c r="BN281" s="226"/>
      <c r="BO281" s="227"/>
      <c r="BP281" s="228"/>
      <c r="BQ281" s="21"/>
      <c r="BU281" s="1"/>
    </row>
    <row r="282" spans="1:73" ht="15" customHeight="1" x14ac:dyDescent="0.3">
      <c r="A282" s="1"/>
      <c r="B282" s="209"/>
      <c r="C282" s="218"/>
      <c r="D282" s="219"/>
      <c r="G282" s="212"/>
      <c r="H282" s="181"/>
      <c r="I282" s="181"/>
      <c r="J282" s="181"/>
      <c r="K282" s="181"/>
      <c r="P282" s="181"/>
      <c r="Q282" s="225"/>
      <c r="S282" s="22"/>
      <c r="T282" s="22"/>
      <c r="U282" s="22"/>
      <c r="V282" s="197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81"/>
      <c r="AJ282" s="181"/>
      <c r="AK282" s="181"/>
      <c r="AL282" s="181"/>
      <c r="AM282" s="181"/>
      <c r="AN282" s="181"/>
      <c r="AO282" s="181"/>
      <c r="AP282" s="181"/>
      <c r="AQ282" s="181"/>
      <c r="AR282" s="181"/>
      <c r="AS282" s="181"/>
      <c r="AT282" s="181"/>
      <c r="AU282" s="181"/>
      <c r="AV282" s="181"/>
      <c r="AW282" s="181"/>
      <c r="AX282" s="181"/>
      <c r="AY282" s="181"/>
      <c r="AZ282" s="99"/>
      <c r="BA282" s="99"/>
      <c r="BE282" s="226"/>
      <c r="BF282" s="226"/>
      <c r="BG282" s="226"/>
      <c r="BH282" s="226"/>
      <c r="BJ282" s="226"/>
      <c r="BK282" s="226"/>
      <c r="BL282" s="226"/>
      <c r="BM282" s="226"/>
      <c r="BN282" s="226"/>
      <c r="BO282" s="227"/>
      <c r="BP282" s="228"/>
      <c r="BQ282" s="21"/>
      <c r="BU282" s="1"/>
    </row>
    <row r="283" spans="1:73" ht="15" customHeight="1" x14ac:dyDescent="0.3">
      <c r="A283" s="223"/>
      <c r="B283" s="209"/>
      <c r="C283" s="218"/>
      <c r="D283" s="219"/>
      <c r="G283" s="22"/>
      <c r="H283" s="181"/>
      <c r="I283" s="181"/>
      <c r="J283" s="181"/>
      <c r="K283" s="214"/>
      <c r="L283" s="84"/>
      <c r="M283" s="84"/>
      <c r="N283" s="84"/>
      <c r="O283" s="84"/>
      <c r="P283" s="84"/>
      <c r="Q283" s="22"/>
      <c r="S283" s="22"/>
      <c r="T283" s="22"/>
      <c r="V283" s="197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81"/>
      <c r="AJ283" s="181"/>
      <c r="AK283" s="181"/>
      <c r="AL283" s="181"/>
      <c r="AM283" s="181"/>
      <c r="AN283" s="181"/>
      <c r="AO283" s="181"/>
      <c r="AP283" s="181"/>
      <c r="AQ283" s="181"/>
      <c r="AR283" s="181"/>
      <c r="AS283" s="181"/>
      <c r="AT283" s="181"/>
      <c r="AU283" s="181"/>
      <c r="AV283" s="181"/>
      <c r="AW283" s="181"/>
      <c r="AX283" s="181"/>
      <c r="AY283" s="181"/>
      <c r="AZ283" s="99"/>
      <c r="BA283" s="99"/>
      <c r="BE283" s="226"/>
      <c r="BF283" s="226"/>
      <c r="BG283" s="226"/>
      <c r="BH283" s="226"/>
      <c r="BJ283" s="226"/>
      <c r="BK283" s="226"/>
      <c r="BL283" s="226"/>
      <c r="BM283" s="226"/>
      <c r="BN283" s="226"/>
      <c r="BO283" s="227"/>
      <c r="BP283" s="228"/>
      <c r="BQ283" s="21"/>
      <c r="BU283" s="223"/>
    </row>
    <row r="284" spans="1:73" ht="15" customHeight="1" x14ac:dyDescent="0.3">
      <c r="A284" s="1"/>
      <c r="B284" s="209"/>
      <c r="C284" s="218"/>
      <c r="D284" s="219"/>
      <c r="G284" s="22"/>
      <c r="H284" s="181"/>
      <c r="I284" s="181"/>
      <c r="J284" s="181"/>
      <c r="K284" s="214"/>
      <c r="L284" s="84"/>
      <c r="M284" s="84"/>
      <c r="N284" s="84"/>
      <c r="O284" s="84"/>
      <c r="P284" s="84"/>
      <c r="Q284" s="22"/>
      <c r="S284" s="22"/>
      <c r="T284" s="22"/>
      <c r="V284" s="197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81"/>
      <c r="AJ284" s="181"/>
      <c r="AK284" s="181"/>
      <c r="AL284" s="181"/>
      <c r="AM284" s="181"/>
      <c r="AN284" s="181"/>
      <c r="AO284" s="181"/>
      <c r="AP284" s="181"/>
      <c r="AQ284" s="181"/>
      <c r="AR284" s="181"/>
      <c r="AS284" s="181"/>
      <c r="AT284" s="181"/>
      <c r="AU284" s="181"/>
      <c r="AV284" s="181"/>
      <c r="AW284" s="181"/>
      <c r="AX284" s="181"/>
      <c r="AY284" s="181"/>
      <c r="AZ284" s="99"/>
      <c r="BA284" s="99"/>
      <c r="BE284" s="226"/>
      <c r="BF284" s="226"/>
      <c r="BG284" s="226"/>
      <c r="BH284" s="226"/>
      <c r="BJ284" s="226"/>
      <c r="BK284" s="226"/>
      <c r="BL284" s="226"/>
      <c r="BM284" s="226"/>
      <c r="BN284" s="226"/>
      <c r="BO284" s="227"/>
      <c r="BP284" s="228"/>
      <c r="BQ284" s="21"/>
      <c r="BU284" s="1"/>
    </row>
    <row r="285" spans="1:73" ht="15" customHeight="1" x14ac:dyDescent="0.3">
      <c r="A285" s="1"/>
      <c r="B285" s="209"/>
      <c r="C285" s="218"/>
      <c r="D285" s="219"/>
      <c r="G285" s="22"/>
      <c r="I285" s="181"/>
      <c r="J285" s="181"/>
      <c r="K285" s="214"/>
      <c r="L285" s="84"/>
      <c r="M285" s="84"/>
      <c r="N285" s="84"/>
      <c r="O285" s="84"/>
      <c r="P285" s="84"/>
      <c r="Q285" s="22"/>
      <c r="S285" s="22"/>
      <c r="T285" s="22"/>
      <c r="V285" s="197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81"/>
      <c r="AJ285" s="181"/>
      <c r="AK285" s="181"/>
      <c r="AL285" s="181"/>
      <c r="AM285" s="181"/>
      <c r="AN285" s="181"/>
      <c r="AO285" s="181"/>
      <c r="AP285" s="181"/>
      <c r="AQ285" s="181"/>
      <c r="AR285" s="181"/>
      <c r="AS285" s="181"/>
      <c r="AT285" s="181"/>
      <c r="AU285" s="181"/>
      <c r="AV285" s="181"/>
      <c r="AW285" s="181"/>
      <c r="AX285" s="181"/>
      <c r="AY285" s="181"/>
      <c r="AZ285" s="99"/>
      <c r="BA285" s="99"/>
      <c r="BE285" s="226"/>
      <c r="BF285" s="226"/>
      <c r="BG285" s="226"/>
      <c r="BH285" s="226"/>
      <c r="BJ285" s="226"/>
      <c r="BK285" s="226"/>
      <c r="BL285" s="226"/>
      <c r="BM285" s="226"/>
      <c r="BN285" s="226"/>
      <c r="BO285" s="227"/>
      <c r="BP285" s="228"/>
      <c r="BQ285" s="21"/>
      <c r="BU285" s="1"/>
    </row>
    <row r="286" spans="1:73" ht="15" customHeight="1" x14ac:dyDescent="0.3">
      <c r="A286" s="1"/>
      <c r="B286" s="209"/>
      <c r="C286" s="218"/>
      <c r="D286" s="219"/>
      <c r="G286" s="22"/>
      <c r="I286" s="181"/>
      <c r="J286" s="181"/>
      <c r="K286" s="214"/>
      <c r="L286" s="84"/>
      <c r="M286" s="84"/>
      <c r="N286" s="84"/>
      <c r="O286" s="84"/>
      <c r="P286" s="84"/>
      <c r="Q286" s="225"/>
      <c r="S286" s="22"/>
      <c r="T286" s="22"/>
      <c r="U286" s="22"/>
      <c r="V286" s="197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81"/>
      <c r="AJ286" s="181"/>
      <c r="AK286" s="181"/>
      <c r="AL286" s="181"/>
      <c r="AM286" s="181"/>
      <c r="AN286" s="181"/>
      <c r="AO286" s="181"/>
      <c r="AP286" s="181"/>
      <c r="AQ286" s="181"/>
      <c r="AR286" s="181"/>
      <c r="AS286" s="181"/>
      <c r="AT286" s="181"/>
      <c r="AU286" s="181"/>
      <c r="AV286" s="181"/>
      <c r="AW286" s="181"/>
      <c r="AX286" s="181"/>
      <c r="AY286" s="181"/>
      <c r="AZ286" s="99"/>
      <c r="BA286" s="99"/>
      <c r="BE286" s="226"/>
      <c r="BF286" s="226"/>
      <c r="BG286" s="226"/>
      <c r="BH286" s="226"/>
      <c r="BJ286" s="226"/>
      <c r="BK286" s="226"/>
      <c r="BL286" s="226"/>
      <c r="BM286" s="226"/>
      <c r="BN286" s="226"/>
      <c r="BO286" s="227"/>
      <c r="BP286" s="228"/>
      <c r="BQ286" s="21"/>
      <c r="BU286" s="1"/>
    </row>
    <row r="287" spans="1:73" ht="15" customHeight="1" x14ac:dyDescent="0.3">
      <c r="A287" s="1"/>
      <c r="B287" s="209"/>
      <c r="C287" s="218"/>
      <c r="D287" s="219"/>
      <c r="G287" s="212"/>
      <c r="H287" s="181"/>
      <c r="I287" s="181"/>
      <c r="L287"/>
      <c r="Q287" s="225"/>
      <c r="S287" s="22"/>
      <c r="T287" s="22"/>
      <c r="U287" s="22"/>
      <c r="V287" s="197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81"/>
      <c r="AJ287" s="181"/>
      <c r="AK287" s="181"/>
      <c r="AL287" s="181"/>
      <c r="AM287" s="181"/>
      <c r="AN287" s="181"/>
      <c r="AO287" s="181"/>
      <c r="AP287" s="181"/>
      <c r="AQ287" s="181"/>
      <c r="AR287" s="181"/>
      <c r="AS287" s="181"/>
      <c r="AT287" s="181"/>
      <c r="AU287" s="181"/>
      <c r="AV287" s="181"/>
      <c r="AW287" s="181"/>
      <c r="AX287" s="181"/>
      <c r="AY287" s="181"/>
      <c r="AZ287" s="99"/>
      <c r="BA287" s="99"/>
      <c r="BE287" s="226"/>
      <c r="BF287" s="226"/>
      <c r="BG287" s="226"/>
      <c r="BH287" s="226"/>
      <c r="BJ287" s="226"/>
      <c r="BK287" s="226"/>
      <c r="BL287" s="226"/>
      <c r="BM287" s="226"/>
      <c r="BN287" s="226"/>
      <c r="BO287" s="227"/>
      <c r="BP287" s="228"/>
      <c r="BQ287" s="21"/>
      <c r="BU287" s="1"/>
    </row>
    <row r="288" spans="1:73" ht="15" customHeight="1" x14ac:dyDescent="0.3">
      <c r="A288" s="223"/>
      <c r="B288" s="209"/>
      <c r="C288" s="218"/>
      <c r="D288" s="219"/>
      <c r="G288" s="22"/>
      <c r="H288" s="181"/>
      <c r="I288" s="181"/>
      <c r="L288"/>
      <c r="Q288" s="225"/>
      <c r="S288" s="22"/>
      <c r="T288" s="22"/>
      <c r="V288" s="197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81"/>
      <c r="AJ288" s="181"/>
      <c r="AK288" s="181"/>
      <c r="AL288" s="181"/>
      <c r="AM288" s="181"/>
      <c r="AN288" s="181"/>
      <c r="AO288" s="181"/>
      <c r="AP288" s="181"/>
      <c r="AQ288" s="181"/>
      <c r="AR288" s="181"/>
      <c r="AS288" s="181"/>
      <c r="AT288" s="181"/>
      <c r="AU288" s="181"/>
      <c r="AV288" s="181"/>
      <c r="AW288" s="181"/>
      <c r="AX288" s="181"/>
      <c r="AY288" s="181"/>
      <c r="AZ288" s="99"/>
      <c r="BA288" s="99"/>
      <c r="BE288" s="226"/>
      <c r="BF288" s="226"/>
      <c r="BG288" s="226"/>
      <c r="BH288" s="226"/>
      <c r="BJ288" s="226"/>
      <c r="BK288" s="226"/>
      <c r="BL288" s="226"/>
      <c r="BM288" s="226"/>
      <c r="BN288" s="226"/>
      <c r="BO288" s="227"/>
      <c r="BP288" s="228"/>
      <c r="BQ288" s="21"/>
      <c r="BU288" s="223"/>
    </row>
    <row r="289" spans="1:73" ht="15" customHeight="1" x14ac:dyDescent="0.3">
      <c r="A289" s="1"/>
      <c r="B289" s="209"/>
      <c r="C289" s="218"/>
      <c r="D289" s="219"/>
      <c r="G289" s="22"/>
      <c r="H289" s="181"/>
      <c r="I289" s="181"/>
      <c r="L289"/>
      <c r="Q289" s="225"/>
      <c r="S289" s="22"/>
      <c r="T289" s="22"/>
      <c r="V289" s="197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81"/>
      <c r="AJ289" s="181"/>
      <c r="AK289" s="181"/>
      <c r="AL289" s="181"/>
      <c r="AM289" s="181"/>
      <c r="AN289" s="181"/>
      <c r="AO289" s="181"/>
      <c r="AP289" s="181"/>
      <c r="AQ289" s="181"/>
      <c r="AR289" s="181"/>
      <c r="AS289" s="181"/>
      <c r="AT289" s="181"/>
      <c r="AU289" s="181"/>
      <c r="AV289" s="181"/>
      <c r="AW289" s="181"/>
      <c r="AX289" s="181"/>
      <c r="AY289" s="181"/>
      <c r="AZ289" s="99"/>
      <c r="BA289" s="99"/>
      <c r="BE289" s="226"/>
      <c r="BF289" s="226"/>
      <c r="BG289" s="226"/>
      <c r="BH289" s="226"/>
      <c r="BJ289" s="226"/>
      <c r="BK289" s="226"/>
      <c r="BL289" s="226"/>
      <c r="BM289" s="226"/>
      <c r="BN289" s="226"/>
      <c r="BO289" s="227"/>
      <c r="BP289" s="228"/>
      <c r="BQ289" s="21"/>
      <c r="BU289" s="1"/>
    </row>
    <row r="290" spans="1:73" ht="15" customHeight="1" x14ac:dyDescent="0.3">
      <c r="A290" s="1"/>
      <c r="C290" s="218"/>
      <c r="D290" s="219"/>
      <c r="G290" s="22"/>
      <c r="I290" s="181"/>
      <c r="J290" s="181"/>
      <c r="Q290" s="225"/>
      <c r="S290" s="22"/>
      <c r="T290" s="22"/>
      <c r="V290" s="197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81"/>
      <c r="AJ290" s="181"/>
      <c r="AK290" s="181"/>
      <c r="AL290" s="181"/>
      <c r="AM290" s="181"/>
      <c r="AN290" s="181"/>
      <c r="AO290" s="181"/>
      <c r="AP290" s="181"/>
      <c r="AQ290" s="181"/>
      <c r="AR290" s="181"/>
      <c r="AS290" s="181"/>
      <c r="AT290" s="181"/>
      <c r="AU290" s="181"/>
      <c r="AV290" s="181"/>
      <c r="AW290" s="181"/>
      <c r="AX290" s="181"/>
      <c r="AY290" s="181"/>
      <c r="AZ290" s="99"/>
      <c r="BA290" s="99"/>
      <c r="BE290" s="226"/>
      <c r="BF290" s="226"/>
      <c r="BG290" s="226"/>
      <c r="BH290" s="226"/>
      <c r="BJ290" s="226"/>
      <c r="BK290" s="226"/>
      <c r="BL290" s="226"/>
      <c r="BM290" s="226"/>
      <c r="BN290" s="226"/>
      <c r="BO290" s="227"/>
      <c r="BP290" s="228"/>
      <c r="BQ290" s="21"/>
      <c r="BU290" s="1"/>
    </row>
    <row r="291" spans="1:73" ht="15.75" customHeight="1" x14ac:dyDescent="0.35">
      <c r="A291" s="1"/>
      <c r="D291"/>
      <c r="E291"/>
      <c r="BO291" s="230"/>
      <c r="BP291" s="231"/>
      <c r="BU291" s="1"/>
    </row>
    <row r="292" spans="1:73" ht="15.75" customHeight="1" x14ac:dyDescent="0.35">
      <c r="A292" s="1"/>
      <c r="D292"/>
      <c r="E292"/>
      <c r="BO292" s="230"/>
      <c r="BP292" s="231"/>
      <c r="BU292" s="1"/>
    </row>
    <row r="293" spans="1:73" ht="15.75" customHeight="1" x14ac:dyDescent="0.35">
      <c r="A293" s="1"/>
      <c r="BO293" s="230"/>
      <c r="BP293" s="231"/>
      <c r="BU293" s="1"/>
    </row>
    <row r="294" spans="1:73" ht="15.75" customHeight="1" x14ac:dyDescent="0.35">
      <c r="A294" s="223"/>
      <c r="BO294" s="230"/>
      <c r="BP294" s="231"/>
      <c r="BU294" s="223"/>
    </row>
    <row r="295" spans="1:73" ht="15.75" customHeight="1" x14ac:dyDescent="0.3">
      <c r="A295" s="223"/>
      <c r="S295"/>
      <c r="V295"/>
      <c r="BO295" s="230"/>
      <c r="BP295" s="231"/>
      <c r="BU295" s="223"/>
    </row>
    <row r="296" spans="1:73" ht="15.75" customHeight="1" x14ac:dyDescent="0.3">
      <c r="A296" s="1"/>
      <c r="S296"/>
      <c r="V296"/>
      <c r="BO296" s="230"/>
      <c r="BP296" s="231"/>
      <c r="BU296" s="1"/>
    </row>
    <row r="297" spans="1:73" ht="15" customHeight="1" x14ac:dyDescent="0.3">
      <c r="A297" s="1"/>
      <c r="S297"/>
      <c r="V297"/>
      <c r="BO297" s="230"/>
      <c r="BP297" s="231"/>
      <c r="BU297" s="1"/>
    </row>
    <row r="298" spans="1:73" ht="15" customHeight="1" x14ac:dyDescent="0.3">
      <c r="A298" s="1"/>
      <c r="S298"/>
      <c r="V298"/>
      <c r="BB298" s="125"/>
      <c r="BC298" s="125"/>
      <c r="BD298" s="125"/>
      <c r="BE298" s="125"/>
      <c r="BF298" s="125"/>
      <c r="BG298" s="125"/>
      <c r="BH298" s="125"/>
      <c r="BI298" s="125"/>
      <c r="BJ298" s="125"/>
      <c r="BK298" s="125"/>
      <c r="BL298" s="125"/>
      <c r="BM298" s="125"/>
      <c r="BN298" s="125"/>
      <c r="BO298" s="230"/>
      <c r="BP298" s="231"/>
      <c r="BQ298" s="68"/>
      <c r="BR298" s="68"/>
      <c r="BS298" s="68"/>
      <c r="BT298" s="68"/>
      <c r="BU298" s="1"/>
    </row>
    <row r="299" spans="1:73" ht="15" customHeight="1" x14ac:dyDescent="0.35">
      <c r="A299" s="223"/>
      <c r="BB299" s="125"/>
      <c r="BC299" s="125"/>
      <c r="BD299" s="125"/>
      <c r="BE299" s="125"/>
      <c r="BF299" s="125"/>
      <c r="BG299" s="125"/>
      <c r="BH299" s="125"/>
      <c r="BI299" s="125"/>
      <c r="BJ299" s="125"/>
      <c r="BK299" s="125"/>
      <c r="BL299" s="125"/>
      <c r="BM299" s="125"/>
      <c r="BN299" s="125"/>
      <c r="BO299" s="230"/>
      <c r="BP299" s="231"/>
      <c r="BQ299" s="68"/>
      <c r="BR299" s="68"/>
      <c r="BS299" s="68"/>
      <c r="BT299" s="68"/>
      <c r="BU299" s="223"/>
    </row>
    <row r="300" spans="1:73" ht="15" customHeight="1" x14ac:dyDescent="0.35">
      <c r="A300" s="223"/>
      <c r="BB300" s="125"/>
      <c r="BC300" s="125"/>
      <c r="BD300" s="125"/>
      <c r="BE300" s="125"/>
      <c r="BF300" s="125"/>
      <c r="BG300" s="125"/>
      <c r="BH300" s="125"/>
      <c r="BI300" s="125"/>
      <c r="BJ300" s="125"/>
      <c r="BK300" s="125"/>
      <c r="BL300" s="125"/>
      <c r="BM300" s="125"/>
      <c r="BN300" s="125"/>
      <c r="BO300" s="230"/>
      <c r="BP300" s="231"/>
      <c r="BQ300" s="68"/>
      <c r="BR300" s="68"/>
      <c r="BS300" s="68"/>
      <c r="BT300" s="68"/>
      <c r="BU300" s="223"/>
    </row>
    <row r="301" spans="1:73" ht="15.75" customHeight="1" x14ac:dyDescent="0.35">
      <c r="A301" s="1"/>
      <c r="BB301" s="125"/>
      <c r="BC301" s="125"/>
      <c r="BD301" s="125"/>
      <c r="BE301" s="125"/>
      <c r="BF301" s="125"/>
      <c r="BG301" s="125"/>
      <c r="BH301" s="125"/>
      <c r="BI301" s="125"/>
      <c r="BJ301" s="125"/>
      <c r="BK301" s="125"/>
      <c r="BL301" s="125"/>
      <c r="BM301" s="125"/>
      <c r="BN301" s="125"/>
      <c r="BO301" s="230"/>
      <c r="BP301" s="231"/>
      <c r="BQ301" s="68"/>
      <c r="BR301" s="68"/>
      <c r="BS301" s="68"/>
      <c r="BT301" s="68"/>
      <c r="BU301" s="1"/>
    </row>
    <row r="302" spans="1:73" ht="409.6" customHeight="1" x14ac:dyDescent="0.35">
      <c r="A302" s="1"/>
      <c r="BU302" s="1"/>
    </row>
    <row r="303" spans="1:73" ht="409.6" customHeight="1" x14ac:dyDescent="0.3">
      <c r="A303" s="1"/>
      <c r="R303"/>
      <c r="S303"/>
      <c r="V303"/>
      <c r="BU303" s="1"/>
    </row>
    <row r="304" spans="1:73" ht="409.6" customHeight="1" x14ac:dyDescent="0.3">
      <c r="A304" s="223"/>
      <c r="D304"/>
      <c r="E304"/>
      <c r="R304"/>
      <c r="S304"/>
      <c r="V304"/>
      <c r="BU304" s="223"/>
    </row>
    <row r="305" spans="1:73" ht="409.6" customHeight="1" x14ac:dyDescent="0.35">
      <c r="D305"/>
      <c r="E305"/>
      <c r="R305"/>
    </row>
    <row r="306" spans="1:73" ht="15" x14ac:dyDescent="0.35">
      <c r="A306"/>
      <c r="R306"/>
      <c r="BB306" s="125"/>
      <c r="BC306" s="125"/>
      <c r="BD306" s="125"/>
      <c r="BE306" s="125"/>
      <c r="BF306" s="125"/>
      <c r="BG306" s="125"/>
      <c r="BH306" s="125"/>
      <c r="BI306" s="125"/>
      <c r="BJ306" s="125"/>
      <c r="BK306" s="125"/>
      <c r="BL306" s="125"/>
      <c r="BM306" s="125"/>
      <c r="BN306" s="125"/>
      <c r="BO306"/>
      <c r="BP306" s="68"/>
      <c r="BQ306" s="68"/>
      <c r="BR306" s="68"/>
      <c r="BS306" s="68"/>
      <c r="BT306" s="68"/>
      <c r="BU306"/>
    </row>
    <row r="307" spans="1:73" ht="15" x14ac:dyDescent="0.35">
      <c r="A307"/>
      <c r="D307"/>
      <c r="E307"/>
      <c r="L307"/>
      <c r="M307"/>
      <c r="N307"/>
      <c r="O307"/>
      <c r="BB307" s="125"/>
      <c r="BC307" s="125"/>
      <c r="BD307" s="125"/>
      <c r="BE307" s="125"/>
      <c r="BF307" s="125"/>
      <c r="BG307" s="125"/>
      <c r="BH307" s="125"/>
      <c r="BI307" s="125"/>
      <c r="BJ307" s="125"/>
      <c r="BK307" s="125"/>
      <c r="BL307" s="125"/>
      <c r="BM307" s="125"/>
      <c r="BN307" s="125"/>
      <c r="BO307"/>
      <c r="BP307" s="68"/>
      <c r="BQ307" s="68"/>
      <c r="BR307" s="68"/>
      <c r="BS307" s="68"/>
      <c r="BT307" s="68"/>
      <c r="BU307"/>
    </row>
    <row r="308" spans="1:73" ht="15" x14ac:dyDescent="0.35">
      <c r="D308"/>
      <c r="E308"/>
      <c r="L308"/>
      <c r="M308"/>
      <c r="N308"/>
      <c r="O308"/>
    </row>
    <row r="309" spans="1:73" ht="15" x14ac:dyDescent="0.35">
      <c r="D309"/>
      <c r="E309"/>
      <c r="L309"/>
      <c r="M309"/>
      <c r="N309"/>
      <c r="O309"/>
    </row>
    <row r="310" spans="1:73" ht="14.4" x14ac:dyDescent="0.3">
      <c r="D310"/>
      <c r="E310"/>
      <c r="L310"/>
      <c r="M310"/>
      <c r="N310"/>
      <c r="O310"/>
      <c r="S310"/>
      <c r="V310"/>
    </row>
    <row r="311" spans="1:73" ht="14.4" x14ac:dyDescent="0.3">
      <c r="L311"/>
      <c r="M311"/>
      <c r="N311"/>
      <c r="O311"/>
      <c r="S311"/>
      <c r="V311"/>
    </row>
    <row r="312" spans="1:73" ht="14.4" x14ac:dyDescent="0.3">
      <c r="L312"/>
      <c r="M312"/>
      <c r="N312"/>
      <c r="O312"/>
      <c r="S312"/>
      <c r="V312"/>
    </row>
    <row r="313" spans="1:73" ht="14.4" x14ac:dyDescent="0.3">
      <c r="A313"/>
      <c r="L313"/>
      <c r="M313"/>
      <c r="N313"/>
      <c r="O313"/>
      <c r="S313"/>
      <c r="V313"/>
      <c r="BB313" s="125"/>
      <c r="BC313" s="125"/>
      <c r="BD313" s="125"/>
      <c r="BE313" s="125"/>
      <c r="BF313" s="125"/>
      <c r="BG313" s="125"/>
      <c r="BH313" s="125"/>
      <c r="BI313" s="125"/>
      <c r="BJ313" s="125"/>
      <c r="BK313" s="125"/>
      <c r="BL313" s="125"/>
      <c r="BM313" s="125"/>
      <c r="BN313" s="125"/>
      <c r="BO313"/>
      <c r="BP313" s="68"/>
      <c r="BQ313" s="68"/>
      <c r="BR313" s="68"/>
      <c r="BS313" s="68"/>
      <c r="BT313" s="68"/>
      <c r="BU313"/>
    </row>
    <row r="314" spans="1:73" ht="15" x14ac:dyDescent="0.35">
      <c r="A314"/>
      <c r="L314"/>
      <c r="M314"/>
      <c r="N314"/>
      <c r="O314"/>
      <c r="BB314" s="125"/>
      <c r="BC314" s="125"/>
      <c r="BD314" s="125"/>
      <c r="BE314" s="125"/>
      <c r="BF314" s="125"/>
      <c r="BG314" s="125"/>
      <c r="BH314" s="125"/>
      <c r="BI314" s="125"/>
      <c r="BJ314" s="125"/>
      <c r="BK314" s="125"/>
      <c r="BL314" s="125"/>
      <c r="BM314" s="125"/>
      <c r="BN314" s="125"/>
      <c r="BO314"/>
      <c r="BP314" s="68"/>
      <c r="BQ314" s="68"/>
      <c r="BR314" s="68"/>
      <c r="BS314" s="68"/>
      <c r="BT314" s="68"/>
      <c r="BU314"/>
    </row>
    <row r="315" spans="1:73" ht="15" x14ac:dyDescent="0.35">
      <c r="A315"/>
      <c r="BB315" s="125"/>
      <c r="BC315" s="125"/>
      <c r="BD315" s="125"/>
      <c r="BE315" s="125"/>
      <c r="BF315" s="125"/>
      <c r="BG315" s="125"/>
      <c r="BH315" s="125"/>
      <c r="BI315" s="125"/>
      <c r="BJ315" s="125"/>
      <c r="BK315" s="125"/>
      <c r="BL315" s="125"/>
      <c r="BM315" s="125"/>
      <c r="BN315" s="125"/>
      <c r="BO315"/>
      <c r="BP315" s="68"/>
      <c r="BQ315" s="68"/>
      <c r="BR315" s="68"/>
      <c r="BS315" s="68"/>
      <c r="BT315" s="68"/>
      <c r="BU315"/>
    </row>
    <row r="316" spans="1:73" ht="15" x14ac:dyDescent="0.35">
      <c r="A316"/>
      <c r="BB316" s="125"/>
      <c r="BC316" s="125"/>
      <c r="BD316" s="125"/>
      <c r="BE316" s="125"/>
      <c r="BF316" s="125"/>
      <c r="BG316" s="125"/>
      <c r="BH316" s="125"/>
      <c r="BI316" s="125"/>
      <c r="BJ316" s="125"/>
      <c r="BK316" s="125"/>
      <c r="BL316" s="125"/>
      <c r="BM316" s="125"/>
      <c r="BN316" s="125"/>
      <c r="BO316"/>
      <c r="BP316" s="68"/>
      <c r="BQ316" s="68"/>
      <c r="BR316" s="68"/>
      <c r="BS316" s="68"/>
      <c r="BT316" s="68"/>
      <c r="BU316"/>
    </row>
    <row r="317" spans="1:73" ht="15" x14ac:dyDescent="0.35"/>
    <row r="318" spans="1:73" ht="15" x14ac:dyDescent="0.35"/>
    <row r="320" spans="1:73" ht="409.6" customHeight="1" x14ac:dyDescent="0.35">
      <c r="D320"/>
      <c r="E320"/>
    </row>
    <row r="321" spans="1:73" ht="409.6" customHeight="1" x14ac:dyDescent="0.35">
      <c r="D321"/>
      <c r="E321"/>
    </row>
    <row r="322" spans="1:73" ht="409.6" customHeight="1" x14ac:dyDescent="0.35">
      <c r="D322"/>
      <c r="E322"/>
    </row>
    <row r="323" spans="1:73" ht="409.6" customHeight="1" x14ac:dyDescent="0.35">
      <c r="D323"/>
      <c r="E323"/>
    </row>
    <row r="324" spans="1:73" ht="409.6" customHeight="1" x14ac:dyDescent="0.35">
      <c r="D324"/>
      <c r="E324"/>
    </row>
    <row r="325" spans="1:73" ht="15" x14ac:dyDescent="0.35">
      <c r="D325"/>
      <c r="E325"/>
    </row>
    <row r="326" spans="1:73" ht="15.75" customHeight="1" x14ac:dyDescent="0.35">
      <c r="D326"/>
      <c r="E326"/>
    </row>
    <row r="327" spans="1:73" ht="15" x14ac:dyDescent="0.35"/>
    <row r="328" spans="1:73" ht="15" x14ac:dyDescent="0.35">
      <c r="A328"/>
      <c r="D328"/>
      <c r="E328"/>
      <c r="BB328" s="125"/>
      <c r="BC328" s="125"/>
      <c r="BD328" s="125"/>
      <c r="BE328" s="125"/>
      <c r="BF328" s="125"/>
      <c r="BG328" s="125"/>
      <c r="BH328" s="125"/>
      <c r="BI328" s="125"/>
      <c r="BJ328" s="125"/>
      <c r="BK328" s="125"/>
      <c r="BL328" s="125"/>
      <c r="BM328" s="125"/>
      <c r="BN328" s="125"/>
      <c r="BO328"/>
      <c r="BP328" s="68"/>
      <c r="BQ328" s="68"/>
      <c r="BR328" s="68"/>
      <c r="BS328" s="68"/>
      <c r="BT328" s="68"/>
      <c r="BU328"/>
    </row>
    <row r="329" spans="1:73" ht="15" x14ac:dyDescent="0.35">
      <c r="A329"/>
      <c r="BB329" s="125"/>
      <c r="BC329" s="125"/>
      <c r="BD329" s="125"/>
      <c r="BE329" s="125"/>
      <c r="BF329" s="125"/>
      <c r="BG329" s="125"/>
      <c r="BH329" s="125"/>
      <c r="BI329" s="125"/>
      <c r="BJ329" s="125"/>
      <c r="BK329" s="125"/>
      <c r="BL329" s="125"/>
      <c r="BM329" s="125"/>
      <c r="BN329" s="125"/>
      <c r="BO329"/>
      <c r="BP329" s="68"/>
      <c r="BQ329" s="68"/>
      <c r="BR329" s="68"/>
      <c r="BS329" s="68"/>
      <c r="BT329" s="68"/>
      <c r="BU329"/>
    </row>
    <row r="330" spans="1:73" ht="15" x14ac:dyDescent="0.35">
      <c r="A330"/>
      <c r="BB330" s="125"/>
      <c r="BC330" s="125"/>
      <c r="BD330" s="125"/>
      <c r="BE330" s="125"/>
      <c r="BF330" s="125"/>
      <c r="BG330" s="125"/>
      <c r="BH330" s="125"/>
      <c r="BI330" s="125"/>
      <c r="BJ330" s="125"/>
      <c r="BK330" s="125"/>
      <c r="BL330" s="125"/>
      <c r="BM330" s="125"/>
      <c r="BN330" s="125"/>
      <c r="BO330"/>
      <c r="BP330" s="68"/>
      <c r="BQ330" s="68"/>
      <c r="BR330" s="68"/>
      <c r="BS330" s="68"/>
      <c r="BT330" s="68"/>
      <c r="BU330"/>
    </row>
    <row r="331" spans="1:73" ht="15" x14ac:dyDescent="0.35">
      <c r="A331"/>
      <c r="D331"/>
      <c r="E331"/>
      <c r="BB331" s="125"/>
      <c r="BC331" s="125"/>
      <c r="BD331" s="125"/>
      <c r="BE331" s="125"/>
      <c r="BF331" s="125"/>
      <c r="BG331" s="125"/>
      <c r="BH331" s="125"/>
      <c r="BI331" s="125"/>
      <c r="BJ331" s="125"/>
      <c r="BK331" s="125"/>
      <c r="BL331" s="125"/>
      <c r="BM331" s="125"/>
      <c r="BN331" s="125"/>
      <c r="BO331"/>
      <c r="BP331" s="68"/>
      <c r="BQ331" s="68"/>
      <c r="BR331" s="68"/>
      <c r="BS331" s="68"/>
      <c r="BT331" s="68"/>
      <c r="BU331"/>
    </row>
    <row r="332" spans="1:73" ht="15" x14ac:dyDescent="0.35">
      <c r="A332"/>
      <c r="D332"/>
      <c r="E332"/>
      <c r="BB332" s="125"/>
      <c r="BC332" s="125"/>
      <c r="BD332" s="125"/>
      <c r="BE332" s="125"/>
      <c r="BF332" s="125"/>
      <c r="BG332" s="125"/>
      <c r="BH332" s="125"/>
      <c r="BI332" s="125"/>
      <c r="BJ332" s="125"/>
      <c r="BK332" s="125"/>
      <c r="BL332" s="125"/>
      <c r="BM332" s="125"/>
      <c r="BN332" s="125"/>
      <c r="BO332"/>
      <c r="BP332" s="68"/>
      <c r="BQ332" s="68"/>
      <c r="BR332" s="68"/>
      <c r="BS332" s="68"/>
      <c r="BT332" s="68"/>
      <c r="BU332"/>
    </row>
    <row r="333" spans="1:73" ht="15" x14ac:dyDescent="0.35">
      <c r="A333"/>
      <c r="L333"/>
      <c r="M333"/>
      <c r="N333"/>
      <c r="O333"/>
      <c r="BB333" s="125"/>
      <c r="BC333" s="125"/>
      <c r="BD333" s="125"/>
      <c r="BE333" s="125"/>
      <c r="BF333" s="125"/>
      <c r="BG333" s="125"/>
      <c r="BH333" s="125"/>
      <c r="BI333" s="125"/>
      <c r="BJ333" s="125"/>
      <c r="BK333" s="125"/>
      <c r="BL333" s="125"/>
      <c r="BM333" s="125"/>
      <c r="BN333" s="125"/>
      <c r="BO333"/>
      <c r="BP333" s="68"/>
      <c r="BQ333" s="68"/>
      <c r="BR333" s="68"/>
      <c r="BS333" s="68"/>
      <c r="BT333" s="68"/>
      <c r="BU333"/>
    </row>
    <row r="334" spans="1:73" ht="15" x14ac:dyDescent="0.35">
      <c r="A334"/>
      <c r="D334"/>
      <c r="E334"/>
      <c r="L334"/>
      <c r="M334"/>
      <c r="N334"/>
      <c r="O334"/>
      <c r="BB334" s="125"/>
      <c r="BC334" s="125"/>
      <c r="BD334" s="125"/>
      <c r="BE334" s="125"/>
      <c r="BF334" s="125"/>
      <c r="BG334" s="125"/>
      <c r="BH334" s="125"/>
      <c r="BI334" s="125"/>
      <c r="BJ334" s="125"/>
      <c r="BK334" s="125"/>
      <c r="BL334" s="125"/>
      <c r="BM334" s="125"/>
      <c r="BN334" s="125"/>
      <c r="BO334"/>
      <c r="BP334" s="68"/>
      <c r="BQ334" s="68"/>
      <c r="BR334" s="68"/>
      <c r="BS334" s="68"/>
      <c r="BT334" s="68"/>
      <c r="BU334"/>
    </row>
    <row r="335" spans="1:73" ht="15" x14ac:dyDescent="0.35">
      <c r="L335"/>
      <c r="M335"/>
      <c r="N335"/>
      <c r="O335"/>
      <c r="R335"/>
    </row>
    <row r="336" spans="1:73" ht="14.4" x14ac:dyDescent="0.3">
      <c r="A336"/>
      <c r="L336"/>
      <c r="M336"/>
      <c r="N336"/>
      <c r="O336"/>
      <c r="R336"/>
      <c r="S336"/>
      <c r="V336"/>
      <c r="BB336" s="125"/>
      <c r="BC336" s="125"/>
      <c r="BD336" s="125"/>
      <c r="BE336" s="125"/>
      <c r="BF336" s="125"/>
      <c r="BG336" s="125"/>
      <c r="BH336" s="125"/>
      <c r="BI336" s="125"/>
      <c r="BJ336" s="125"/>
      <c r="BK336" s="125"/>
      <c r="BL336" s="125"/>
      <c r="BM336" s="125"/>
      <c r="BN336" s="125"/>
      <c r="BO336"/>
      <c r="BP336" s="68"/>
      <c r="BQ336" s="68"/>
      <c r="BR336" s="68"/>
      <c r="BS336" s="68"/>
      <c r="BT336" s="68"/>
      <c r="BU336"/>
    </row>
    <row r="337" spans="1:73" ht="14.4" x14ac:dyDescent="0.3">
      <c r="A337"/>
      <c r="L337"/>
      <c r="M337"/>
      <c r="N337"/>
      <c r="O337"/>
      <c r="R337"/>
      <c r="S337"/>
      <c r="V337"/>
      <c r="BB337" s="125"/>
      <c r="BC337" s="125"/>
      <c r="BD337" s="125"/>
      <c r="BE337" s="125"/>
      <c r="BF337" s="125"/>
      <c r="BG337" s="125"/>
      <c r="BH337" s="125"/>
      <c r="BI337" s="125"/>
      <c r="BJ337" s="125"/>
      <c r="BK337" s="125"/>
      <c r="BL337" s="125"/>
      <c r="BM337" s="125"/>
      <c r="BN337" s="125"/>
      <c r="BO337"/>
      <c r="BP337" s="68"/>
      <c r="BQ337" s="68"/>
      <c r="BR337" s="68"/>
      <c r="BS337" s="68"/>
      <c r="BT337" s="68"/>
      <c r="BU337"/>
    </row>
    <row r="338" spans="1:73" ht="14.4" x14ac:dyDescent="0.3">
      <c r="A338"/>
      <c r="L338"/>
      <c r="M338"/>
      <c r="N338"/>
      <c r="O338"/>
      <c r="R338"/>
      <c r="S338"/>
      <c r="V338"/>
      <c r="BB338" s="125"/>
      <c r="BC338" s="125"/>
      <c r="BD338" s="125"/>
      <c r="BE338" s="125"/>
      <c r="BF338" s="125"/>
      <c r="BG338" s="125"/>
      <c r="BH338" s="125"/>
      <c r="BI338" s="125"/>
      <c r="BJ338" s="125"/>
      <c r="BK338" s="125"/>
      <c r="BL338" s="125"/>
      <c r="BM338" s="125"/>
      <c r="BN338" s="125"/>
      <c r="BO338"/>
      <c r="BP338" s="68"/>
      <c r="BQ338" s="68"/>
      <c r="BR338" s="68"/>
      <c r="BS338" s="68"/>
      <c r="BT338" s="68"/>
      <c r="BU338"/>
    </row>
    <row r="339" spans="1:73" ht="409.6" customHeight="1" x14ac:dyDescent="0.3">
      <c r="L339"/>
      <c r="M339"/>
      <c r="N339"/>
      <c r="O339"/>
      <c r="R339"/>
      <c r="S339"/>
      <c r="V339"/>
    </row>
    <row r="340" spans="1:73" ht="14.4" x14ac:dyDescent="0.3">
      <c r="A340"/>
      <c r="R340"/>
      <c r="S340"/>
      <c r="V340"/>
      <c r="BB340" s="125"/>
      <c r="BC340" s="125"/>
      <c r="BD340" s="125"/>
      <c r="BE340" s="125"/>
      <c r="BF340" s="125"/>
      <c r="BG340" s="125"/>
      <c r="BH340" s="125"/>
      <c r="BI340" s="125"/>
      <c r="BJ340" s="125"/>
      <c r="BK340" s="125"/>
      <c r="BL340" s="125"/>
      <c r="BM340" s="125"/>
      <c r="BN340" s="125"/>
      <c r="BO340"/>
      <c r="BP340" s="68"/>
      <c r="BQ340" s="68"/>
      <c r="BR340" s="68"/>
      <c r="BS340" s="68"/>
      <c r="BT340" s="68"/>
      <c r="BU340"/>
    </row>
    <row r="341" spans="1:73" ht="409.6" customHeight="1" x14ac:dyDescent="0.3">
      <c r="A341"/>
      <c r="L341"/>
      <c r="M341"/>
      <c r="N341"/>
      <c r="O341"/>
      <c r="R341"/>
      <c r="S341"/>
      <c r="V341"/>
      <c r="BB341" s="125"/>
      <c r="BC341" s="125"/>
      <c r="BD341" s="125"/>
      <c r="BE341" s="125"/>
      <c r="BF341" s="125"/>
      <c r="BG341" s="125"/>
      <c r="BH341" s="125"/>
      <c r="BI341" s="125"/>
      <c r="BJ341" s="125"/>
      <c r="BK341" s="125"/>
      <c r="BL341" s="125"/>
      <c r="BM341" s="125"/>
      <c r="BN341" s="125"/>
      <c r="BO341"/>
      <c r="BP341" s="68"/>
      <c r="BQ341" s="68"/>
      <c r="BR341" s="68"/>
      <c r="BS341" s="68"/>
      <c r="BT341" s="68"/>
      <c r="BU341"/>
    </row>
    <row r="342" spans="1:73" ht="409.6" customHeight="1" x14ac:dyDescent="0.3">
      <c r="S342"/>
      <c r="V342"/>
    </row>
    <row r="343" spans="1:73" ht="409.6" customHeight="1" x14ac:dyDescent="0.35">
      <c r="R343"/>
    </row>
    <row r="344" spans="1:73" ht="14.4" x14ac:dyDescent="0.3">
      <c r="A344"/>
      <c r="S344"/>
      <c r="V344"/>
      <c r="BB344" s="125"/>
      <c r="BC344" s="125"/>
      <c r="BD344" s="125"/>
      <c r="BE344" s="125"/>
      <c r="BF344" s="125"/>
      <c r="BG344" s="125"/>
      <c r="BH344" s="125"/>
      <c r="BI344" s="125"/>
      <c r="BJ344" s="125"/>
      <c r="BK344" s="125"/>
      <c r="BL344" s="125"/>
      <c r="BM344" s="125"/>
      <c r="BN344" s="125"/>
      <c r="BO344"/>
      <c r="BP344" s="68"/>
      <c r="BQ344" s="68"/>
      <c r="BR344" s="68"/>
      <c r="BS344" s="68"/>
      <c r="BT344" s="68"/>
      <c r="BU344"/>
    </row>
    <row r="345" spans="1:73" ht="14.4" x14ac:dyDescent="0.3">
      <c r="A345"/>
      <c r="S345"/>
      <c r="V345"/>
      <c r="BB345" s="125"/>
      <c r="BC345" s="125"/>
      <c r="BD345" s="125"/>
      <c r="BE345" s="125"/>
      <c r="BF345" s="125"/>
      <c r="BG345" s="125"/>
      <c r="BH345" s="125"/>
      <c r="BI345" s="125"/>
      <c r="BJ345" s="125"/>
      <c r="BK345" s="125"/>
      <c r="BL345" s="125"/>
      <c r="BM345" s="125"/>
      <c r="BN345" s="125"/>
      <c r="BO345"/>
      <c r="BP345" s="68"/>
      <c r="BQ345" s="68"/>
      <c r="BR345" s="68"/>
      <c r="BS345" s="68"/>
      <c r="BT345" s="68"/>
      <c r="BU345"/>
    </row>
    <row r="346" spans="1:73" ht="14.4" x14ac:dyDescent="0.3">
      <c r="A346"/>
      <c r="R346"/>
      <c r="S346"/>
      <c r="V346"/>
      <c r="BB346" s="125"/>
      <c r="BC346" s="125"/>
      <c r="BD346" s="125"/>
      <c r="BE346" s="125"/>
      <c r="BF346" s="125"/>
      <c r="BG346" s="125"/>
      <c r="BH346" s="125"/>
      <c r="BI346" s="125"/>
      <c r="BJ346" s="125"/>
      <c r="BK346" s="125"/>
      <c r="BL346" s="125"/>
      <c r="BM346" s="125"/>
      <c r="BN346" s="125"/>
      <c r="BO346"/>
      <c r="BP346" s="68"/>
      <c r="BQ346" s="68"/>
      <c r="BR346" s="68"/>
      <c r="BS346" s="68"/>
      <c r="BT346" s="68"/>
      <c r="BU346"/>
    </row>
    <row r="347" spans="1:73" ht="409.6" customHeight="1" x14ac:dyDescent="0.35">
      <c r="R347"/>
    </row>
    <row r="348" spans="1:73" ht="409.6" customHeight="1" x14ac:dyDescent="0.3">
      <c r="S348"/>
      <c r="V348"/>
    </row>
    <row r="349" spans="1:73" ht="14.4" x14ac:dyDescent="0.3">
      <c r="A349"/>
      <c r="R349"/>
      <c r="S349"/>
      <c r="V349"/>
      <c r="BB349" s="125"/>
      <c r="BC349" s="125"/>
      <c r="BD349" s="125"/>
      <c r="BE349" s="125"/>
      <c r="BF349" s="125"/>
      <c r="BG349" s="125"/>
      <c r="BH349" s="125"/>
      <c r="BI349" s="125"/>
      <c r="BJ349" s="125"/>
      <c r="BK349" s="125"/>
      <c r="BL349" s="125"/>
      <c r="BM349" s="125"/>
      <c r="BN349" s="125"/>
      <c r="BO349"/>
      <c r="BP349" s="68"/>
      <c r="BQ349" s="68"/>
      <c r="BR349" s="68"/>
      <c r="BS349" s="68"/>
      <c r="BT349" s="68"/>
      <c r="BU349"/>
    </row>
    <row r="350" spans="1:73" ht="409.6" customHeight="1" x14ac:dyDescent="0.35">
      <c r="R350"/>
    </row>
    <row r="351" spans="1:73" ht="409.6" customHeight="1" x14ac:dyDescent="0.35">
      <c r="D351"/>
      <c r="E351"/>
    </row>
    <row r="352" spans="1:73" ht="14.4" x14ac:dyDescent="0.3">
      <c r="D352"/>
      <c r="E352"/>
      <c r="S352"/>
      <c r="V352"/>
    </row>
    <row r="353" spans="1:73" ht="15.75" customHeight="1" x14ac:dyDescent="0.3">
      <c r="R353"/>
      <c r="S353"/>
      <c r="V353"/>
    </row>
    <row r="354" spans="1:73" ht="14.4" x14ac:dyDescent="0.3">
      <c r="R354"/>
      <c r="S354"/>
      <c r="V354"/>
    </row>
    <row r="355" spans="1:73" ht="15" x14ac:dyDescent="0.35">
      <c r="D355"/>
      <c r="E355"/>
      <c r="R355"/>
    </row>
    <row r="356" spans="1:73" ht="15" x14ac:dyDescent="0.35">
      <c r="A356"/>
      <c r="D356"/>
      <c r="E356"/>
      <c r="L356"/>
      <c r="M356"/>
      <c r="N356"/>
      <c r="O356"/>
      <c r="BB356" s="125"/>
      <c r="BC356" s="125"/>
      <c r="BD356" s="125"/>
      <c r="BE356" s="125"/>
      <c r="BF356" s="125"/>
      <c r="BG356" s="125"/>
      <c r="BH356" s="125"/>
      <c r="BI356" s="125"/>
      <c r="BJ356" s="125"/>
      <c r="BK356" s="125"/>
      <c r="BL356" s="125"/>
      <c r="BM356" s="125"/>
      <c r="BN356" s="125"/>
      <c r="BO356"/>
      <c r="BP356" s="68"/>
      <c r="BQ356" s="68"/>
      <c r="BR356" s="68"/>
      <c r="BS356" s="68"/>
      <c r="BT356" s="68"/>
      <c r="BU356"/>
    </row>
    <row r="357" spans="1:73" ht="14.4" x14ac:dyDescent="0.3">
      <c r="A357"/>
      <c r="L357"/>
      <c r="M357"/>
      <c r="N357"/>
      <c r="O357"/>
      <c r="S357"/>
      <c r="V357"/>
      <c r="BB357" s="125"/>
      <c r="BC357" s="125"/>
      <c r="BD357" s="125"/>
      <c r="BE357" s="125"/>
      <c r="BF357" s="125"/>
      <c r="BG357" s="125"/>
      <c r="BH357" s="125"/>
      <c r="BI357" s="125"/>
      <c r="BJ357" s="125"/>
      <c r="BK357" s="125"/>
      <c r="BL357" s="125"/>
      <c r="BM357" s="125"/>
      <c r="BN357" s="125"/>
      <c r="BO357"/>
      <c r="BP357" s="68"/>
      <c r="BQ357" s="68"/>
      <c r="BR357" s="68"/>
      <c r="BS357" s="68"/>
      <c r="BT357" s="68"/>
      <c r="BU357"/>
    </row>
    <row r="358" spans="1:73" ht="409.6" customHeight="1" x14ac:dyDescent="0.35">
      <c r="R358"/>
    </row>
    <row r="359" spans="1:73" ht="409.6" customHeight="1" x14ac:dyDescent="0.3">
      <c r="D359"/>
      <c r="E359"/>
      <c r="L359"/>
      <c r="M359"/>
      <c r="N359"/>
      <c r="O359"/>
      <c r="S359"/>
      <c r="V359"/>
    </row>
    <row r="360" spans="1:73" ht="14.4" x14ac:dyDescent="0.3">
      <c r="A360"/>
      <c r="D360"/>
      <c r="E360"/>
      <c r="L360"/>
      <c r="M360"/>
      <c r="N360"/>
      <c r="O360"/>
      <c r="S360"/>
      <c r="V360"/>
      <c r="BB360" s="125"/>
      <c r="BC360" s="125"/>
      <c r="BD360" s="125"/>
      <c r="BE360" s="125"/>
      <c r="BF360" s="125"/>
      <c r="BG360" s="125"/>
      <c r="BH360" s="125"/>
      <c r="BI360" s="125"/>
      <c r="BJ360" s="125"/>
      <c r="BK360" s="125"/>
      <c r="BL360" s="125"/>
      <c r="BM360" s="125"/>
      <c r="BN360" s="125"/>
      <c r="BO360"/>
      <c r="BP360" s="68"/>
      <c r="BQ360" s="68"/>
      <c r="BR360" s="68"/>
      <c r="BS360" s="68"/>
      <c r="BT360" s="68"/>
      <c r="BU360"/>
    </row>
    <row r="361" spans="1:73" ht="15" x14ac:dyDescent="0.35">
      <c r="A361"/>
      <c r="D361"/>
      <c r="E361"/>
      <c r="BB361" s="125"/>
      <c r="BC361" s="125"/>
      <c r="BD361" s="125"/>
      <c r="BE361" s="125"/>
      <c r="BF361" s="125"/>
      <c r="BG361" s="125"/>
      <c r="BH361" s="125"/>
      <c r="BI361" s="125"/>
      <c r="BJ361" s="125"/>
      <c r="BK361" s="125"/>
      <c r="BL361" s="125"/>
      <c r="BM361" s="125"/>
      <c r="BN361" s="125"/>
      <c r="BO361"/>
      <c r="BP361" s="68"/>
      <c r="BQ361" s="68"/>
      <c r="BR361" s="68"/>
      <c r="BS361" s="68"/>
      <c r="BT361" s="68"/>
      <c r="BU361"/>
    </row>
    <row r="363" spans="1:73" ht="409.6" customHeight="1" x14ac:dyDescent="0.3">
      <c r="L363"/>
      <c r="M363"/>
      <c r="N363"/>
      <c r="O363"/>
      <c r="S363"/>
      <c r="V363"/>
    </row>
    <row r="364" spans="1:73" ht="14.4" x14ac:dyDescent="0.3">
      <c r="A364"/>
      <c r="L364"/>
      <c r="M364"/>
      <c r="N364"/>
      <c r="O364"/>
      <c r="S364"/>
      <c r="V364"/>
      <c r="BB364" s="125"/>
      <c r="BC364" s="125"/>
      <c r="BD364" s="125"/>
      <c r="BE364" s="125"/>
      <c r="BF364" s="125"/>
      <c r="BG364" s="125"/>
      <c r="BH364" s="125"/>
      <c r="BI364" s="125"/>
      <c r="BJ364" s="125"/>
      <c r="BK364" s="125"/>
      <c r="BL364" s="125"/>
      <c r="BM364" s="125"/>
      <c r="BN364" s="125"/>
      <c r="BO364"/>
      <c r="BP364" s="68"/>
      <c r="BQ364" s="68"/>
      <c r="BR364" s="68"/>
      <c r="BS364" s="68"/>
      <c r="BT364" s="68"/>
      <c r="BU364"/>
    </row>
    <row r="365" spans="1:73" ht="15" x14ac:dyDescent="0.35">
      <c r="A365"/>
      <c r="L365"/>
      <c r="M365"/>
      <c r="N365"/>
      <c r="O365"/>
      <c r="BB365" s="125"/>
      <c r="BC365" s="125"/>
      <c r="BD365" s="125"/>
      <c r="BE365" s="125"/>
      <c r="BF365" s="125"/>
      <c r="BG365" s="125"/>
      <c r="BH365" s="125"/>
      <c r="BI365" s="125"/>
      <c r="BJ365" s="125"/>
      <c r="BK365" s="125"/>
      <c r="BL365" s="125"/>
      <c r="BM365" s="125"/>
      <c r="BN365" s="125"/>
      <c r="BO365"/>
      <c r="BP365" s="68"/>
      <c r="BQ365" s="68"/>
      <c r="BR365" s="68"/>
      <c r="BS365" s="68"/>
      <c r="BT365" s="68"/>
      <c r="BU365"/>
    </row>
    <row r="366" spans="1:73" ht="15" x14ac:dyDescent="0.35">
      <c r="A366"/>
      <c r="D366"/>
      <c r="E366"/>
      <c r="R366"/>
      <c r="BB366" s="125"/>
      <c r="BC366" s="125"/>
      <c r="BD366" s="125"/>
      <c r="BE366" s="125"/>
      <c r="BF366" s="125"/>
      <c r="BG366" s="125"/>
      <c r="BH366" s="125"/>
      <c r="BI366" s="125"/>
      <c r="BJ366" s="125"/>
      <c r="BK366" s="125"/>
      <c r="BL366" s="125"/>
      <c r="BM366" s="125"/>
      <c r="BN366" s="125"/>
      <c r="BO366"/>
      <c r="BP366" s="68"/>
      <c r="BQ366" s="68"/>
      <c r="BR366" s="68"/>
      <c r="BS366" s="68"/>
      <c r="BT366" s="68"/>
      <c r="BU366"/>
    </row>
    <row r="367" spans="1:73" ht="409.6" customHeight="1" x14ac:dyDescent="0.3">
      <c r="D367"/>
      <c r="E367"/>
      <c r="R367"/>
      <c r="S367"/>
      <c r="V367"/>
    </row>
    <row r="368" spans="1:73" ht="409.6" customHeight="1" x14ac:dyDescent="0.3">
      <c r="D368"/>
      <c r="E368"/>
      <c r="L368"/>
      <c r="M368"/>
      <c r="N368"/>
      <c r="O368"/>
      <c r="S368"/>
      <c r="V368"/>
    </row>
    <row r="369" spans="1:73" ht="14.4" x14ac:dyDescent="0.3">
      <c r="D369"/>
      <c r="E369"/>
      <c r="S369"/>
      <c r="V369"/>
    </row>
    <row r="370" spans="1:73" ht="15" x14ac:dyDescent="0.35">
      <c r="D370"/>
      <c r="E370"/>
      <c r="L370"/>
      <c r="M370"/>
      <c r="N370"/>
      <c r="O370"/>
      <c r="R370"/>
    </row>
    <row r="371" spans="1:73" ht="15" x14ac:dyDescent="0.35">
      <c r="A371"/>
      <c r="D371"/>
      <c r="E371"/>
      <c r="L371"/>
      <c r="M371"/>
      <c r="N371"/>
      <c r="O371"/>
      <c r="R371"/>
      <c r="BB371" s="125"/>
      <c r="BC371" s="125"/>
      <c r="BD371" s="125"/>
      <c r="BE371" s="125"/>
      <c r="BF371" s="125"/>
      <c r="BG371" s="125"/>
      <c r="BH371" s="125"/>
      <c r="BI371" s="125"/>
      <c r="BJ371" s="125"/>
      <c r="BK371" s="125"/>
      <c r="BL371" s="125"/>
      <c r="BM371" s="125"/>
      <c r="BN371" s="125"/>
      <c r="BO371"/>
      <c r="BP371" s="68"/>
      <c r="BQ371" s="68"/>
      <c r="BR371" s="68"/>
      <c r="BS371" s="68"/>
      <c r="BT371" s="68"/>
      <c r="BU371"/>
    </row>
    <row r="372" spans="1:73" ht="15" x14ac:dyDescent="0.35">
      <c r="A372"/>
      <c r="D372"/>
      <c r="E372"/>
      <c r="BB372" s="125"/>
      <c r="BC372" s="125"/>
      <c r="BD372" s="125"/>
      <c r="BE372" s="125"/>
      <c r="BF372" s="125"/>
      <c r="BG372" s="125"/>
      <c r="BH372" s="125"/>
      <c r="BI372" s="125"/>
      <c r="BJ372" s="125"/>
      <c r="BK372" s="125"/>
      <c r="BL372" s="125"/>
      <c r="BM372" s="125"/>
      <c r="BN372" s="125"/>
      <c r="BO372"/>
      <c r="BP372" s="68"/>
      <c r="BQ372" s="68"/>
      <c r="BR372" s="68"/>
      <c r="BS372" s="68"/>
      <c r="BT372" s="68"/>
      <c r="BU372"/>
    </row>
    <row r="373" spans="1:73" ht="409.6" customHeight="1" x14ac:dyDescent="0.35">
      <c r="A373"/>
      <c r="D373"/>
      <c r="E373"/>
      <c r="BB373" s="125"/>
      <c r="BC373" s="125"/>
      <c r="BD373" s="125"/>
      <c r="BE373" s="125"/>
      <c r="BF373" s="125"/>
      <c r="BG373" s="125"/>
      <c r="BH373" s="125"/>
      <c r="BI373" s="125"/>
      <c r="BJ373" s="125"/>
      <c r="BK373" s="125"/>
      <c r="BL373" s="125"/>
      <c r="BM373" s="125"/>
      <c r="BN373" s="125"/>
      <c r="BO373"/>
      <c r="BP373" s="68"/>
      <c r="BQ373" s="68"/>
      <c r="BR373" s="68"/>
      <c r="BS373" s="68"/>
      <c r="BT373" s="68"/>
      <c r="BU373"/>
    </row>
    <row r="374" spans="1:73" ht="409.6" customHeight="1" x14ac:dyDescent="0.35">
      <c r="A374"/>
      <c r="D374"/>
      <c r="E374"/>
      <c r="L374"/>
      <c r="M374"/>
      <c r="N374"/>
      <c r="O374"/>
      <c r="R374"/>
      <c r="BB374" s="125"/>
      <c r="BC374" s="125"/>
      <c r="BD374" s="125"/>
      <c r="BE374" s="125"/>
      <c r="BF374" s="125"/>
      <c r="BG374" s="125"/>
      <c r="BH374" s="125"/>
      <c r="BI374" s="125"/>
      <c r="BJ374" s="125"/>
      <c r="BK374" s="125"/>
      <c r="BL374" s="125"/>
      <c r="BM374" s="125"/>
      <c r="BN374" s="125"/>
      <c r="BO374"/>
      <c r="BP374" s="68"/>
      <c r="BQ374" s="68"/>
      <c r="BR374" s="68"/>
      <c r="BS374" s="68"/>
      <c r="BT374" s="68"/>
      <c r="BU374"/>
    </row>
    <row r="375" spans="1:73" ht="409.6" customHeight="1" x14ac:dyDescent="0.35">
      <c r="A375"/>
      <c r="D375"/>
      <c r="E375"/>
      <c r="L375"/>
      <c r="M375"/>
      <c r="N375"/>
      <c r="O375"/>
      <c r="R375"/>
      <c r="BB375" s="125"/>
      <c r="BC375" s="125"/>
      <c r="BD375" s="125"/>
      <c r="BE375" s="125"/>
      <c r="BF375" s="125"/>
      <c r="BG375" s="125"/>
      <c r="BH375" s="125"/>
      <c r="BI375" s="125"/>
      <c r="BJ375" s="125"/>
      <c r="BK375" s="125"/>
      <c r="BL375" s="125"/>
      <c r="BM375" s="125"/>
      <c r="BN375" s="125"/>
      <c r="BO375"/>
      <c r="BP375" s="68"/>
      <c r="BQ375" s="68"/>
      <c r="BR375" s="68"/>
      <c r="BS375" s="68"/>
      <c r="BT375" s="68"/>
      <c r="BU375"/>
    </row>
    <row r="376" spans="1:73" ht="409.6" customHeight="1" x14ac:dyDescent="0.35">
      <c r="A376"/>
      <c r="R376"/>
      <c r="BB376" s="125"/>
      <c r="BC376" s="125"/>
      <c r="BD376" s="125"/>
      <c r="BE376" s="125"/>
      <c r="BF376" s="125"/>
      <c r="BG376" s="125"/>
      <c r="BH376" s="125"/>
      <c r="BI376" s="125"/>
      <c r="BJ376" s="125"/>
      <c r="BK376" s="125"/>
      <c r="BL376" s="125"/>
      <c r="BM376" s="125"/>
      <c r="BN376" s="125"/>
      <c r="BO376"/>
      <c r="BP376" s="68"/>
      <c r="BQ376" s="68"/>
      <c r="BR376" s="68"/>
      <c r="BS376" s="68"/>
      <c r="BT376" s="68"/>
      <c r="BU376"/>
    </row>
    <row r="377" spans="1:73" ht="409.6" customHeight="1" x14ac:dyDescent="0.35">
      <c r="A377"/>
      <c r="BB377" s="125"/>
      <c r="BC377" s="125"/>
      <c r="BD377" s="125"/>
      <c r="BE377" s="125"/>
      <c r="BF377" s="125"/>
      <c r="BG377" s="125"/>
      <c r="BH377" s="125"/>
      <c r="BI377" s="125"/>
      <c r="BJ377" s="125"/>
      <c r="BK377" s="125"/>
      <c r="BL377" s="125"/>
      <c r="BM377" s="125"/>
      <c r="BN377" s="125"/>
      <c r="BO377"/>
      <c r="BP377" s="68"/>
      <c r="BQ377" s="68"/>
      <c r="BR377" s="68"/>
      <c r="BS377" s="68"/>
      <c r="BT377" s="68"/>
      <c r="BU377"/>
    </row>
    <row r="378" spans="1:73" ht="409.6" customHeight="1" x14ac:dyDescent="0.35">
      <c r="A378"/>
      <c r="D378"/>
      <c r="E378"/>
      <c r="L378"/>
      <c r="M378"/>
      <c r="N378"/>
      <c r="O378"/>
      <c r="BB378" s="125"/>
      <c r="BC378" s="125"/>
      <c r="BD378" s="125"/>
      <c r="BE378" s="125"/>
      <c r="BF378" s="125"/>
      <c r="BG378" s="125"/>
      <c r="BH378" s="125"/>
      <c r="BI378" s="125"/>
      <c r="BJ378" s="125"/>
      <c r="BK378" s="125"/>
      <c r="BL378" s="125"/>
      <c r="BM378" s="125"/>
      <c r="BN378" s="125"/>
      <c r="BO378"/>
      <c r="BP378" s="68"/>
      <c r="BQ378" s="68"/>
      <c r="BR378" s="68"/>
      <c r="BS378" s="68"/>
      <c r="BT378" s="68"/>
      <c r="BU378"/>
    </row>
    <row r="379" spans="1:73" ht="409.6" customHeight="1" x14ac:dyDescent="0.35">
      <c r="A379"/>
      <c r="D379"/>
      <c r="E379"/>
      <c r="L379"/>
      <c r="M379"/>
      <c r="N379"/>
      <c r="O379"/>
      <c r="BB379" s="125"/>
      <c r="BC379" s="125"/>
      <c r="BD379" s="125"/>
      <c r="BE379" s="125"/>
      <c r="BF379" s="125"/>
      <c r="BG379" s="125"/>
      <c r="BH379" s="125"/>
      <c r="BI379" s="125"/>
      <c r="BJ379" s="125"/>
      <c r="BK379" s="125"/>
      <c r="BL379" s="125"/>
      <c r="BM379" s="125"/>
      <c r="BN379" s="125"/>
      <c r="BO379"/>
      <c r="BP379" s="68"/>
      <c r="BQ379" s="68"/>
      <c r="BR379" s="68"/>
      <c r="BS379" s="68"/>
      <c r="BT379" s="68"/>
      <c r="BU379"/>
    </row>
    <row r="380" spans="1:73" ht="409.6" customHeight="1" x14ac:dyDescent="0.35">
      <c r="A380"/>
      <c r="D380"/>
      <c r="E380"/>
      <c r="L380"/>
      <c r="M380"/>
      <c r="N380"/>
      <c r="O380"/>
      <c r="BB380" s="125"/>
      <c r="BC380" s="125"/>
      <c r="BD380" s="125"/>
      <c r="BE380" s="125"/>
      <c r="BF380" s="125"/>
      <c r="BG380" s="125"/>
      <c r="BH380" s="125"/>
      <c r="BI380" s="125"/>
      <c r="BJ380" s="125"/>
      <c r="BK380" s="125"/>
      <c r="BL380" s="125"/>
      <c r="BM380" s="125"/>
      <c r="BN380" s="125"/>
      <c r="BO380"/>
      <c r="BP380" s="68"/>
      <c r="BQ380" s="68"/>
      <c r="BR380" s="68"/>
      <c r="BS380" s="68"/>
      <c r="BT380" s="68"/>
      <c r="BU380"/>
    </row>
    <row r="383" spans="1:73" ht="409.6" customHeight="1" x14ac:dyDescent="0.35">
      <c r="A383"/>
      <c r="R383"/>
      <c r="BB383" s="125"/>
      <c r="BC383" s="125"/>
      <c r="BD383" s="125"/>
      <c r="BE383" s="125"/>
      <c r="BF383" s="125"/>
      <c r="BG383" s="125"/>
      <c r="BH383" s="125"/>
      <c r="BI383" s="125"/>
      <c r="BJ383" s="125"/>
      <c r="BK383" s="125"/>
      <c r="BL383" s="125"/>
      <c r="BM383" s="125"/>
      <c r="BN383" s="125"/>
      <c r="BO383"/>
      <c r="BP383" s="68"/>
      <c r="BQ383" s="68"/>
      <c r="BR383" s="68"/>
      <c r="BS383" s="68"/>
      <c r="BT383" s="68"/>
      <c r="BU383"/>
    </row>
    <row r="384" spans="1:73" ht="409.6" customHeight="1" x14ac:dyDescent="0.3">
      <c r="A384"/>
      <c r="D384"/>
      <c r="E384"/>
      <c r="L384"/>
      <c r="M384"/>
      <c r="N384"/>
      <c r="O384"/>
      <c r="R384"/>
      <c r="S384"/>
      <c r="V384"/>
      <c r="BB384" s="125"/>
      <c r="BC384" s="125"/>
      <c r="BD384" s="125"/>
      <c r="BE384" s="125"/>
      <c r="BF384" s="125"/>
      <c r="BG384" s="125"/>
      <c r="BH384" s="125"/>
      <c r="BI384" s="125"/>
      <c r="BJ384" s="125"/>
      <c r="BK384" s="125"/>
      <c r="BL384" s="125"/>
      <c r="BM384" s="125"/>
      <c r="BN384" s="125"/>
      <c r="BO384"/>
      <c r="BP384" s="68"/>
      <c r="BQ384" s="68"/>
      <c r="BR384" s="68"/>
      <c r="BS384" s="68"/>
      <c r="BT384" s="68"/>
      <c r="BU384"/>
    </row>
    <row r="385" spans="1:73" ht="409.6" customHeight="1" x14ac:dyDescent="0.3">
      <c r="A385"/>
      <c r="D385"/>
      <c r="E385"/>
      <c r="L385"/>
      <c r="M385"/>
      <c r="N385"/>
      <c r="O385"/>
      <c r="R385"/>
      <c r="S385"/>
      <c r="V385"/>
      <c r="BB385" s="125"/>
      <c r="BC385" s="125"/>
      <c r="BD385" s="125"/>
      <c r="BE385" s="125"/>
      <c r="BF385" s="125"/>
      <c r="BG385" s="125"/>
      <c r="BH385" s="125"/>
      <c r="BI385" s="125"/>
      <c r="BJ385" s="125"/>
      <c r="BK385" s="125"/>
      <c r="BL385" s="125"/>
      <c r="BM385" s="125"/>
      <c r="BN385" s="125"/>
      <c r="BO385"/>
      <c r="BP385" s="68"/>
      <c r="BQ385" s="68"/>
      <c r="BR385" s="68"/>
      <c r="BS385" s="68"/>
      <c r="BT385" s="68"/>
      <c r="BU385"/>
    </row>
    <row r="386" spans="1:73" ht="14.4" x14ac:dyDescent="0.3">
      <c r="A386"/>
      <c r="D386"/>
      <c r="E386"/>
      <c r="L386"/>
      <c r="M386"/>
      <c r="N386"/>
      <c r="O386"/>
      <c r="R386"/>
      <c r="S386"/>
      <c r="V386"/>
      <c r="BB386" s="125"/>
      <c r="BC386" s="125"/>
      <c r="BD386" s="125"/>
      <c r="BE386" s="125"/>
      <c r="BF386" s="125"/>
      <c r="BG386" s="125"/>
      <c r="BH386" s="125"/>
      <c r="BI386" s="125"/>
      <c r="BJ386" s="125"/>
      <c r="BK386" s="125"/>
      <c r="BL386" s="125"/>
      <c r="BM386" s="125"/>
      <c r="BN386" s="125"/>
      <c r="BO386"/>
      <c r="BP386" s="68"/>
      <c r="BQ386" s="68"/>
      <c r="BR386" s="68"/>
      <c r="BS386" s="68"/>
      <c r="BT386" s="68"/>
      <c r="BU386"/>
    </row>
    <row r="387" spans="1:73" ht="14.4" x14ac:dyDescent="0.3">
      <c r="A387"/>
      <c r="D387"/>
      <c r="E387"/>
      <c r="L387"/>
      <c r="M387"/>
      <c r="N387"/>
      <c r="O387"/>
      <c r="S387"/>
      <c r="V387"/>
      <c r="BB387" s="125"/>
      <c r="BC387" s="125"/>
      <c r="BD387" s="125"/>
      <c r="BE387" s="125"/>
      <c r="BF387" s="125"/>
      <c r="BG387" s="125"/>
      <c r="BH387" s="125"/>
      <c r="BI387" s="125"/>
      <c r="BJ387" s="125"/>
      <c r="BK387" s="125"/>
      <c r="BL387" s="125"/>
      <c r="BM387" s="125"/>
      <c r="BN387" s="125"/>
      <c r="BO387"/>
      <c r="BP387" s="68"/>
      <c r="BQ387" s="68"/>
      <c r="BR387" s="68"/>
      <c r="BS387" s="68"/>
      <c r="BT387" s="68"/>
      <c r="BU387"/>
    </row>
    <row r="388" spans="1:73" ht="14.4" x14ac:dyDescent="0.3">
      <c r="A388"/>
      <c r="D388"/>
      <c r="E388"/>
      <c r="L388"/>
      <c r="M388"/>
      <c r="N388"/>
      <c r="O388"/>
      <c r="S388"/>
      <c r="V388"/>
      <c r="BB388" s="125"/>
      <c r="BC388" s="125"/>
      <c r="BD388" s="125"/>
      <c r="BE388" s="125"/>
      <c r="BF388" s="125"/>
      <c r="BG388" s="125"/>
      <c r="BH388" s="125"/>
      <c r="BI388" s="125"/>
      <c r="BJ388" s="125"/>
      <c r="BK388" s="125"/>
      <c r="BL388" s="125"/>
      <c r="BM388" s="125"/>
      <c r="BN388" s="125"/>
      <c r="BO388"/>
      <c r="BP388" s="68"/>
      <c r="BQ388" s="68"/>
      <c r="BR388" s="68"/>
      <c r="BS388" s="68"/>
      <c r="BT388" s="68"/>
      <c r="BU388"/>
    </row>
    <row r="389" spans="1:73" ht="15" x14ac:dyDescent="0.35">
      <c r="A389"/>
      <c r="BB389" s="125"/>
      <c r="BC389" s="125"/>
      <c r="BD389" s="125"/>
      <c r="BE389" s="125"/>
      <c r="BF389" s="125"/>
      <c r="BG389" s="125"/>
      <c r="BH389" s="125"/>
      <c r="BI389" s="125"/>
      <c r="BJ389" s="125"/>
      <c r="BK389" s="125"/>
      <c r="BL389" s="125"/>
      <c r="BM389" s="125"/>
      <c r="BN389" s="125"/>
      <c r="BO389"/>
      <c r="BP389" s="68"/>
      <c r="BQ389" s="68"/>
      <c r="BR389" s="68"/>
      <c r="BS389" s="68"/>
      <c r="BT389" s="68"/>
      <c r="BU389"/>
    </row>
  </sheetData>
  <autoFilter ref="A3:GG260"/>
  <sortState ref="A58:HF67">
    <sortCondition ref="D58:D67"/>
  </sortState>
  <mergeCells count="47">
    <mergeCell ref="F259:G259"/>
    <mergeCell ref="L259:P259"/>
    <mergeCell ref="F260:G260"/>
    <mergeCell ref="L260:P260"/>
    <mergeCell ref="F256:G256"/>
    <mergeCell ref="K256:Q256"/>
    <mergeCell ref="F257:G257"/>
    <mergeCell ref="L257:P257"/>
    <mergeCell ref="F258:G258"/>
    <mergeCell ref="L258:P258"/>
    <mergeCell ref="F253:G253"/>
    <mergeCell ref="K253:P253"/>
    <mergeCell ref="F254:G254"/>
    <mergeCell ref="L254:P254"/>
    <mergeCell ref="F255:G255"/>
    <mergeCell ref="L255:P255"/>
    <mergeCell ref="D252:E252"/>
    <mergeCell ref="D245:E245"/>
    <mergeCell ref="H245:O245"/>
    <mergeCell ref="D246:E246"/>
    <mergeCell ref="H246:O246"/>
    <mergeCell ref="D247:E247"/>
    <mergeCell ref="H247:O247"/>
    <mergeCell ref="D248:E248"/>
    <mergeCell ref="H248:O248"/>
    <mergeCell ref="D249:E249"/>
    <mergeCell ref="D250:E250"/>
    <mergeCell ref="D251:E251"/>
    <mergeCell ref="D244:E244"/>
    <mergeCell ref="H244:O244"/>
    <mergeCell ref="B2:Q2"/>
    <mergeCell ref="B29:Q29"/>
    <mergeCell ref="B54:Q54"/>
    <mergeCell ref="B79:Q79"/>
    <mergeCell ref="B114:Q114"/>
    <mergeCell ref="B135:Q135"/>
    <mergeCell ref="B156:Q156"/>
    <mergeCell ref="B175:Q175"/>
    <mergeCell ref="B207:Q207"/>
    <mergeCell ref="B243:F243"/>
    <mergeCell ref="H243:P243"/>
    <mergeCell ref="AU1:AY1"/>
    <mergeCell ref="W1:Z1"/>
    <mergeCell ref="AA1:AE1"/>
    <mergeCell ref="AF1:AJ1"/>
    <mergeCell ref="AK1:AO1"/>
    <mergeCell ref="AP1:AT1"/>
  </mergeCells>
  <pageMargins left="0.23622047244094491" right="0.23622047244094491" top="0.74803149606299213" bottom="0.74803149606299213" header="0.31496062992125984" footer="0.31496062992125984"/>
  <pageSetup scale="65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AX288"/>
  <sheetViews>
    <sheetView tabSelected="1" topLeftCell="B1" zoomScale="80" zoomScaleNormal="80" workbookViewId="0">
      <selection activeCell="E272" sqref="E272"/>
    </sheetView>
  </sheetViews>
  <sheetFormatPr baseColWidth="10" defaultRowHeight="14.4" x14ac:dyDescent="0.3"/>
  <cols>
    <col min="1" max="1" width="7.44140625" style="287" hidden="1" customWidth="1"/>
    <col min="2" max="2" width="9.33203125" customWidth="1"/>
    <col min="3" max="3" width="37.33203125" customWidth="1"/>
    <col min="4" max="4" width="18.33203125" style="390" customWidth="1"/>
    <col min="5" max="5" width="14" customWidth="1"/>
    <col min="6" max="6" width="16.44140625" bestFit="1" customWidth="1"/>
    <col min="7" max="7" width="7" customWidth="1"/>
    <col min="8" max="8" width="5" customWidth="1"/>
    <col min="9" max="9" width="6.44140625" customWidth="1"/>
    <col min="10" max="10" width="7.5546875" customWidth="1"/>
    <col min="11" max="11" width="5.33203125" customWidth="1"/>
    <col min="12" max="12" width="6" customWidth="1"/>
    <col min="13" max="13" width="4.88671875" customWidth="1"/>
    <col min="14" max="14" width="4.6640625" customWidth="1"/>
    <col min="15" max="15" width="5.44140625" customWidth="1"/>
    <col min="16" max="16" width="5" customWidth="1"/>
    <col min="17" max="17" width="5.44140625" customWidth="1"/>
    <col min="18" max="18" width="8.5546875" customWidth="1"/>
    <col min="19" max="19" width="7" customWidth="1"/>
    <col min="20" max="20" width="6.44140625" customWidth="1"/>
    <col min="21" max="21" width="5.33203125" customWidth="1"/>
    <col min="22" max="22" width="8" customWidth="1"/>
    <col min="23" max="23" width="9.6640625" customWidth="1"/>
    <col min="24" max="24" width="14.109375" customWidth="1"/>
    <col min="25" max="25" width="10" style="532" customWidth="1"/>
  </cols>
  <sheetData>
    <row r="1" spans="1:50" ht="30" x14ac:dyDescent="0.4">
      <c r="B1" s="861" t="s">
        <v>443</v>
      </c>
      <c r="C1" s="862"/>
      <c r="D1" s="862"/>
      <c r="E1" s="862"/>
      <c r="F1" s="862"/>
      <c r="G1" s="862"/>
      <c r="H1" s="862"/>
      <c r="I1" s="862"/>
      <c r="J1" s="862"/>
      <c r="K1" s="862"/>
      <c r="L1" s="862"/>
      <c r="M1" s="862"/>
      <c r="N1" s="862"/>
      <c r="O1" s="862"/>
      <c r="P1" s="862"/>
      <c r="Q1" s="863"/>
      <c r="Y1" s="794" t="s">
        <v>271</v>
      </c>
    </row>
    <row r="2" spans="1:50" ht="21.75" customHeight="1" x14ac:dyDescent="0.4">
      <c r="A2" s="397"/>
      <c r="B2" s="864" t="s">
        <v>182</v>
      </c>
      <c r="C2" s="865"/>
      <c r="D2" s="865"/>
      <c r="E2" s="865"/>
      <c r="F2" s="865"/>
      <c r="G2" s="865"/>
      <c r="H2" s="865"/>
      <c r="I2" s="865"/>
      <c r="J2" s="865"/>
      <c r="K2" s="865"/>
      <c r="L2" s="865"/>
      <c r="M2" s="865"/>
      <c r="N2" s="865"/>
      <c r="O2" s="865"/>
      <c r="P2" s="865"/>
      <c r="Q2" s="866"/>
    </row>
    <row r="3" spans="1:50" ht="22.2" customHeight="1" thickBot="1" x14ac:dyDescent="0.35">
      <c r="A3" s="397"/>
      <c r="B3" s="867" t="s">
        <v>183</v>
      </c>
      <c r="C3" s="868"/>
      <c r="D3" s="868"/>
      <c r="E3" s="868"/>
      <c r="F3" s="868"/>
      <c r="G3" s="868"/>
      <c r="H3" s="868"/>
      <c r="I3" s="868"/>
      <c r="J3" s="868"/>
      <c r="K3" s="868"/>
      <c r="L3" s="868"/>
      <c r="M3" s="868"/>
      <c r="N3" s="868"/>
      <c r="O3" s="868"/>
      <c r="P3" s="868"/>
      <c r="Q3" s="869"/>
    </row>
    <row r="4" spans="1:50" ht="15.6" customHeight="1" x14ac:dyDescent="0.3">
      <c r="A4" s="397"/>
      <c r="B4" s="870" t="s">
        <v>184</v>
      </c>
      <c r="C4" s="871"/>
      <c r="D4" s="871"/>
      <c r="E4" s="871"/>
      <c r="F4" s="871"/>
      <c r="G4" s="871"/>
      <c r="H4" s="871"/>
      <c r="I4" s="871"/>
      <c r="J4" s="871"/>
      <c r="K4" s="871"/>
      <c r="L4" s="871"/>
      <c r="M4" s="871"/>
      <c r="N4" s="871"/>
      <c r="O4" s="871"/>
      <c r="P4" s="871"/>
      <c r="Q4" s="872"/>
      <c r="R4" s="873" t="s">
        <v>200</v>
      </c>
      <c r="S4" s="857" t="s">
        <v>221</v>
      </c>
      <c r="T4" s="857" t="s">
        <v>270</v>
      </c>
      <c r="U4" s="857" t="s">
        <v>226</v>
      </c>
      <c r="V4" s="857" t="s">
        <v>223</v>
      </c>
      <c r="W4" s="857" t="s">
        <v>210</v>
      </c>
      <c r="X4" s="859" t="s">
        <v>203</v>
      </c>
    </row>
    <row r="5" spans="1:50" ht="17.399999999999999" customHeight="1" x14ac:dyDescent="0.3">
      <c r="A5" s="397"/>
      <c r="B5" s="476" t="s">
        <v>185</v>
      </c>
      <c r="C5" s="477" t="s">
        <v>135</v>
      </c>
      <c r="D5" s="477" t="s">
        <v>136</v>
      </c>
      <c r="E5" s="478" t="s">
        <v>8</v>
      </c>
      <c r="F5" s="478"/>
      <c r="G5" s="478" t="s">
        <v>9</v>
      </c>
      <c r="H5" s="478"/>
      <c r="I5" s="478" t="s">
        <v>9</v>
      </c>
      <c r="J5" s="478"/>
      <c r="K5" s="478" t="s">
        <v>10</v>
      </c>
      <c r="L5" s="478"/>
      <c r="M5" s="478" t="s">
        <v>11</v>
      </c>
      <c r="N5" s="478"/>
      <c r="O5" s="478" t="s">
        <v>12</v>
      </c>
      <c r="P5" s="478"/>
      <c r="Q5" s="479" t="s">
        <v>186</v>
      </c>
      <c r="R5" s="874"/>
      <c r="S5" s="858"/>
      <c r="T5" s="858"/>
      <c r="U5" s="858"/>
      <c r="V5" s="858"/>
      <c r="W5" s="858"/>
      <c r="X5" s="860"/>
    </row>
    <row r="6" spans="1:50" s="390" customFormat="1" x14ac:dyDescent="0.3">
      <c r="A6" s="588">
        <f>A5+1</f>
        <v>1</v>
      </c>
      <c r="B6" s="483">
        <v>2</v>
      </c>
      <c r="C6" s="392" t="s">
        <v>23</v>
      </c>
      <c r="D6" s="644" t="s">
        <v>189</v>
      </c>
      <c r="E6" s="741">
        <v>1</v>
      </c>
      <c r="F6" s="792" t="s">
        <v>219</v>
      </c>
      <c r="G6" s="741">
        <v>1</v>
      </c>
      <c r="H6" s="792" t="s">
        <v>219</v>
      </c>
      <c r="I6" s="741">
        <v>1</v>
      </c>
      <c r="J6" s="792" t="s">
        <v>219</v>
      </c>
      <c r="K6" s="741">
        <v>1</v>
      </c>
      <c r="L6" s="792" t="s">
        <v>219</v>
      </c>
      <c r="M6" s="741">
        <v>1</v>
      </c>
      <c r="N6" s="792" t="s">
        <v>219</v>
      </c>
      <c r="O6" s="354"/>
      <c r="P6" s="354"/>
      <c r="Q6" s="450"/>
      <c r="R6" s="466">
        <v>2300</v>
      </c>
      <c r="S6" s="391"/>
      <c r="T6" s="393"/>
      <c r="U6" s="393">
        <v>150</v>
      </c>
      <c r="V6" s="393"/>
      <c r="W6" s="393"/>
      <c r="X6" s="491">
        <f t="shared" ref="X6:X15" si="0">+R6+S6+T6+U6+V6+W6</f>
        <v>2450</v>
      </c>
      <c r="Y6" s="532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</row>
    <row r="7" spans="1:50" x14ac:dyDescent="0.3">
      <c r="A7" s="588" t="e">
        <f>#REF!+1</f>
        <v>#REF!</v>
      </c>
      <c r="B7" s="483">
        <v>6</v>
      </c>
      <c r="C7" s="392" t="s">
        <v>24</v>
      </c>
      <c r="D7" s="645" t="s">
        <v>187</v>
      </c>
      <c r="E7" s="741">
        <v>1</v>
      </c>
      <c r="F7" s="792" t="s">
        <v>219</v>
      </c>
      <c r="G7" s="741">
        <v>1</v>
      </c>
      <c r="H7" s="792" t="s">
        <v>219</v>
      </c>
      <c r="I7" s="741">
        <v>1</v>
      </c>
      <c r="J7" s="792" t="s">
        <v>219</v>
      </c>
      <c r="K7" s="741">
        <v>1</v>
      </c>
      <c r="L7" s="792" t="s">
        <v>219</v>
      </c>
      <c r="M7" s="741">
        <v>1</v>
      </c>
      <c r="N7" s="792" t="s">
        <v>219</v>
      </c>
      <c r="O7" s="354"/>
      <c r="P7" s="354"/>
      <c r="Q7" s="450"/>
      <c r="R7" s="565">
        <v>3000</v>
      </c>
      <c r="S7" s="393"/>
      <c r="T7" s="393"/>
      <c r="U7" s="393">
        <v>250</v>
      </c>
      <c r="V7" s="393"/>
      <c r="W7" s="393"/>
      <c r="X7" s="491">
        <f t="shared" si="0"/>
        <v>3250</v>
      </c>
    </row>
    <row r="8" spans="1:50" x14ac:dyDescent="0.3">
      <c r="A8" s="588" t="e">
        <f>#REF!+1</f>
        <v>#REF!</v>
      </c>
      <c r="B8" s="483">
        <v>95</v>
      </c>
      <c r="C8" s="392" t="s">
        <v>95</v>
      </c>
      <c r="D8" s="646" t="s">
        <v>190</v>
      </c>
      <c r="E8" s="354">
        <v>1</v>
      </c>
      <c r="F8" s="574"/>
      <c r="G8" s="354">
        <v>1</v>
      </c>
      <c r="H8" s="401"/>
      <c r="I8" s="354">
        <v>1</v>
      </c>
      <c r="J8" s="401"/>
      <c r="K8" s="354">
        <v>1</v>
      </c>
      <c r="L8" s="401"/>
      <c r="M8" s="354">
        <v>1</v>
      </c>
      <c r="N8" s="401"/>
      <c r="O8" s="354"/>
      <c r="P8" s="354"/>
      <c r="Q8" s="450"/>
      <c r="R8" s="467">
        <v>1950</v>
      </c>
      <c r="S8" s="391">
        <v>250</v>
      </c>
      <c r="T8" s="393"/>
      <c r="U8" s="393"/>
      <c r="V8" s="393"/>
      <c r="W8" s="393"/>
      <c r="X8" s="491">
        <f t="shared" si="0"/>
        <v>2200</v>
      </c>
    </row>
    <row r="9" spans="1:50" x14ac:dyDescent="0.3">
      <c r="A9" s="711"/>
      <c r="B9" s="483">
        <v>222</v>
      </c>
      <c r="C9" s="392" t="s">
        <v>235</v>
      </c>
      <c r="D9" s="646" t="s">
        <v>220</v>
      </c>
      <c r="E9" s="741">
        <v>1</v>
      </c>
      <c r="F9" s="792" t="s">
        <v>219</v>
      </c>
      <c r="G9" s="354">
        <v>1</v>
      </c>
      <c r="H9" s="354"/>
      <c r="I9" s="741">
        <v>1</v>
      </c>
      <c r="J9" s="792" t="s">
        <v>219</v>
      </c>
      <c r="K9" s="354">
        <v>1</v>
      </c>
      <c r="L9" s="354"/>
      <c r="M9" s="354">
        <v>1</v>
      </c>
      <c r="N9" s="401"/>
      <c r="O9" s="741">
        <v>1</v>
      </c>
      <c r="P9" s="792" t="s">
        <v>219</v>
      </c>
      <c r="Q9" s="450"/>
      <c r="R9" s="567">
        <v>1950</v>
      </c>
      <c r="S9" s="538">
        <v>200</v>
      </c>
      <c r="T9" s="391"/>
      <c r="U9" s="391"/>
      <c r="V9" s="391"/>
      <c r="W9" s="391"/>
      <c r="X9" s="491">
        <f t="shared" si="0"/>
        <v>2150</v>
      </c>
    </row>
    <row r="10" spans="1:50" x14ac:dyDescent="0.3">
      <c r="A10" s="685"/>
      <c r="B10" s="483">
        <v>260</v>
      </c>
      <c r="C10" s="392" t="s">
        <v>279</v>
      </c>
      <c r="D10" s="643" t="s">
        <v>249</v>
      </c>
      <c r="E10" s="354">
        <v>1</v>
      </c>
      <c r="F10" s="574"/>
      <c r="G10" s="354">
        <v>1</v>
      </c>
      <c r="H10" s="354"/>
      <c r="I10" s="354">
        <v>1</v>
      </c>
      <c r="J10" s="354"/>
      <c r="K10" s="542">
        <v>0</v>
      </c>
      <c r="L10" s="692" t="s">
        <v>129</v>
      </c>
      <c r="M10" s="354">
        <v>1</v>
      </c>
      <c r="N10" s="401"/>
      <c r="O10" s="354"/>
      <c r="P10" s="401"/>
      <c r="Q10" s="450"/>
      <c r="R10" s="567">
        <v>1392.85</v>
      </c>
      <c r="S10" s="538"/>
      <c r="T10" s="391"/>
      <c r="U10" s="391"/>
      <c r="V10" s="391"/>
      <c r="W10" s="391"/>
      <c r="X10" s="491">
        <f t="shared" si="0"/>
        <v>1392.85</v>
      </c>
      <c r="Y10" s="532">
        <v>-557.15</v>
      </c>
    </row>
    <row r="11" spans="1:50" x14ac:dyDescent="0.3">
      <c r="A11" s="588" t="e">
        <f>#REF!+1</f>
        <v>#REF!</v>
      </c>
      <c r="B11" s="483">
        <v>26</v>
      </c>
      <c r="C11" s="392" t="s">
        <v>25</v>
      </c>
      <c r="D11" s="642" t="s">
        <v>188</v>
      </c>
      <c r="E11" s="741">
        <v>1</v>
      </c>
      <c r="F11" s="792" t="s">
        <v>219</v>
      </c>
      <c r="G11" s="741">
        <v>1</v>
      </c>
      <c r="H11" s="792" t="s">
        <v>219</v>
      </c>
      <c r="I11" s="741">
        <v>1</v>
      </c>
      <c r="J11" s="792" t="s">
        <v>219</v>
      </c>
      <c r="K11" s="741">
        <v>1</v>
      </c>
      <c r="L11" s="792" t="s">
        <v>219</v>
      </c>
      <c r="M11" s="741">
        <v>1</v>
      </c>
      <c r="N11" s="792" t="s">
        <v>219</v>
      </c>
      <c r="O11" s="354"/>
      <c r="P11" s="401"/>
      <c r="Q11" s="450"/>
      <c r="R11" s="468">
        <v>2500</v>
      </c>
      <c r="S11" s="538">
        <v>200</v>
      </c>
      <c r="T11" s="393"/>
      <c r="U11" s="393">
        <v>200</v>
      </c>
      <c r="V11" s="393"/>
      <c r="W11" s="393"/>
      <c r="X11" s="491">
        <f t="shared" si="0"/>
        <v>2900</v>
      </c>
    </row>
    <row r="12" spans="1:50" x14ac:dyDescent="0.3">
      <c r="A12" s="474" t="e">
        <f>#REF!+1</f>
        <v>#REF!</v>
      </c>
      <c r="B12" s="483">
        <v>28</v>
      </c>
      <c r="C12" s="392" t="s">
        <v>40</v>
      </c>
      <c r="D12" s="642" t="s">
        <v>188</v>
      </c>
      <c r="E12" s="354">
        <v>1</v>
      </c>
      <c r="F12" s="574"/>
      <c r="G12" s="354">
        <v>1</v>
      </c>
      <c r="H12" s="401"/>
      <c r="I12" s="354">
        <v>1</v>
      </c>
      <c r="J12" s="401"/>
      <c r="K12" s="354">
        <v>1</v>
      </c>
      <c r="L12" s="401"/>
      <c r="M12" s="354">
        <v>1</v>
      </c>
      <c r="N12" s="401"/>
      <c r="O12" s="354"/>
      <c r="P12" s="401"/>
      <c r="Q12" s="450"/>
      <c r="R12" s="468">
        <v>5000</v>
      </c>
      <c r="S12" s="393"/>
      <c r="T12" s="393"/>
      <c r="U12" s="391"/>
      <c r="V12" s="393"/>
      <c r="W12" s="393"/>
      <c r="X12" s="491">
        <f t="shared" si="0"/>
        <v>5000</v>
      </c>
    </row>
    <row r="13" spans="1:50" x14ac:dyDescent="0.3">
      <c r="A13" s="588" t="e">
        <f>#REF!+1</f>
        <v>#REF!</v>
      </c>
      <c r="B13" s="483">
        <v>169</v>
      </c>
      <c r="C13" s="392" t="s">
        <v>147</v>
      </c>
      <c r="D13" s="646" t="s">
        <v>220</v>
      </c>
      <c r="E13" s="354">
        <v>1</v>
      </c>
      <c r="F13" s="574"/>
      <c r="G13" s="354">
        <v>1</v>
      </c>
      <c r="H13" s="401"/>
      <c r="I13" s="354">
        <v>1</v>
      </c>
      <c r="J13" s="401"/>
      <c r="K13" s="354">
        <v>1</v>
      </c>
      <c r="L13" s="537"/>
      <c r="M13" s="354">
        <v>1</v>
      </c>
      <c r="N13" s="537"/>
      <c r="O13" s="354"/>
      <c r="P13" s="401"/>
      <c r="Q13" s="450"/>
      <c r="R13" s="467">
        <v>1950</v>
      </c>
      <c r="S13" s="539">
        <v>200</v>
      </c>
      <c r="T13" s="393"/>
      <c r="U13" s="393"/>
      <c r="V13" s="393"/>
      <c r="W13" s="393"/>
      <c r="X13" s="491">
        <f t="shared" si="0"/>
        <v>2150</v>
      </c>
    </row>
    <row r="14" spans="1:50" x14ac:dyDescent="0.3">
      <c r="A14" s="588" t="e">
        <f>#REF!+1</f>
        <v>#REF!</v>
      </c>
      <c r="B14" s="483">
        <v>146</v>
      </c>
      <c r="C14" s="392" t="s">
        <v>124</v>
      </c>
      <c r="D14" s="646" t="s">
        <v>190</v>
      </c>
      <c r="E14" s="354">
        <v>1</v>
      </c>
      <c r="F14" s="574"/>
      <c r="G14" s="354">
        <v>1</v>
      </c>
      <c r="H14" s="401"/>
      <c r="I14" s="741">
        <v>1</v>
      </c>
      <c r="J14" s="792" t="s">
        <v>219</v>
      </c>
      <c r="K14" s="354">
        <v>1</v>
      </c>
      <c r="L14" s="401"/>
      <c r="M14" s="354">
        <v>1</v>
      </c>
      <c r="N14" s="537"/>
      <c r="O14" s="741">
        <v>1</v>
      </c>
      <c r="P14" s="792" t="s">
        <v>219</v>
      </c>
      <c r="Q14" s="450"/>
      <c r="R14" s="467">
        <v>1950</v>
      </c>
      <c r="S14" s="539">
        <v>200</v>
      </c>
      <c r="T14" s="393"/>
      <c r="U14" s="393"/>
      <c r="V14" s="393"/>
      <c r="W14" s="393"/>
      <c r="X14" s="491">
        <f t="shared" si="0"/>
        <v>2150</v>
      </c>
    </row>
    <row r="15" spans="1:50" ht="15" thickBot="1" x14ac:dyDescent="0.35">
      <c r="A15" s="688" t="e">
        <f>A13+1</f>
        <v>#REF!</v>
      </c>
      <c r="B15" s="487">
        <v>51</v>
      </c>
      <c r="C15" s="621" t="s">
        <v>115</v>
      </c>
      <c r="D15" s="795" t="s">
        <v>188</v>
      </c>
      <c r="E15" s="463">
        <v>1</v>
      </c>
      <c r="F15" s="624"/>
      <c r="G15" s="463">
        <v>1</v>
      </c>
      <c r="H15" s="531"/>
      <c r="I15" s="463">
        <v>1</v>
      </c>
      <c r="J15" s="531"/>
      <c r="K15" s="463">
        <v>1</v>
      </c>
      <c r="L15" s="531"/>
      <c r="M15" s="463">
        <v>1</v>
      </c>
      <c r="N15" s="531"/>
      <c r="O15" s="463"/>
      <c r="P15" s="463"/>
      <c r="Q15" s="464"/>
      <c r="R15" s="796">
        <v>5000</v>
      </c>
      <c r="S15" s="204"/>
      <c r="T15" s="451"/>
      <c r="U15" s="554">
        <v>1000</v>
      </c>
      <c r="V15" s="451"/>
      <c r="W15" s="451">
        <v>239.37</v>
      </c>
      <c r="X15" s="512">
        <f t="shared" si="0"/>
        <v>6239.37</v>
      </c>
      <c r="Y15" s="407"/>
      <c r="Z15" s="407"/>
      <c r="AA15" s="407"/>
      <c r="AB15" s="407"/>
      <c r="AC15" s="407"/>
      <c r="AD15" s="407"/>
      <c r="AE15" s="407"/>
      <c r="AF15" s="407"/>
      <c r="AG15" s="407"/>
      <c r="AH15" s="407"/>
      <c r="AI15" s="407"/>
      <c r="AJ15" s="407"/>
      <c r="AK15" s="407"/>
      <c r="AL15" s="407"/>
      <c r="AM15" s="407"/>
      <c r="AN15" s="407"/>
      <c r="AO15" s="407"/>
      <c r="AP15" s="407"/>
      <c r="AQ15" s="407"/>
      <c r="AR15" s="407"/>
      <c r="AS15" s="407"/>
      <c r="AT15" s="407"/>
      <c r="AU15" s="407"/>
      <c r="AV15" s="407"/>
      <c r="AW15" s="407"/>
      <c r="AX15" s="407"/>
    </row>
    <row r="16" spans="1:50" s="407" customFormat="1" x14ac:dyDescent="0.3">
      <c r="A16" s="402"/>
      <c r="B16" s="403"/>
      <c r="C16" s="404"/>
      <c r="D16" s="647"/>
      <c r="E16" s="405">
        <f>SUM(E6:E15)</f>
        <v>10</v>
      </c>
      <c r="F16" s="405"/>
      <c r="G16" s="405">
        <f>SUM(G6:G15)</f>
        <v>10</v>
      </c>
      <c r="H16" s="405"/>
      <c r="I16" s="405">
        <f>SUM(I6:I15)</f>
        <v>10</v>
      </c>
      <c r="J16" s="405"/>
      <c r="K16" s="405">
        <f>SUM(K6:K15)</f>
        <v>9</v>
      </c>
      <c r="L16" s="405"/>
      <c r="M16" s="405">
        <f>SUM(M6:M15)</f>
        <v>10</v>
      </c>
      <c r="N16" s="405"/>
      <c r="O16" s="405"/>
      <c r="P16" s="405"/>
      <c r="Q16" s="405"/>
      <c r="R16" s="405">
        <f t="shared" ref="R16:W16" si="1">SUM(R6:R15)</f>
        <v>26992.85</v>
      </c>
      <c r="S16" s="405">
        <f t="shared" si="1"/>
        <v>1050</v>
      </c>
      <c r="T16" s="405">
        <f t="shared" si="1"/>
        <v>0</v>
      </c>
      <c r="U16" s="405">
        <f t="shared" si="1"/>
        <v>1600</v>
      </c>
      <c r="V16" s="405">
        <f t="shared" si="1"/>
        <v>0</v>
      </c>
      <c r="W16" s="405">
        <f t="shared" si="1"/>
        <v>239.37</v>
      </c>
      <c r="X16" s="563">
        <f>SUM(X6:X15)-Y10-Y9</f>
        <v>30439.37</v>
      </c>
      <c r="Y16" s="533"/>
    </row>
    <row r="17" spans="1:25" s="407" customFormat="1" ht="14.25" customHeight="1" thickBot="1" x14ac:dyDescent="0.35">
      <c r="A17" s="402"/>
      <c r="B17" s="403"/>
      <c r="C17" s="404"/>
      <c r="D17" s="647"/>
      <c r="E17" s="405"/>
      <c r="F17" s="405"/>
      <c r="G17" s="405"/>
      <c r="H17" s="405"/>
      <c r="I17" s="405"/>
      <c r="J17" s="405"/>
      <c r="K17" s="405"/>
      <c r="L17" s="405"/>
      <c r="M17" s="405"/>
      <c r="N17" s="405"/>
      <c r="O17" s="405"/>
      <c r="P17" s="405"/>
      <c r="Q17" s="405"/>
      <c r="R17" s="402"/>
      <c r="S17" s="402"/>
      <c r="T17" s="402"/>
      <c r="U17" s="402"/>
      <c r="V17" s="402"/>
      <c r="W17" s="402"/>
      <c r="X17" s="473">
        <f>F29-X16</f>
        <v>0</v>
      </c>
      <c r="Y17" s="533"/>
    </row>
    <row r="18" spans="1:25" s="407" customFormat="1" ht="14.25" customHeight="1" thickBot="1" x14ac:dyDescent="0.5">
      <c r="A18" s="421"/>
      <c r="B18" s="422"/>
      <c r="C18" s="422"/>
      <c r="D18" s="423" t="s">
        <v>14</v>
      </c>
      <c r="E18" s="423" t="s">
        <v>206</v>
      </c>
      <c r="F18" s="423" t="s">
        <v>17</v>
      </c>
      <c r="G18" s="424"/>
      <c r="H18"/>
      <c r="I18" s="8"/>
      <c r="J18" s="91"/>
      <c r="K18" s="42" t="s">
        <v>8</v>
      </c>
      <c r="L18" s="42"/>
      <c r="M18" s="42" t="s">
        <v>9</v>
      </c>
      <c r="N18" s="42"/>
      <c r="O18" s="42" t="s">
        <v>9</v>
      </c>
      <c r="P18" s="42"/>
      <c r="Q18" s="42" t="s">
        <v>10</v>
      </c>
      <c r="R18" s="42"/>
      <c r="S18" s="42" t="s">
        <v>11</v>
      </c>
      <c r="T18" s="42"/>
      <c r="U18" s="42" t="s">
        <v>12</v>
      </c>
      <c r="V18" s="42"/>
      <c r="Y18" s="533"/>
    </row>
    <row r="19" spans="1:25" s="407" customFormat="1" ht="14.25" customHeight="1" x14ac:dyDescent="0.4">
      <c r="A19" s="426"/>
      <c r="B19" s="159">
        <v>1</v>
      </c>
      <c r="C19" s="427" t="s">
        <v>29</v>
      </c>
      <c r="D19" s="150">
        <f>3000*B19</f>
        <v>3000</v>
      </c>
      <c r="E19" s="150">
        <v>0</v>
      </c>
      <c r="F19" s="489">
        <f>D19</f>
        <v>3000</v>
      </c>
      <c r="G19" s="428"/>
      <c r="H19"/>
      <c r="I19" s="492"/>
      <c r="J19" s="96"/>
      <c r="K19" s="493"/>
      <c r="L19" s="493"/>
      <c r="M19" s="493"/>
      <c r="N19" s="493"/>
      <c r="O19" s="493"/>
      <c r="P19" s="493"/>
      <c r="Q19" s="493"/>
      <c r="R19" s="493"/>
      <c r="S19" s="493"/>
      <c r="T19" s="493"/>
      <c r="U19" s="493"/>
      <c r="V19" s="98" t="s">
        <v>28</v>
      </c>
      <c r="Y19" s="533"/>
    </row>
    <row r="20" spans="1:25" s="407" customFormat="1" ht="18" customHeight="1" x14ac:dyDescent="0.4">
      <c r="A20" s="426"/>
      <c r="B20" s="159">
        <v>1</v>
      </c>
      <c r="C20" s="427" t="s">
        <v>22</v>
      </c>
      <c r="D20" s="150">
        <f>2300*B20</f>
        <v>2300</v>
      </c>
      <c r="E20" s="150">
        <v>0</v>
      </c>
      <c r="F20" s="489">
        <f>D20</f>
        <v>2300</v>
      </c>
      <c r="G20" s="428"/>
      <c r="H20"/>
      <c r="I20" s="524" t="s">
        <v>29</v>
      </c>
      <c r="J20" s="103"/>
      <c r="K20" s="494">
        <v>1</v>
      </c>
      <c r="L20" s="495"/>
      <c r="M20" s="494">
        <v>1</v>
      </c>
      <c r="N20" s="495"/>
      <c r="O20" s="494">
        <v>1</v>
      </c>
      <c r="P20" s="495"/>
      <c r="Q20" s="494">
        <v>1</v>
      </c>
      <c r="R20" s="495"/>
      <c r="S20" s="494">
        <v>1</v>
      </c>
      <c r="T20" s="495"/>
      <c r="U20" s="494">
        <v>0</v>
      </c>
      <c r="V20" s="106">
        <f>AVERAGE(K20,M20,O20,Q20,S20)</f>
        <v>1</v>
      </c>
      <c r="Y20" s="533"/>
    </row>
    <row r="21" spans="1:25" s="407" customFormat="1" ht="15" customHeight="1" x14ac:dyDescent="0.4">
      <c r="A21" s="426"/>
      <c r="B21" s="159">
        <v>3</v>
      </c>
      <c r="C21" s="427" t="s">
        <v>30</v>
      </c>
      <c r="D21" s="452">
        <f>2500+5000+5000</f>
        <v>12500</v>
      </c>
      <c r="E21" s="150">
        <v>0</v>
      </c>
      <c r="F21" s="489">
        <f>D21</f>
        <v>12500</v>
      </c>
      <c r="G21" s="428"/>
      <c r="H21"/>
      <c r="I21" s="524" t="s">
        <v>22</v>
      </c>
      <c r="J21" s="103"/>
      <c r="K21" s="494">
        <v>1</v>
      </c>
      <c r="L21" s="495"/>
      <c r="M21" s="494">
        <v>1</v>
      </c>
      <c r="N21" s="495"/>
      <c r="O21" s="494">
        <v>1</v>
      </c>
      <c r="P21" s="495"/>
      <c r="Q21" s="494">
        <v>1</v>
      </c>
      <c r="R21" s="495"/>
      <c r="S21" s="494">
        <v>1</v>
      </c>
      <c r="T21" s="495"/>
      <c r="U21" s="494">
        <v>0</v>
      </c>
      <c r="V21" s="106">
        <f t="shared" ref="V21:V24" si="2">AVERAGE(K21,M21,O21,Q21,S21)</f>
        <v>1</v>
      </c>
      <c r="Y21" s="533"/>
    </row>
    <row r="22" spans="1:25" s="407" customFormat="1" ht="18.75" customHeight="1" x14ac:dyDescent="0.4">
      <c r="A22" s="426"/>
      <c r="B22" s="68">
        <v>5</v>
      </c>
      <c r="C22" s="427" t="s">
        <v>32</v>
      </c>
      <c r="D22" s="452">
        <f>1950*B22</f>
        <v>9750</v>
      </c>
      <c r="E22" s="150">
        <v>0</v>
      </c>
      <c r="F22" s="489">
        <f>D22</f>
        <v>9750</v>
      </c>
      <c r="G22" s="431"/>
      <c r="H22"/>
      <c r="I22" s="524" t="s">
        <v>30</v>
      </c>
      <c r="J22" s="103"/>
      <c r="K22" s="494">
        <v>3</v>
      </c>
      <c r="L22" s="495"/>
      <c r="M22" s="494">
        <v>3</v>
      </c>
      <c r="N22" s="495"/>
      <c r="O22" s="494">
        <v>3</v>
      </c>
      <c r="P22" s="495"/>
      <c r="Q22" s="494">
        <v>3</v>
      </c>
      <c r="R22" s="495"/>
      <c r="S22" s="494">
        <v>3</v>
      </c>
      <c r="T22" s="495"/>
      <c r="U22" s="494">
        <v>0</v>
      </c>
      <c r="V22" s="106">
        <f t="shared" si="2"/>
        <v>3</v>
      </c>
      <c r="Y22" s="533"/>
    </row>
    <row r="23" spans="1:25" s="407" customFormat="1" ht="18.75" customHeight="1" x14ac:dyDescent="0.4">
      <c r="A23" s="426"/>
      <c r="B23" s="68"/>
      <c r="C23" s="427"/>
      <c r="D23" s="150"/>
      <c r="E23" s="150"/>
      <c r="F23" s="489"/>
      <c r="G23" s="431"/>
      <c r="H23"/>
      <c r="I23" s="524" t="s">
        <v>32</v>
      </c>
      <c r="J23" s="103"/>
      <c r="K23" s="494">
        <v>5</v>
      </c>
      <c r="L23" s="495"/>
      <c r="M23" s="494">
        <v>5</v>
      </c>
      <c r="N23" s="495"/>
      <c r="O23" s="494">
        <v>5</v>
      </c>
      <c r="P23" s="495"/>
      <c r="Q23" s="494">
        <v>5</v>
      </c>
      <c r="R23" s="495"/>
      <c r="S23" s="494">
        <v>5</v>
      </c>
      <c r="T23" s="495"/>
      <c r="U23" s="494">
        <v>0</v>
      </c>
      <c r="V23" s="106">
        <f>AVERAGE(K23,M23,O23,Q23,S23)</f>
        <v>5</v>
      </c>
      <c r="Y23" s="533"/>
    </row>
    <row r="24" spans="1:25" s="407" customFormat="1" ht="16.5" customHeight="1" thickBot="1" x14ac:dyDescent="0.5">
      <c r="A24" s="432"/>
      <c r="B24" s="433">
        <f>SUM(B19:B23)</f>
        <v>10</v>
      </c>
      <c r="C24" s="150"/>
      <c r="D24" s="434"/>
      <c r="E24" s="434"/>
      <c r="F24" s="490">
        <f>SUM(F19:F23)</f>
        <v>27550</v>
      </c>
      <c r="G24" s="431"/>
      <c r="H24"/>
      <c r="I24" s="526"/>
      <c r="J24" s="527"/>
      <c r="K24" s="528">
        <f>SUM(K20:K23)</f>
        <v>10</v>
      </c>
      <c r="L24" s="528"/>
      <c r="M24" s="528">
        <f t="shared" ref="M24:Q24" si="3">SUM(M20:M23)</f>
        <v>10</v>
      </c>
      <c r="N24" s="528"/>
      <c r="O24" s="528">
        <f t="shared" si="3"/>
        <v>10</v>
      </c>
      <c r="P24" s="528"/>
      <c r="Q24" s="528">
        <f t="shared" si="3"/>
        <v>10</v>
      </c>
      <c r="R24" s="528"/>
      <c r="S24" s="528">
        <f>SUM(S20:S23)</f>
        <v>10</v>
      </c>
      <c r="T24" s="528"/>
      <c r="U24" s="528">
        <f t="shared" ref="U24" si="4">SUM(U20:U23)</f>
        <v>0</v>
      </c>
      <c r="V24" s="559">
        <f t="shared" si="2"/>
        <v>10</v>
      </c>
      <c r="Y24" s="533"/>
    </row>
    <row r="25" spans="1:25" s="407" customFormat="1" ht="14.25" customHeight="1" x14ac:dyDescent="0.45">
      <c r="A25" s="432"/>
      <c r="B25" s="434"/>
      <c r="C25" s="150"/>
      <c r="D25" s="437"/>
      <c r="E25" s="438" t="s">
        <v>7</v>
      </c>
      <c r="F25" s="435">
        <f>+S16</f>
        <v>1050</v>
      </c>
      <c r="G25" s="439"/>
      <c r="H25"/>
      <c r="I25" s="390"/>
      <c r="J25"/>
      <c r="K25"/>
      <c r="M25" s="405"/>
      <c r="N25" s="405"/>
      <c r="O25" s="405"/>
      <c r="P25" s="405"/>
      <c r="Q25" s="405"/>
      <c r="R25" s="402"/>
      <c r="S25" s="402"/>
      <c r="T25" s="402"/>
      <c r="U25" s="402"/>
      <c r="V25" s="402"/>
      <c r="W25" s="406"/>
      <c r="Y25" s="533"/>
    </row>
    <row r="26" spans="1:25" s="407" customFormat="1" ht="16.8" x14ac:dyDescent="0.45">
      <c r="A26" s="432"/>
      <c r="B26" s="434"/>
      <c r="C26" s="150"/>
      <c r="D26" s="434"/>
      <c r="E26" s="438" t="s">
        <v>211</v>
      </c>
      <c r="F26" s="435">
        <f>+U16</f>
        <v>1600</v>
      </c>
      <c r="G26" s="439"/>
      <c r="H26"/>
      <c r="I26"/>
      <c r="J26"/>
      <c r="K26"/>
      <c r="M26" s="405"/>
      <c r="N26" s="405"/>
      <c r="O26" s="405"/>
      <c r="P26" s="405"/>
      <c r="Q26" s="405"/>
      <c r="R26" s="402"/>
      <c r="S26" s="402"/>
      <c r="T26" s="402"/>
      <c r="U26" s="402"/>
      <c r="V26" s="402"/>
      <c r="W26" s="406"/>
      <c r="Y26" s="533"/>
    </row>
    <row r="27" spans="1:25" s="407" customFormat="1" ht="16.8" x14ac:dyDescent="0.45">
      <c r="A27" s="432"/>
      <c r="B27" s="434"/>
      <c r="C27" s="150"/>
      <c r="D27" s="434"/>
      <c r="E27" s="438" t="s">
        <v>537</v>
      </c>
      <c r="F27" s="435">
        <f>W16</f>
        <v>239.37</v>
      </c>
      <c r="G27" s="439"/>
      <c r="H27"/>
      <c r="I27"/>
      <c r="J27"/>
      <c r="K27"/>
      <c r="M27" s="405"/>
      <c r="N27" s="405"/>
      <c r="O27" s="405"/>
      <c r="P27" s="405"/>
      <c r="Q27" s="405"/>
      <c r="R27" s="402"/>
      <c r="S27" s="402"/>
      <c r="T27" s="402"/>
      <c r="U27" s="402"/>
      <c r="V27" s="402"/>
      <c r="W27" s="406"/>
      <c r="Y27" s="533"/>
    </row>
    <row r="28" spans="1:25" s="407" customFormat="1" ht="14.25" customHeight="1" x14ac:dyDescent="0.45">
      <c r="A28" s="432"/>
      <c r="B28" s="434"/>
      <c r="C28" s="150"/>
      <c r="D28" s="434"/>
      <c r="E28" s="438"/>
      <c r="F28" s="435"/>
      <c r="G28" s="439"/>
      <c r="H28"/>
      <c r="I28"/>
      <c r="J28"/>
      <c r="K28"/>
      <c r="M28" s="405"/>
      <c r="N28" s="405"/>
      <c r="O28" s="405"/>
      <c r="P28" s="405"/>
      <c r="Q28" s="405"/>
      <c r="R28" s="402"/>
      <c r="S28" s="402"/>
      <c r="T28" s="402"/>
      <c r="U28" s="402"/>
      <c r="V28" s="402"/>
      <c r="W28" s="406"/>
      <c r="Y28" s="533"/>
    </row>
    <row r="29" spans="1:25" s="407" customFormat="1" ht="14.25" customHeight="1" x14ac:dyDescent="0.4">
      <c r="A29" s="432"/>
      <c r="B29" s="434"/>
      <c r="C29" s="150"/>
      <c r="D29" s="434"/>
      <c r="E29" s="434"/>
      <c r="F29" s="441">
        <f>SUM(F24:F28)</f>
        <v>30439.37</v>
      </c>
      <c r="G29" s="431"/>
      <c r="H29"/>
      <c r="I29"/>
      <c r="J29"/>
      <c r="K29"/>
      <c r="M29" s="405"/>
      <c r="N29" s="405"/>
      <c r="O29" s="405"/>
      <c r="P29" s="405"/>
      <c r="Q29" s="405"/>
      <c r="R29" s="402"/>
      <c r="S29" s="402"/>
      <c r="T29" s="402"/>
      <c r="U29" s="402"/>
      <c r="V29" s="402"/>
      <c r="W29" s="406"/>
      <c r="Y29" s="533"/>
    </row>
    <row r="30" spans="1:25" s="407" customFormat="1" ht="14.25" customHeight="1" thickBot="1" x14ac:dyDescent="0.45">
      <c r="A30" s="442"/>
      <c r="B30" s="443"/>
      <c r="C30" s="444"/>
      <c r="D30" s="445"/>
      <c r="E30" s="445"/>
      <c r="F30" s="445"/>
      <c r="G30" s="446"/>
      <c r="H30"/>
      <c r="I30"/>
      <c r="J30"/>
      <c r="K30"/>
      <c r="M30" s="405"/>
      <c r="N30" s="405"/>
      <c r="O30" s="405"/>
      <c r="P30" s="405"/>
      <c r="Q30" s="405"/>
      <c r="R30" s="402"/>
      <c r="S30" s="402"/>
      <c r="T30" s="402"/>
      <c r="U30" s="402"/>
      <c r="V30" s="402"/>
      <c r="W30" s="406"/>
      <c r="Y30" s="533"/>
    </row>
    <row r="31" spans="1:25" ht="15" thickBot="1" x14ac:dyDescent="0.35">
      <c r="A31" s="402"/>
      <c r="B31" s="407"/>
      <c r="C31" s="407"/>
      <c r="D31" s="648"/>
      <c r="E31" s="407"/>
      <c r="F31" s="407"/>
      <c r="G31" s="407"/>
      <c r="H31" s="407"/>
      <c r="I31" s="407"/>
      <c r="J31" s="407"/>
      <c r="K31" s="407"/>
      <c r="L31" s="407"/>
      <c r="M31" s="405"/>
      <c r="N31" s="405"/>
      <c r="O31" s="405"/>
      <c r="P31" s="405"/>
      <c r="Q31" s="405"/>
      <c r="R31" s="402"/>
    </row>
    <row r="32" spans="1:25" ht="31.5" customHeight="1" x14ac:dyDescent="0.4">
      <c r="B32" s="861" t="str">
        <f>+B1</f>
        <v>SEMANA DEL 23 AL 29 DE JUNIO DEL 2025</v>
      </c>
      <c r="C32" s="862"/>
      <c r="D32" s="862"/>
      <c r="E32" s="862"/>
      <c r="F32" s="862"/>
      <c r="G32" s="862"/>
      <c r="H32" s="862"/>
      <c r="I32" s="862"/>
      <c r="J32" s="862"/>
      <c r="K32" s="862"/>
      <c r="L32" s="862"/>
      <c r="M32" s="862"/>
      <c r="N32" s="862"/>
      <c r="O32" s="862"/>
      <c r="P32" s="862"/>
      <c r="Q32" s="863"/>
    </row>
    <row r="33" spans="1:25" ht="21" customHeight="1" thickBot="1" x14ac:dyDescent="0.35">
      <c r="A33" s="397"/>
      <c r="B33" s="867" t="s">
        <v>191</v>
      </c>
      <c r="C33" s="868"/>
      <c r="D33" s="868"/>
      <c r="E33" s="868"/>
      <c r="F33" s="868"/>
      <c r="G33" s="868"/>
      <c r="H33" s="868"/>
      <c r="I33" s="868"/>
      <c r="J33" s="868"/>
      <c r="K33" s="868"/>
      <c r="L33" s="868"/>
      <c r="M33" s="868"/>
      <c r="N33" s="868"/>
      <c r="O33" s="868"/>
      <c r="P33" s="868"/>
      <c r="Q33" s="869"/>
    </row>
    <row r="34" spans="1:25" ht="18.600000000000001" customHeight="1" x14ac:dyDescent="0.3">
      <c r="A34" s="397"/>
      <c r="B34" s="870" t="s">
        <v>184</v>
      </c>
      <c r="C34" s="871"/>
      <c r="D34" s="871"/>
      <c r="E34" s="871"/>
      <c r="F34" s="871"/>
      <c r="G34" s="871"/>
      <c r="H34" s="871"/>
      <c r="I34" s="871"/>
      <c r="J34" s="871"/>
      <c r="K34" s="871"/>
      <c r="L34" s="871"/>
      <c r="M34" s="871"/>
      <c r="N34" s="871"/>
      <c r="O34" s="871"/>
      <c r="P34" s="871"/>
      <c r="Q34" s="872"/>
      <c r="R34" s="873" t="s">
        <v>200</v>
      </c>
      <c r="S34" s="857" t="s">
        <v>201</v>
      </c>
      <c r="T34" s="857" t="s">
        <v>202</v>
      </c>
      <c r="U34" s="857" t="s">
        <v>226</v>
      </c>
      <c r="V34" s="857" t="s">
        <v>223</v>
      </c>
      <c r="W34" s="857" t="s">
        <v>210</v>
      </c>
      <c r="X34" s="859" t="s">
        <v>203</v>
      </c>
    </row>
    <row r="35" spans="1:25" ht="9.75" customHeight="1" x14ac:dyDescent="0.3">
      <c r="A35" s="397"/>
      <c r="B35" s="476" t="s">
        <v>185</v>
      </c>
      <c r="C35" s="477" t="s">
        <v>135</v>
      </c>
      <c r="D35" s="477" t="s">
        <v>136</v>
      </c>
      <c r="E35" s="478" t="s">
        <v>8</v>
      </c>
      <c r="F35" s="478"/>
      <c r="G35" s="478" t="s">
        <v>9</v>
      </c>
      <c r="H35" s="478"/>
      <c r="I35" s="478" t="s">
        <v>9</v>
      </c>
      <c r="J35" s="478"/>
      <c r="K35" s="478" t="s">
        <v>10</v>
      </c>
      <c r="L35" s="478"/>
      <c r="M35" s="478" t="s">
        <v>11</v>
      </c>
      <c r="N35" s="478"/>
      <c r="O35" s="478" t="s">
        <v>12</v>
      </c>
      <c r="P35" s="478"/>
      <c r="Q35" s="479" t="s">
        <v>186</v>
      </c>
      <c r="R35" s="874"/>
      <c r="S35" s="858"/>
      <c r="T35" s="858"/>
      <c r="U35" s="858"/>
      <c r="V35" s="858"/>
      <c r="W35" s="858"/>
      <c r="X35" s="860"/>
    </row>
    <row r="36" spans="1:25" ht="17.399999999999999" customHeight="1" x14ac:dyDescent="0.3">
      <c r="A36" s="397"/>
      <c r="B36" s="483">
        <v>59</v>
      </c>
      <c r="C36" s="392" t="s">
        <v>80</v>
      </c>
      <c r="D36" s="642" t="s">
        <v>188</v>
      </c>
      <c r="E36" s="354">
        <v>1</v>
      </c>
      <c r="F36" s="574"/>
      <c r="G36" s="354">
        <v>1</v>
      </c>
      <c r="H36" s="395"/>
      <c r="I36" s="354">
        <v>1</v>
      </c>
      <c r="J36" s="395"/>
      <c r="K36" s="354">
        <v>1</v>
      </c>
      <c r="L36" s="401"/>
      <c r="M36" s="354">
        <v>1</v>
      </c>
      <c r="N36" s="401"/>
      <c r="O36" s="354">
        <v>1</v>
      </c>
      <c r="P36" s="401"/>
      <c r="Q36" s="450"/>
      <c r="R36" s="468">
        <v>2350</v>
      </c>
      <c r="S36" s="538">
        <v>200</v>
      </c>
      <c r="T36" s="393"/>
      <c r="U36" s="393">
        <v>150</v>
      </c>
      <c r="V36" s="393"/>
      <c r="W36" s="393"/>
      <c r="X36" s="491">
        <f>+R36+S36+T36+U36+V36+W36</f>
        <v>2700</v>
      </c>
    </row>
    <row r="37" spans="1:25" ht="17.399999999999999" customHeight="1" x14ac:dyDescent="0.3">
      <c r="A37" s="397"/>
      <c r="B37" s="483">
        <v>12</v>
      </c>
      <c r="C37" s="392" t="s">
        <v>37</v>
      </c>
      <c r="D37" s="644" t="s">
        <v>189</v>
      </c>
      <c r="E37" s="354">
        <v>1</v>
      </c>
      <c r="F37" s="574"/>
      <c r="G37" s="354">
        <v>1</v>
      </c>
      <c r="H37" s="395"/>
      <c r="I37" s="354">
        <v>1</v>
      </c>
      <c r="J37" s="395"/>
      <c r="K37" s="354">
        <v>1</v>
      </c>
      <c r="L37" s="401"/>
      <c r="M37" s="354">
        <v>1</v>
      </c>
      <c r="N37" s="401"/>
      <c r="O37" s="354">
        <v>1</v>
      </c>
      <c r="P37" s="354"/>
      <c r="Q37" s="450"/>
      <c r="R37" s="567">
        <v>2300</v>
      </c>
      <c r="S37" s="391"/>
      <c r="T37" s="391"/>
      <c r="U37" s="391">
        <v>150</v>
      </c>
      <c r="V37" s="391"/>
      <c r="W37" s="391"/>
      <c r="X37" s="505">
        <f>+R37+S37+T37+U37+V37+W37</f>
        <v>2450</v>
      </c>
    </row>
    <row r="38" spans="1:25" ht="17.399999999999999" customHeight="1" thickBot="1" x14ac:dyDescent="0.35">
      <c r="B38" s="487">
        <v>212</v>
      </c>
      <c r="C38" s="462" t="s">
        <v>232</v>
      </c>
      <c r="D38" s="683" t="s">
        <v>190</v>
      </c>
      <c r="E38" s="463">
        <v>1</v>
      </c>
      <c r="F38" s="624"/>
      <c r="G38" s="628">
        <v>1</v>
      </c>
      <c r="H38" s="629"/>
      <c r="I38" s="463">
        <v>1</v>
      </c>
      <c r="J38" s="463"/>
      <c r="K38" s="741">
        <v>1</v>
      </c>
      <c r="L38" s="792" t="s">
        <v>219</v>
      </c>
      <c r="M38" s="463">
        <v>1</v>
      </c>
      <c r="N38" s="531"/>
      <c r="O38" s="463">
        <v>1</v>
      </c>
      <c r="P38" s="531"/>
      <c r="Q38" s="464"/>
      <c r="R38" s="465">
        <v>1950</v>
      </c>
      <c r="S38" s="630">
        <v>200</v>
      </c>
      <c r="T38" s="451"/>
      <c r="U38" s="451"/>
      <c r="V38" s="451"/>
      <c r="W38" s="451"/>
      <c r="X38" s="512">
        <f>+R38+S38+T38+U38+V38+W38</f>
        <v>2150</v>
      </c>
    </row>
    <row r="39" spans="1:25" s="407" customFormat="1" ht="12.75" customHeight="1" x14ac:dyDescent="0.3">
      <c r="A39" s="402"/>
      <c r="B39" s="403"/>
      <c r="C39" s="404"/>
      <c r="D39" s="647"/>
      <c r="E39" s="405">
        <f>SUM(E36:E38)</f>
        <v>3</v>
      </c>
      <c r="F39" s="405"/>
      <c r="G39" s="405">
        <f t="shared" ref="G39:M39" si="5">SUM(G36:G38)</f>
        <v>3</v>
      </c>
      <c r="H39" s="405"/>
      <c r="I39" s="405">
        <f t="shared" si="5"/>
        <v>3</v>
      </c>
      <c r="J39" s="405"/>
      <c r="K39" s="405">
        <f t="shared" si="5"/>
        <v>3</v>
      </c>
      <c r="L39" s="405"/>
      <c r="M39" s="405">
        <f t="shared" si="5"/>
        <v>3</v>
      </c>
      <c r="N39" s="405"/>
      <c r="O39" s="405">
        <v>3</v>
      </c>
      <c r="P39" s="405"/>
      <c r="Q39" s="405"/>
      <c r="R39" s="405">
        <f>SUM(R36:R38)</f>
        <v>6600</v>
      </c>
      <c r="S39" s="405">
        <f>SUM(S36:S38)</f>
        <v>400</v>
      </c>
      <c r="T39" s="405">
        <f t="shared" ref="T39:W39" si="6">SUM(T36:T38)</f>
        <v>0</v>
      </c>
      <c r="U39" s="405">
        <f t="shared" si="6"/>
        <v>300</v>
      </c>
      <c r="V39" s="405">
        <f t="shared" si="6"/>
        <v>0</v>
      </c>
      <c r="W39" s="405">
        <f t="shared" si="6"/>
        <v>0</v>
      </c>
      <c r="X39" s="563">
        <f>SUM(X36:X38)-Y36</f>
        <v>7300</v>
      </c>
      <c r="Y39" s="533"/>
    </row>
    <row r="40" spans="1:25" s="22" customFormat="1" ht="14.25" customHeight="1" thickBot="1" x14ac:dyDescent="0.35">
      <c r="A40" s="589"/>
      <c r="B40" s="408"/>
      <c r="C40" s="409"/>
      <c r="D40" s="649"/>
      <c r="E40" s="405"/>
      <c r="F40" s="405"/>
      <c r="G40" s="405"/>
      <c r="H40" s="405"/>
      <c r="I40" s="405"/>
      <c r="J40" s="405"/>
      <c r="K40" s="405"/>
      <c r="L40" s="405"/>
      <c r="M40" s="405"/>
      <c r="N40" s="405"/>
      <c r="O40" s="405"/>
      <c r="P40" s="405"/>
      <c r="Q40" s="405"/>
      <c r="X40" s="473">
        <f>F51-X39</f>
        <v>0</v>
      </c>
      <c r="Y40" s="178"/>
    </row>
    <row r="41" spans="1:25" s="22" customFormat="1" ht="18.75" customHeight="1" x14ac:dyDescent="0.45">
      <c r="A41" s="421"/>
      <c r="B41" s="422"/>
      <c r="C41" s="422"/>
      <c r="D41" s="423" t="s">
        <v>14</v>
      </c>
      <c r="E41" s="423" t="s">
        <v>206</v>
      </c>
      <c r="F41" s="423" t="s">
        <v>17</v>
      </c>
      <c r="G41" s="424"/>
      <c r="H41"/>
      <c r="I41" s="425"/>
      <c r="J41" s="390"/>
      <c r="K41" s="181"/>
      <c r="L41" s="405"/>
      <c r="M41" s="405"/>
      <c r="N41" s="405"/>
      <c r="O41" s="405"/>
      <c r="P41" s="405"/>
      <c r="Q41" s="405"/>
      <c r="Y41" s="178"/>
    </row>
    <row r="42" spans="1:25" s="22" customFormat="1" ht="16.5" customHeight="1" thickBot="1" x14ac:dyDescent="0.45">
      <c r="A42" s="426"/>
      <c r="B42" s="159">
        <v>0</v>
      </c>
      <c r="C42" s="427" t="s">
        <v>212</v>
      </c>
      <c r="D42" s="150">
        <v>0</v>
      </c>
      <c r="E42" s="150">
        <v>0</v>
      </c>
      <c r="F42" s="489">
        <f>D42</f>
        <v>0</v>
      </c>
      <c r="G42" s="428"/>
      <c r="H42"/>
      <c r="I42" s="8"/>
      <c r="J42" s="91"/>
      <c r="K42" s="42" t="s">
        <v>8</v>
      </c>
      <c r="L42" s="42"/>
      <c r="M42" s="42" t="s">
        <v>9</v>
      </c>
      <c r="N42" s="42"/>
      <c r="O42" s="42" t="s">
        <v>9</v>
      </c>
      <c r="P42" s="42"/>
      <c r="Q42" s="42" t="s">
        <v>10</v>
      </c>
      <c r="R42" s="42"/>
      <c r="S42" s="42" t="s">
        <v>11</v>
      </c>
      <c r="T42" s="42"/>
      <c r="U42" s="42" t="s">
        <v>12</v>
      </c>
      <c r="V42" s="42"/>
      <c r="Y42" s="178"/>
    </row>
    <row r="43" spans="1:25" s="22" customFormat="1" ht="14.25" customHeight="1" x14ac:dyDescent="0.4">
      <c r="A43" s="426"/>
      <c r="B43" s="159">
        <v>1</v>
      </c>
      <c r="C43" s="427" t="s">
        <v>22</v>
      </c>
      <c r="D43" s="150">
        <f>2300*B43</f>
        <v>2300</v>
      </c>
      <c r="E43" s="150">
        <v>0</v>
      </c>
      <c r="F43" s="489">
        <f>D43</f>
        <v>2300</v>
      </c>
      <c r="G43" s="428"/>
      <c r="H43"/>
      <c r="I43" s="492"/>
      <c r="J43" s="96"/>
      <c r="K43" s="493"/>
      <c r="L43" s="493"/>
      <c r="M43" s="493"/>
      <c r="N43" s="493"/>
      <c r="O43" s="493"/>
      <c r="P43" s="493"/>
      <c r="Q43" s="493"/>
      <c r="R43" s="493"/>
      <c r="S43" s="493"/>
      <c r="T43" s="493"/>
      <c r="U43" s="493"/>
      <c r="V43" s="98" t="s">
        <v>28</v>
      </c>
      <c r="Y43" s="178"/>
    </row>
    <row r="44" spans="1:25" s="22" customFormat="1" ht="17.399999999999999" thickBot="1" x14ac:dyDescent="0.45">
      <c r="A44" s="426"/>
      <c r="B44" s="159">
        <v>1</v>
      </c>
      <c r="C44" s="427" t="s">
        <v>30</v>
      </c>
      <c r="D44" s="150">
        <v>2350</v>
      </c>
      <c r="E44" s="150">
        <v>0</v>
      </c>
      <c r="F44" s="489">
        <f>+D44</f>
        <v>2350</v>
      </c>
      <c r="G44" s="428"/>
      <c r="H44"/>
      <c r="I44" s="524" t="s">
        <v>222</v>
      </c>
      <c r="J44" s="103"/>
      <c r="K44" s="494">
        <v>0</v>
      </c>
      <c r="L44" s="495"/>
      <c r="M44" s="494">
        <v>0</v>
      </c>
      <c r="N44" s="495"/>
      <c r="O44" s="494">
        <v>0</v>
      </c>
      <c r="P44" s="495"/>
      <c r="Q44" s="494">
        <v>0</v>
      </c>
      <c r="R44" s="495"/>
      <c r="S44" s="494">
        <v>0</v>
      </c>
      <c r="T44" s="495"/>
      <c r="U44" s="494">
        <v>0</v>
      </c>
      <c r="V44" s="559">
        <f>AVERAGE(K44,M44,O44,Q44,S44,U44)</f>
        <v>0</v>
      </c>
      <c r="Y44" s="178"/>
    </row>
    <row r="45" spans="1:25" s="22" customFormat="1" ht="16.5" customHeight="1" thickBot="1" x14ac:dyDescent="0.45">
      <c r="A45" s="426"/>
      <c r="B45" s="68">
        <v>1</v>
      </c>
      <c r="C45" s="427" t="s">
        <v>32</v>
      </c>
      <c r="D45" s="150">
        <f>1950*B45</f>
        <v>1950</v>
      </c>
      <c r="E45" s="150">
        <v>0</v>
      </c>
      <c r="F45" s="489">
        <f>D45</f>
        <v>1950</v>
      </c>
      <c r="G45" s="431"/>
      <c r="H45" s="436"/>
      <c r="I45" s="524" t="s">
        <v>22</v>
      </c>
      <c r="J45" s="103"/>
      <c r="K45" s="494">
        <v>1</v>
      </c>
      <c r="L45" s="495"/>
      <c r="M45" s="494">
        <v>1</v>
      </c>
      <c r="N45" s="495"/>
      <c r="O45" s="494">
        <v>1</v>
      </c>
      <c r="P45" s="495"/>
      <c r="Q45" s="494">
        <v>1</v>
      </c>
      <c r="R45" s="495"/>
      <c r="S45" s="494">
        <v>1</v>
      </c>
      <c r="T45" s="495"/>
      <c r="U45" s="494">
        <v>0</v>
      </c>
      <c r="V45" s="559">
        <f>AVERAGE(K45,M45,O45,Q45,S45)</f>
        <v>1</v>
      </c>
      <c r="Y45" s="178"/>
    </row>
    <row r="46" spans="1:25" s="22" customFormat="1" ht="15.75" customHeight="1" thickBot="1" x14ac:dyDescent="0.5">
      <c r="A46" s="432"/>
      <c r="B46" s="433"/>
      <c r="C46" s="150"/>
      <c r="D46" s="434"/>
      <c r="E46" s="434"/>
      <c r="F46" s="435">
        <f>SUM(F42:F45)</f>
        <v>6600</v>
      </c>
      <c r="G46" s="431"/>
      <c r="H46" s="436"/>
      <c r="I46" s="524" t="s">
        <v>30</v>
      </c>
      <c r="J46" s="103"/>
      <c r="K46" s="494">
        <v>1</v>
      </c>
      <c r="L46" s="495"/>
      <c r="M46" s="494">
        <v>1</v>
      </c>
      <c r="N46" s="495"/>
      <c r="O46" s="494">
        <v>1</v>
      </c>
      <c r="P46" s="495"/>
      <c r="Q46" s="494">
        <v>1</v>
      </c>
      <c r="R46" s="495"/>
      <c r="S46" s="494">
        <v>1</v>
      </c>
      <c r="T46" s="495"/>
      <c r="U46" s="494">
        <v>0</v>
      </c>
      <c r="V46" s="559">
        <f t="shared" ref="V46:V48" si="7">AVERAGE(K46,M46,O46,Q46,S46)</f>
        <v>1</v>
      </c>
      <c r="Y46" s="178"/>
    </row>
    <row r="47" spans="1:25" s="22" customFormat="1" ht="21" customHeight="1" thickBot="1" x14ac:dyDescent="0.5">
      <c r="A47" s="432"/>
      <c r="B47" s="434">
        <f>SUM(B42:B46)</f>
        <v>3</v>
      </c>
      <c r="C47" s="150"/>
      <c r="D47" s="437"/>
      <c r="E47" s="438"/>
      <c r="F47" s="435"/>
      <c r="G47" s="439"/>
      <c r="H47"/>
      <c r="I47" s="524" t="s">
        <v>32</v>
      </c>
      <c r="J47" s="103"/>
      <c r="K47" s="494">
        <v>1</v>
      </c>
      <c r="L47" s="495"/>
      <c r="M47" s="494">
        <v>1</v>
      </c>
      <c r="N47" s="495"/>
      <c r="O47" s="494">
        <v>1</v>
      </c>
      <c r="P47" s="495"/>
      <c r="Q47" s="494">
        <v>1</v>
      </c>
      <c r="R47" s="495"/>
      <c r="S47" s="494">
        <v>1</v>
      </c>
      <c r="T47" s="495"/>
      <c r="U47" s="494">
        <v>0</v>
      </c>
      <c r="V47" s="559">
        <f t="shared" si="7"/>
        <v>1</v>
      </c>
      <c r="Y47" s="178"/>
    </row>
    <row r="48" spans="1:25" s="22" customFormat="1" ht="19.5" customHeight="1" thickBot="1" x14ac:dyDescent="0.5">
      <c r="A48" s="432"/>
      <c r="B48" s="434"/>
      <c r="C48" s="150"/>
      <c r="D48" s="434"/>
      <c r="E48" s="438" t="s">
        <v>7</v>
      </c>
      <c r="F48" s="440">
        <f>S39</f>
        <v>400</v>
      </c>
      <c r="G48" s="439"/>
      <c r="H48"/>
      <c r="I48" s="526"/>
      <c r="J48" s="527"/>
      <c r="K48" s="528">
        <f>SUM(K44:K47)</f>
        <v>3</v>
      </c>
      <c r="L48" s="528"/>
      <c r="M48" s="528">
        <f t="shared" ref="M48:U48" si="8">SUM(M44:M47)</f>
        <v>3</v>
      </c>
      <c r="N48" s="528"/>
      <c r="O48" s="528">
        <f t="shared" si="8"/>
        <v>3</v>
      </c>
      <c r="P48" s="528"/>
      <c r="Q48" s="528">
        <f t="shared" si="8"/>
        <v>3</v>
      </c>
      <c r="R48" s="528"/>
      <c r="S48" s="528">
        <f t="shared" si="8"/>
        <v>3</v>
      </c>
      <c r="T48" s="528"/>
      <c r="U48" s="528">
        <f t="shared" si="8"/>
        <v>0</v>
      </c>
      <c r="V48" s="559">
        <f t="shared" si="7"/>
        <v>3</v>
      </c>
      <c r="Y48" s="178"/>
    </row>
    <row r="49" spans="1:50" s="22" customFormat="1" ht="19.5" customHeight="1" x14ac:dyDescent="0.45">
      <c r="A49" s="432"/>
      <c r="B49" s="434"/>
      <c r="C49" s="150"/>
      <c r="D49" s="434"/>
      <c r="E49" s="438" t="s">
        <v>213</v>
      </c>
      <c r="F49" s="440">
        <f>U39</f>
        <v>300</v>
      </c>
      <c r="G49" s="439"/>
      <c r="H49"/>
      <c r="I49" s="552"/>
      <c r="J49" s="151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115"/>
      <c r="Y49" s="178"/>
    </row>
    <row r="50" spans="1:50" s="22" customFormat="1" ht="17.25" customHeight="1" x14ac:dyDescent="0.45">
      <c r="A50" s="432"/>
      <c r="B50" s="434"/>
      <c r="C50" s="150"/>
      <c r="D50" s="434"/>
      <c r="E50" s="438"/>
      <c r="F50" s="435"/>
      <c r="G50" s="439"/>
      <c r="H50"/>
      <c r="I50" s="390"/>
      <c r="J50"/>
      <c r="K50"/>
      <c r="L50" s="405"/>
      <c r="M50" s="405"/>
      <c r="N50" s="405"/>
      <c r="O50" s="405"/>
      <c r="P50" s="405"/>
      <c r="Q50" s="405"/>
      <c r="Y50" s="178"/>
    </row>
    <row r="51" spans="1:50" s="22" customFormat="1" ht="15.75" customHeight="1" x14ac:dyDescent="0.4">
      <c r="A51" s="432"/>
      <c r="B51" s="434"/>
      <c r="C51" s="150"/>
      <c r="D51" s="434"/>
      <c r="E51" s="434"/>
      <c r="F51" s="441">
        <f>SUM(F46:F49)</f>
        <v>7300</v>
      </c>
      <c r="G51" s="431"/>
      <c r="H51"/>
      <c r="I51" s="390"/>
      <c r="J51"/>
      <c r="K51"/>
      <c r="L51" s="405"/>
      <c r="M51" s="405"/>
      <c r="Q51" s="405"/>
      <c r="Y51" s="178"/>
    </row>
    <row r="52" spans="1:50" s="22" customFormat="1" ht="18.75" customHeight="1" thickBot="1" x14ac:dyDescent="0.45">
      <c r="A52" s="442"/>
      <c r="B52" s="443"/>
      <c r="C52" s="444"/>
      <c r="D52" s="445"/>
      <c r="E52" s="445"/>
      <c r="F52" s="445"/>
      <c r="G52" s="446"/>
      <c r="H52"/>
      <c r="I52"/>
      <c r="J52"/>
      <c r="K52"/>
      <c r="L52" s="405"/>
      <c r="M52" s="405"/>
      <c r="Q52" s="405"/>
      <c r="Y52" s="178"/>
    </row>
    <row r="53" spans="1:50" s="22" customFormat="1" ht="15" thickBot="1" x14ac:dyDescent="0.35">
      <c r="A53" s="589"/>
      <c r="B53" s="408"/>
      <c r="C53" s="409"/>
      <c r="D53" s="649"/>
      <c r="E53" s="405"/>
      <c r="F53" s="405"/>
      <c r="G53" s="405"/>
      <c r="H53" s="405"/>
      <c r="I53" s="405"/>
      <c r="J53" s="405"/>
      <c r="K53" s="405"/>
      <c r="L53" s="405"/>
      <c r="M53" s="405"/>
      <c r="Q53" s="405"/>
      <c r="Y53" s="178"/>
    </row>
    <row r="54" spans="1:50" s="22" customFormat="1" ht="42" customHeight="1" x14ac:dyDescent="0.4">
      <c r="A54" s="287"/>
      <c r="B54" s="861" t="str">
        <f>+B1</f>
        <v>SEMANA DEL 23 AL 29 DE JUNIO DEL 2025</v>
      </c>
      <c r="C54" s="862"/>
      <c r="D54" s="862"/>
      <c r="E54" s="862"/>
      <c r="F54" s="862"/>
      <c r="G54" s="862"/>
      <c r="H54" s="862"/>
      <c r="I54" s="862"/>
      <c r="J54" s="862"/>
      <c r="K54" s="862"/>
      <c r="L54" s="862"/>
      <c r="M54" s="862"/>
      <c r="N54" s="862"/>
      <c r="O54" s="862"/>
      <c r="P54" s="862"/>
      <c r="Q54" s="863"/>
      <c r="R54"/>
      <c r="S54"/>
      <c r="T54"/>
      <c r="U54"/>
      <c r="V54"/>
      <c r="W54"/>
      <c r="Y54" s="178"/>
    </row>
    <row r="55" spans="1:50" ht="27" customHeight="1" thickBot="1" x14ac:dyDescent="0.35">
      <c r="B55" s="878" t="str">
        <f>+B2</f>
        <v xml:space="preserve">TEJIDO </v>
      </c>
      <c r="C55" s="879"/>
      <c r="D55" s="879"/>
      <c r="E55" s="879"/>
      <c r="F55" s="879"/>
      <c r="G55" s="879"/>
      <c r="H55" s="879"/>
      <c r="I55" s="879"/>
      <c r="J55" s="879"/>
      <c r="K55" s="879"/>
      <c r="L55" s="879"/>
      <c r="M55" s="879"/>
      <c r="N55" s="879"/>
      <c r="O55" s="879"/>
      <c r="P55" s="879"/>
      <c r="Q55" s="880"/>
    </row>
    <row r="56" spans="1:50" ht="27" customHeight="1" x14ac:dyDescent="0.3">
      <c r="A56" s="397"/>
      <c r="B56" s="867" t="s">
        <v>192</v>
      </c>
      <c r="C56" s="868"/>
      <c r="D56" s="868"/>
      <c r="E56" s="868"/>
      <c r="F56" s="868"/>
      <c r="G56" s="868"/>
      <c r="H56" s="868"/>
      <c r="I56" s="868"/>
      <c r="J56" s="868"/>
      <c r="K56" s="868"/>
      <c r="L56" s="868"/>
      <c r="M56" s="868"/>
      <c r="N56" s="868"/>
      <c r="O56" s="868"/>
      <c r="P56" s="868"/>
      <c r="Q56" s="869"/>
      <c r="R56" s="873" t="s">
        <v>200</v>
      </c>
      <c r="S56" s="857" t="s">
        <v>201</v>
      </c>
      <c r="T56" s="857" t="s">
        <v>202</v>
      </c>
      <c r="U56" s="857" t="s">
        <v>226</v>
      </c>
      <c r="V56" s="857" t="s">
        <v>223</v>
      </c>
      <c r="W56" s="857" t="s">
        <v>210</v>
      </c>
      <c r="X56" s="859" t="s">
        <v>203</v>
      </c>
    </row>
    <row r="57" spans="1:50" ht="13.5" customHeight="1" x14ac:dyDescent="0.3">
      <c r="A57" s="397"/>
      <c r="B57" s="788" t="s">
        <v>184</v>
      </c>
      <c r="C57" s="789"/>
      <c r="D57" s="650"/>
      <c r="E57" s="789"/>
      <c r="F57" s="789"/>
      <c r="G57" s="789"/>
      <c r="H57" s="789"/>
      <c r="I57" s="789"/>
      <c r="J57" s="789"/>
      <c r="K57" s="789"/>
      <c r="L57" s="789"/>
      <c r="M57" s="789"/>
      <c r="N57" s="789"/>
      <c r="O57" s="789"/>
      <c r="P57" s="789"/>
      <c r="Q57" s="790"/>
      <c r="R57" s="874"/>
      <c r="S57" s="858"/>
      <c r="T57" s="858"/>
      <c r="U57" s="858"/>
      <c r="V57" s="858"/>
      <c r="W57" s="858"/>
      <c r="X57" s="860"/>
    </row>
    <row r="58" spans="1:50" ht="9.75" customHeight="1" x14ac:dyDescent="0.3">
      <c r="A58" s="397"/>
      <c r="B58" s="476" t="s">
        <v>185</v>
      </c>
      <c r="C58" s="477" t="s">
        <v>135</v>
      </c>
      <c r="D58" s="477" t="s">
        <v>136</v>
      </c>
      <c r="E58" s="478" t="s">
        <v>8</v>
      </c>
      <c r="F58" s="478"/>
      <c r="G58" s="478" t="s">
        <v>9</v>
      </c>
      <c r="H58" s="478"/>
      <c r="I58" s="478" t="s">
        <v>9</v>
      </c>
      <c r="J58" s="478"/>
      <c r="K58" s="478" t="s">
        <v>10</v>
      </c>
      <c r="L58" s="478"/>
      <c r="M58" s="478" t="s">
        <v>11</v>
      </c>
      <c r="N58" s="478"/>
      <c r="O58" s="478" t="s">
        <v>12</v>
      </c>
      <c r="P58" s="478"/>
      <c r="Q58" s="479" t="s">
        <v>186</v>
      </c>
      <c r="R58" s="874"/>
      <c r="S58" s="858"/>
      <c r="T58" s="858"/>
      <c r="U58" s="858"/>
      <c r="V58" s="858"/>
      <c r="W58" s="858"/>
      <c r="X58" s="860"/>
    </row>
    <row r="59" spans="1:50" x14ac:dyDescent="0.3">
      <c r="B59" s="483">
        <v>251</v>
      </c>
      <c r="C59" s="392" t="s">
        <v>248</v>
      </c>
      <c r="D59" s="643" t="s">
        <v>220</v>
      </c>
      <c r="E59" s="737">
        <v>1</v>
      </c>
      <c r="F59" s="738" t="s">
        <v>219</v>
      </c>
      <c r="G59" s="737">
        <v>1</v>
      </c>
      <c r="H59" s="738" t="s">
        <v>219</v>
      </c>
      <c r="I59" s="737">
        <v>1</v>
      </c>
      <c r="J59" s="738" t="s">
        <v>219</v>
      </c>
      <c r="K59" s="737">
        <v>1</v>
      </c>
      <c r="L59" s="738" t="s">
        <v>219</v>
      </c>
      <c r="M59" s="354">
        <v>1</v>
      </c>
      <c r="N59" s="401"/>
      <c r="O59" s="354"/>
      <c r="P59" s="401"/>
      <c r="Q59" s="450"/>
      <c r="R59" s="569">
        <v>1950</v>
      </c>
      <c r="S59" s="539">
        <v>200</v>
      </c>
      <c r="T59" s="391"/>
      <c r="U59" s="391">
        <v>50</v>
      </c>
      <c r="V59" s="391"/>
      <c r="W59" s="391"/>
      <c r="X59" s="491">
        <f t="shared" ref="X59:X68" si="9">+R59+S59+T59+U59+V59+W59</f>
        <v>2200</v>
      </c>
    </row>
    <row r="60" spans="1:50" x14ac:dyDescent="0.3">
      <c r="B60" s="483">
        <v>250</v>
      </c>
      <c r="C60" s="392" t="s">
        <v>269</v>
      </c>
      <c r="D60" s="651" t="s">
        <v>189</v>
      </c>
      <c r="E60" s="354">
        <v>1</v>
      </c>
      <c r="F60" s="401"/>
      <c r="G60" s="354">
        <v>1</v>
      </c>
      <c r="H60" s="401"/>
      <c r="I60" s="354">
        <v>1</v>
      </c>
      <c r="J60" s="401"/>
      <c r="K60" s="354">
        <v>1</v>
      </c>
      <c r="L60" s="401"/>
      <c r="M60" s="354">
        <v>1</v>
      </c>
      <c r="N60" s="401"/>
      <c r="O60" s="354"/>
      <c r="P60" s="401"/>
      <c r="Q60" s="450"/>
      <c r="R60" s="626">
        <v>2300</v>
      </c>
      <c r="S60" s="391"/>
      <c r="T60" s="391"/>
      <c r="U60" s="391">
        <v>200</v>
      </c>
      <c r="V60" s="391"/>
      <c r="W60" s="391"/>
      <c r="X60" s="491">
        <f t="shared" si="9"/>
        <v>2500</v>
      </c>
    </row>
    <row r="61" spans="1:50" x14ac:dyDescent="0.3">
      <c r="A61" s="474"/>
      <c r="B61" s="483">
        <v>214</v>
      </c>
      <c r="C61" s="392" t="s">
        <v>233</v>
      </c>
      <c r="D61" s="643" t="s">
        <v>220</v>
      </c>
      <c r="E61" s="354">
        <v>1</v>
      </c>
      <c r="F61" s="401"/>
      <c r="G61" s="737">
        <v>1</v>
      </c>
      <c r="H61" s="738" t="s">
        <v>219</v>
      </c>
      <c r="I61" s="354">
        <v>1</v>
      </c>
      <c r="J61" s="401"/>
      <c r="K61" s="354">
        <v>1</v>
      </c>
      <c r="L61" s="401"/>
      <c r="M61" s="354">
        <v>1</v>
      </c>
      <c r="N61" s="401"/>
      <c r="O61" s="529"/>
      <c r="P61" s="354"/>
      <c r="Q61" s="450"/>
      <c r="R61" s="578">
        <v>1950</v>
      </c>
      <c r="S61" s="539">
        <v>200</v>
      </c>
      <c r="T61" s="508"/>
      <c r="U61" s="393">
        <v>50</v>
      </c>
      <c r="V61" s="393"/>
      <c r="W61" s="391"/>
      <c r="X61" s="491">
        <f t="shared" si="9"/>
        <v>2200</v>
      </c>
    </row>
    <row r="62" spans="1:50" x14ac:dyDescent="0.3">
      <c r="A62" s="474"/>
      <c r="B62" s="483">
        <v>215</v>
      </c>
      <c r="C62" s="392" t="s">
        <v>234</v>
      </c>
      <c r="D62" s="643" t="s">
        <v>220</v>
      </c>
      <c r="E62" s="737">
        <v>1</v>
      </c>
      <c r="F62" s="738" t="s">
        <v>219</v>
      </c>
      <c r="G62" s="737">
        <v>1</v>
      </c>
      <c r="H62" s="738" t="s">
        <v>219</v>
      </c>
      <c r="I62" s="354">
        <v>1</v>
      </c>
      <c r="J62" s="401"/>
      <c r="K62" s="354">
        <v>1</v>
      </c>
      <c r="L62" s="401"/>
      <c r="M62" s="354">
        <v>1</v>
      </c>
      <c r="N62" s="401"/>
      <c r="O62" s="529"/>
      <c r="P62" s="354"/>
      <c r="Q62" s="450"/>
      <c r="R62" s="578">
        <v>1950</v>
      </c>
      <c r="S62" s="539">
        <v>200</v>
      </c>
      <c r="T62" s="508"/>
      <c r="U62" s="393">
        <v>50</v>
      </c>
      <c r="V62" s="393"/>
      <c r="W62" s="391"/>
      <c r="X62" s="491">
        <f t="shared" si="9"/>
        <v>2200</v>
      </c>
    </row>
    <row r="63" spans="1:50" x14ac:dyDescent="0.3">
      <c r="A63" s="474" t="e">
        <f>#REF!+1</f>
        <v>#REF!</v>
      </c>
      <c r="B63" s="483">
        <v>27</v>
      </c>
      <c r="C63" s="392" t="s">
        <v>39</v>
      </c>
      <c r="D63" s="651" t="s">
        <v>189</v>
      </c>
      <c r="E63" s="737">
        <v>1</v>
      </c>
      <c r="F63" s="738" t="s">
        <v>219</v>
      </c>
      <c r="G63" s="737">
        <v>1</v>
      </c>
      <c r="H63" s="738" t="s">
        <v>219</v>
      </c>
      <c r="I63" s="737">
        <v>1</v>
      </c>
      <c r="J63" s="738" t="s">
        <v>219</v>
      </c>
      <c r="K63" s="737">
        <v>1</v>
      </c>
      <c r="L63" s="738" t="s">
        <v>219</v>
      </c>
      <c r="M63" s="737">
        <v>1</v>
      </c>
      <c r="N63" s="738" t="s">
        <v>219</v>
      </c>
      <c r="O63" s="354"/>
      <c r="P63" s="395"/>
      <c r="Q63" s="450"/>
      <c r="R63" s="577">
        <v>2300</v>
      </c>
      <c r="S63" s="391"/>
      <c r="T63" s="508"/>
      <c r="U63" s="393">
        <v>200</v>
      </c>
      <c r="V63" s="393"/>
      <c r="W63" s="391"/>
      <c r="X63" s="491">
        <f t="shared" si="9"/>
        <v>2500</v>
      </c>
    </row>
    <row r="64" spans="1:50" s="480" customFormat="1" x14ac:dyDescent="0.3">
      <c r="A64" s="588"/>
      <c r="B64" s="483">
        <v>159</v>
      </c>
      <c r="C64" s="392" t="s">
        <v>139</v>
      </c>
      <c r="D64" s="642" t="s">
        <v>188</v>
      </c>
      <c r="E64" s="354">
        <v>1</v>
      </c>
      <c r="F64" s="401"/>
      <c r="G64" s="400">
        <v>1</v>
      </c>
      <c r="H64" s="510"/>
      <c r="I64" s="354">
        <v>1</v>
      </c>
      <c r="J64" s="401"/>
      <c r="K64" s="354">
        <v>1</v>
      </c>
      <c r="L64" s="401"/>
      <c r="M64" s="354">
        <v>1</v>
      </c>
      <c r="N64" s="401"/>
      <c r="O64" s="354"/>
      <c r="P64" s="401"/>
      <c r="Q64" s="450"/>
      <c r="R64" s="564">
        <v>6000</v>
      </c>
      <c r="S64" s="393"/>
      <c r="T64" s="393"/>
      <c r="U64" s="393"/>
      <c r="V64" s="393"/>
      <c r="W64" s="391"/>
      <c r="X64" s="491">
        <f t="shared" si="9"/>
        <v>6000</v>
      </c>
      <c r="Y64" s="532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</row>
    <row r="65" spans="1:50" s="480" customFormat="1" x14ac:dyDescent="0.3">
      <c r="A65" s="474"/>
      <c r="B65" s="483">
        <v>33</v>
      </c>
      <c r="C65" s="392" t="s">
        <v>41</v>
      </c>
      <c r="D65" s="643" t="s">
        <v>190</v>
      </c>
      <c r="E65" s="354">
        <v>1</v>
      </c>
      <c r="F65" s="401"/>
      <c r="G65" s="400">
        <v>1</v>
      </c>
      <c r="H65" s="510"/>
      <c r="I65" s="737">
        <v>1</v>
      </c>
      <c r="J65" s="738" t="s">
        <v>219</v>
      </c>
      <c r="K65" s="737">
        <v>1</v>
      </c>
      <c r="L65" s="738" t="s">
        <v>219</v>
      </c>
      <c r="M65" s="737">
        <v>1</v>
      </c>
      <c r="N65" s="738" t="s">
        <v>219</v>
      </c>
      <c r="O65" s="354"/>
      <c r="P65" s="395"/>
      <c r="Q65" s="450"/>
      <c r="R65" s="578">
        <v>1950</v>
      </c>
      <c r="S65" s="539">
        <v>200</v>
      </c>
      <c r="T65" s="393"/>
      <c r="U65" s="393">
        <v>50</v>
      </c>
      <c r="V65" s="393"/>
      <c r="W65" s="391"/>
      <c r="X65" s="491">
        <f t="shared" si="9"/>
        <v>2200</v>
      </c>
      <c r="Y65" s="532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</row>
    <row r="66" spans="1:50" x14ac:dyDescent="0.3">
      <c r="A66" s="711"/>
      <c r="B66" s="483">
        <v>266</v>
      </c>
      <c r="C66" s="392" t="s">
        <v>301</v>
      </c>
      <c r="D66" s="643" t="s">
        <v>249</v>
      </c>
      <c r="E66" s="395">
        <v>1</v>
      </c>
      <c r="F66" s="401"/>
      <c r="G66" s="354">
        <v>1</v>
      </c>
      <c r="H66" s="537"/>
      <c r="I66" s="354">
        <v>1</v>
      </c>
      <c r="J66" s="401"/>
      <c r="K66" s="354">
        <v>1</v>
      </c>
      <c r="L66" s="401"/>
      <c r="M66" s="354">
        <v>1</v>
      </c>
      <c r="N66" s="401"/>
      <c r="O66" s="354"/>
      <c r="P66" s="401"/>
      <c r="Q66" s="450"/>
      <c r="R66" s="569">
        <v>1950</v>
      </c>
      <c r="S66" s="708">
        <v>200</v>
      </c>
      <c r="T66" s="393"/>
      <c r="U66" s="393">
        <v>50</v>
      </c>
      <c r="V66" s="393"/>
      <c r="W66" s="391"/>
      <c r="X66" s="491">
        <f t="shared" si="9"/>
        <v>2200</v>
      </c>
    </row>
    <row r="67" spans="1:50" x14ac:dyDescent="0.3">
      <c r="A67" s="474">
        <f>A70+1</f>
        <v>1</v>
      </c>
      <c r="B67" s="484">
        <v>228</v>
      </c>
      <c r="C67" s="392" t="s">
        <v>239</v>
      </c>
      <c r="D67" s="643" t="s">
        <v>249</v>
      </c>
      <c r="E67" s="395">
        <v>1</v>
      </c>
      <c r="F67" s="401"/>
      <c r="G67" s="354">
        <v>1</v>
      </c>
      <c r="H67" s="537"/>
      <c r="I67" s="354">
        <v>1</v>
      </c>
      <c r="J67" s="401"/>
      <c r="K67" s="354">
        <v>1</v>
      </c>
      <c r="L67" s="401"/>
      <c r="M67" s="354">
        <v>1</v>
      </c>
      <c r="N67" s="401"/>
      <c r="O67" s="354"/>
      <c r="P67" s="401"/>
      <c r="Q67" s="450"/>
      <c r="R67" s="569">
        <v>1950</v>
      </c>
      <c r="S67" s="539">
        <v>200</v>
      </c>
      <c r="T67" s="391"/>
      <c r="U67" s="391">
        <v>50</v>
      </c>
      <c r="V67" s="391"/>
      <c r="W67" s="391"/>
      <c r="X67" s="491">
        <f t="shared" si="9"/>
        <v>2200</v>
      </c>
    </row>
    <row r="68" spans="1:50" ht="15" thickBot="1" x14ac:dyDescent="0.35">
      <c r="A68" s="397"/>
      <c r="B68" s="487">
        <v>242</v>
      </c>
      <c r="C68" s="462" t="s">
        <v>245</v>
      </c>
      <c r="D68" s="795" t="s">
        <v>188</v>
      </c>
      <c r="E68" s="797">
        <v>1</v>
      </c>
      <c r="F68" s="798" t="s">
        <v>219</v>
      </c>
      <c r="G68" s="797">
        <v>1</v>
      </c>
      <c r="H68" s="798" t="s">
        <v>219</v>
      </c>
      <c r="I68" s="797">
        <v>1</v>
      </c>
      <c r="J68" s="798" t="s">
        <v>219</v>
      </c>
      <c r="K68" s="797">
        <v>1</v>
      </c>
      <c r="L68" s="798" t="s">
        <v>219</v>
      </c>
      <c r="M68" s="797">
        <v>1</v>
      </c>
      <c r="N68" s="798" t="s">
        <v>219</v>
      </c>
      <c r="O68" s="463"/>
      <c r="P68" s="635"/>
      <c r="Q68" s="464"/>
      <c r="R68" s="799">
        <v>2350</v>
      </c>
      <c r="S68" s="554"/>
      <c r="T68" s="554"/>
      <c r="U68" s="554">
        <v>150</v>
      </c>
      <c r="V68" s="554"/>
      <c r="W68" s="554"/>
      <c r="X68" s="512">
        <f t="shared" si="9"/>
        <v>2500</v>
      </c>
      <c r="Z68" s="181"/>
      <c r="AA68" s="181"/>
      <c r="AB68" s="181"/>
      <c r="AC68" s="181"/>
      <c r="AD68" s="181"/>
      <c r="AE68" s="181"/>
      <c r="AF68" s="181"/>
      <c r="AG68" s="181"/>
      <c r="AH68" s="181"/>
      <c r="AI68" s="181"/>
      <c r="AJ68" s="181"/>
      <c r="AK68" s="181"/>
      <c r="AL68" s="181"/>
      <c r="AM68" s="181"/>
      <c r="AN68" s="181"/>
      <c r="AO68" s="181"/>
      <c r="AP68" s="181"/>
      <c r="AQ68" s="181"/>
      <c r="AR68" s="181"/>
      <c r="AS68" s="181"/>
      <c r="AT68" s="181"/>
      <c r="AU68" s="181"/>
      <c r="AV68" s="181"/>
      <c r="AW68" s="181"/>
      <c r="AX68" s="181"/>
    </row>
    <row r="69" spans="1:50" s="407" customFormat="1" x14ac:dyDescent="0.3">
      <c r="A69" s="402"/>
      <c r="B69" s="403"/>
      <c r="C69" s="404"/>
      <c r="D69" s="647"/>
      <c r="E69" s="405">
        <f>SUM(E59:E68)</f>
        <v>10</v>
      </c>
      <c r="F69" s="405"/>
      <c r="G69" s="405">
        <f>SUM(G59:G68)</f>
        <v>10</v>
      </c>
      <c r="H69" s="405"/>
      <c r="I69" s="405">
        <f>SUM(I59:I68)</f>
        <v>10</v>
      </c>
      <c r="J69" s="405"/>
      <c r="K69" s="405">
        <f>SUM(K59:K68)</f>
        <v>10</v>
      </c>
      <c r="L69" s="405"/>
      <c r="M69" s="405">
        <f>SUM(M59:M68)</f>
        <v>10</v>
      </c>
      <c r="N69" s="405"/>
      <c r="O69" s="405"/>
      <c r="P69" s="405"/>
      <c r="Q69" s="405"/>
      <c r="R69" s="402">
        <f t="shared" ref="R69:W69" si="10">SUM(R59:R68)</f>
        <v>24650</v>
      </c>
      <c r="S69" s="402">
        <f t="shared" si="10"/>
        <v>1200</v>
      </c>
      <c r="T69" s="402">
        <f t="shared" si="10"/>
        <v>0</v>
      </c>
      <c r="U69" s="402">
        <f t="shared" si="10"/>
        <v>850</v>
      </c>
      <c r="V69" s="402">
        <f t="shared" si="10"/>
        <v>0</v>
      </c>
      <c r="W69" s="402">
        <f t="shared" si="10"/>
        <v>0</v>
      </c>
      <c r="X69" s="506">
        <f>SUM(X59:X68)-Y62-Y65-Y68</f>
        <v>26700</v>
      </c>
      <c r="Y69" s="533"/>
    </row>
    <row r="70" spans="1:50" s="410" customFormat="1" ht="15" thickBot="1" x14ac:dyDescent="0.35">
      <c r="D70" s="458"/>
      <c r="Q70"/>
      <c r="R70"/>
      <c r="X70" s="473">
        <f>F81-X69</f>
        <v>0</v>
      </c>
      <c r="Y70" s="532"/>
      <c r="Z70"/>
      <c r="AA70"/>
      <c r="AB70"/>
      <c r="AC70"/>
      <c r="AD70"/>
      <c r="AE70"/>
      <c r="AF70"/>
    </row>
    <row r="71" spans="1:50" ht="17.399999999999999" thickBot="1" x14ac:dyDescent="0.5">
      <c r="A71" s="421"/>
      <c r="B71" s="422"/>
      <c r="C71" s="422"/>
      <c r="D71" s="423" t="s">
        <v>14</v>
      </c>
      <c r="E71" s="423" t="s">
        <v>206</v>
      </c>
      <c r="F71" s="423" t="s">
        <v>17</v>
      </c>
      <c r="G71" s="424"/>
      <c r="I71" s="8"/>
      <c r="J71" s="91"/>
      <c r="K71" s="42" t="s">
        <v>8</v>
      </c>
      <c r="L71" s="42"/>
      <c r="M71" s="42" t="s">
        <v>9</v>
      </c>
      <c r="N71" s="42"/>
      <c r="O71" s="42" t="s">
        <v>9</v>
      </c>
      <c r="P71" s="42"/>
      <c r="Q71" s="42" t="s">
        <v>10</v>
      </c>
      <c r="R71" s="42"/>
      <c r="S71" s="42" t="s">
        <v>11</v>
      </c>
      <c r="T71" s="42"/>
      <c r="U71" s="42" t="s">
        <v>12</v>
      </c>
      <c r="V71" s="42"/>
    </row>
    <row r="72" spans="1:50" ht="16.2" x14ac:dyDescent="0.4">
      <c r="A72" s="426"/>
      <c r="B72" s="159">
        <v>0</v>
      </c>
      <c r="C72" s="427" t="s">
        <v>212</v>
      </c>
      <c r="D72" s="150">
        <v>0</v>
      </c>
      <c r="E72" s="150">
        <v>0</v>
      </c>
      <c r="F72" s="427">
        <f>D72</f>
        <v>0</v>
      </c>
      <c r="G72" s="428"/>
      <c r="I72" s="492"/>
      <c r="J72" s="96"/>
      <c r="K72" s="493"/>
      <c r="L72" s="493"/>
      <c r="M72" s="493"/>
      <c r="N72" s="493"/>
      <c r="O72" s="493"/>
      <c r="P72" s="493"/>
      <c r="Q72" s="493"/>
      <c r="R72" s="493"/>
      <c r="S72" s="493"/>
      <c r="T72" s="493"/>
      <c r="U72" s="493"/>
      <c r="V72" s="98" t="s">
        <v>28</v>
      </c>
    </row>
    <row r="73" spans="1:50" ht="16.8" x14ac:dyDescent="0.4">
      <c r="A73" s="426"/>
      <c r="B73" s="159">
        <v>2</v>
      </c>
      <c r="C73" s="427" t="s">
        <v>22</v>
      </c>
      <c r="D73" s="150">
        <f>2300*B73</f>
        <v>4600</v>
      </c>
      <c r="E73" s="150">
        <v>0</v>
      </c>
      <c r="F73" s="427">
        <f>D73</f>
        <v>4600</v>
      </c>
      <c r="G73" s="428"/>
      <c r="I73" s="524" t="s">
        <v>222</v>
      </c>
      <c r="J73" s="103"/>
      <c r="K73" s="494">
        <v>0</v>
      </c>
      <c r="L73" s="495"/>
      <c r="M73" s="494">
        <v>0</v>
      </c>
      <c r="N73" s="495"/>
      <c r="O73" s="494">
        <v>0</v>
      </c>
      <c r="P73" s="495"/>
      <c r="Q73" s="494">
        <v>0</v>
      </c>
      <c r="R73" s="495"/>
      <c r="S73" s="494">
        <v>0</v>
      </c>
      <c r="T73" s="495"/>
      <c r="U73" s="494">
        <v>0</v>
      </c>
      <c r="V73" s="106">
        <f>AVERAGE(K73,M73,O73,Q73,S73)</f>
        <v>0</v>
      </c>
    </row>
    <row r="74" spans="1:50" ht="16.8" x14ac:dyDescent="0.4">
      <c r="A74" s="426"/>
      <c r="B74" s="159">
        <v>2</v>
      </c>
      <c r="C74" s="427" t="s">
        <v>30</v>
      </c>
      <c r="D74" s="150">
        <f>2350+6000</f>
        <v>8350</v>
      </c>
      <c r="E74" s="150">
        <v>0</v>
      </c>
      <c r="F74" s="427">
        <f>D74</f>
        <v>8350</v>
      </c>
      <c r="G74" s="428"/>
      <c r="I74" s="524" t="s">
        <v>22</v>
      </c>
      <c r="J74" s="103"/>
      <c r="K74" s="494">
        <v>2</v>
      </c>
      <c r="L74" s="495"/>
      <c r="M74" s="494">
        <v>2</v>
      </c>
      <c r="N74" s="495"/>
      <c r="O74" s="494">
        <v>2</v>
      </c>
      <c r="P74" s="495"/>
      <c r="Q74" s="494">
        <v>2</v>
      </c>
      <c r="R74" s="495"/>
      <c r="S74" s="494">
        <v>2</v>
      </c>
      <c r="T74" s="495"/>
      <c r="U74" s="494">
        <v>0</v>
      </c>
      <c r="V74" s="106">
        <f t="shared" ref="V74:V76" si="11">AVERAGE(K74,M74,O74,Q74,S74)</f>
        <v>2</v>
      </c>
    </row>
    <row r="75" spans="1:50" ht="16.8" x14ac:dyDescent="0.4">
      <c r="A75" s="426"/>
      <c r="B75" s="68">
        <v>6</v>
      </c>
      <c r="C75" s="427" t="s">
        <v>32</v>
      </c>
      <c r="D75" s="150">
        <f>1950*B75</f>
        <v>11700</v>
      </c>
      <c r="E75" s="150">
        <v>0</v>
      </c>
      <c r="F75" s="427">
        <f>D75</f>
        <v>11700</v>
      </c>
      <c r="G75" s="431"/>
      <c r="I75" s="524" t="s">
        <v>30</v>
      </c>
      <c r="J75" s="103"/>
      <c r="K75" s="494">
        <v>2</v>
      </c>
      <c r="L75" s="495"/>
      <c r="M75" s="494">
        <v>2</v>
      </c>
      <c r="N75" s="495"/>
      <c r="O75" s="494">
        <v>2</v>
      </c>
      <c r="P75" s="495"/>
      <c r="Q75" s="494">
        <v>2</v>
      </c>
      <c r="R75" s="495"/>
      <c r="S75" s="494">
        <v>2</v>
      </c>
      <c r="T75" s="495"/>
      <c r="U75" s="494">
        <v>0</v>
      </c>
      <c r="V75" s="106">
        <f t="shared" si="11"/>
        <v>2</v>
      </c>
    </row>
    <row r="76" spans="1:50" ht="16.8" x14ac:dyDescent="0.45">
      <c r="A76" s="432"/>
      <c r="B76" s="433">
        <f>SUM(B72:B75)</f>
        <v>10</v>
      </c>
      <c r="C76" s="150"/>
      <c r="D76" s="434"/>
      <c r="E76" s="434"/>
      <c r="F76" s="435">
        <f>SUM(F72:F75)</f>
        <v>24650</v>
      </c>
      <c r="G76" s="431"/>
      <c r="I76" s="524" t="s">
        <v>32</v>
      </c>
      <c r="J76" s="103"/>
      <c r="K76" s="494">
        <v>6</v>
      </c>
      <c r="L76" s="495"/>
      <c r="M76" s="494">
        <v>6</v>
      </c>
      <c r="N76" s="495"/>
      <c r="O76" s="494">
        <v>6</v>
      </c>
      <c r="P76" s="495"/>
      <c r="Q76" s="494">
        <v>6</v>
      </c>
      <c r="R76" s="495"/>
      <c r="S76" s="494">
        <v>6</v>
      </c>
      <c r="T76" s="495"/>
      <c r="U76" s="494">
        <v>0</v>
      </c>
      <c r="V76" s="106">
        <f t="shared" si="11"/>
        <v>6</v>
      </c>
      <c r="X76" s="448"/>
    </row>
    <row r="77" spans="1:50" ht="19.8" thickBot="1" x14ac:dyDescent="0.5">
      <c r="A77" s="432"/>
      <c r="B77" s="434"/>
      <c r="C77" s="150"/>
      <c r="D77" s="437"/>
      <c r="E77" s="438" t="s">
        <v>7</v>
      </c>
      <c r="F77" s="435">
        <f>+S69</f>
        <v>1200</v>
      </c>
      <c r="G77" s="439"/>
      <c r="I77" s="526"/>
      <c r="J77" s="527"/>
      <c r="K77" s="528">
        <f>SUM(K73:K76)</f>
        <v>10</v>
      </c>
      <c r="L77" s="528"/>
      <c r="M77" s="528">
        <f t="shared" ref="M77" si="12">SUM(M73:M76)</f>
        <v>10</v>
      </c>
      <c r="N77" s="528"/>
      <c r="O77" s="528">
        <f t="shared" ref="O77" si="13">SUM(O73:O76)</f>
        <v>10</v>
      </c>
      <c r="P77" s="528"/>
      <c r="Q77" s="528">
        <f t="shared" ref="Q77" si="14">SUM(Q73:Q76)</f>
        <v>10</v>
      </c>
      <c r="R77" s="528"/>
      <c r="S77" s="528">
        <f t="shared" ref="S77" si="15">SUM(S73:S76)</f>
        <v>10</v>
      </c>
      <c r="T77" s="528"/>
      <c r="U77" s="528">
        <f t="shared" ref="U77" si="16">SUM(U73:U76)</f>
        <v>0</v>
      </c>
      <c r="V77" s="559">
        <f>AVERAGE(K77,M77,O77,Q77,S77)</f>
        <v>10</v>
      </c>
    </row>
    <row r="78" spans="1:50" ht="16.8" x14ac:dyDescent="0.45">
      <c r="A78" s="432"/>
      <c r="B78" s="434"/>
      <c r="C78" s="150"/>
      <c r="D78" s="434"/>
      <c r="E78" s="438" t="s">
        <v>207</v>
      </c>
      <c r="F78" s="435">
        <f>+T69</f>
        <v>0</v>
      </c>
      <c r="G78" s="439"/>
      <c r="I78" s="390"/>
      <c r="L78" s="410"/>
      <c r="M78" s="410"/>
      <c r="N78" s="410"/>
      <c r="O78" s="410"/>
      <c r="P78" s="410"/>
      <c r="S78" s="410"/>
      <c r="T78" s="410"/>
      <c r="U78" s="410"/>
      <c r="V78" s="410"/>
    </row>
    <row r="79" spans="1:50" ht="16.8" x14ac:dyDescent="0.45">
      <c r="A79" s="432"/>
      <c r="B79" s="434"/>
      <c r="C79" s="150"/>
      <c r="D79" s="434"/>
      <c r="E79" s="438" t="s">
        <v>213</v>
      </c>
      <c r="F79" s="435">
        <f>U69</f>
        <v>850</v>
      </c>
      <c r="G79" s="439"/>
      <c r="I79" s="390"/>
      <c r="L79" s="410"/>
      <c r="M79" s="410"/>
      <c r="N79" s="410"/>
      <c r="O79" s="410"/>
      <c r="P79" s="410"/>
      <c r="S79" s="410"/>
      <c r="T79" s="410"/>
      <c r="U79" s="410"/>
      <c r="V79" s="410"/>
    </row>
    <row r="80" spans="1:50" ht="16.8" x14ac:dyDescent="0.45">
      <c r="A80" s="432"/>
      <c r="B80" s="434"/>
      <c r="C80" s="150"/>
      <c r="D80" s="434"/>
      <c r="E80" s="438"/>
      <c r="F80" s="435"/>
      <c r="G80" s="439"/>
      <c r="I80" s="390"/>
      <c r="L80" s="410"/>
      <c r="M80" s="410"/>
      <c r="N80" s="410"/>
      <c r="O80" s="410"/>
      <c r="P80" s="410"/>
      <c r="S80" s="410"/>
      <c r="T80" s="410"/>
      <c r="U80" s="410"/>
      <c r="V80" s="410"/>
    </row>
    <row r="81" spans="1:46" ht="16.2" x14ac:dyDescent="0.4">
      <c r="A81" s="432"/>
      <c r="B81" s="434"/>
      <c r="C81" s="150"/>
      <c r="D81" s="434"/>
      <c r="E81" s="434"/>
      <c r="F81" s="441">
        <f>SUM(F76:F80)</f>
        <v>26700</v>
      </c>
      <c r="G81" s="431"/>
      <c r="I81" s="390"/>
      <c r="L81" s="410"/>
      <c r="M81" s="410"/>
      <c r="N81" s="410"/>
      <c r="O81" s="410"/>
      <c r="P81" s="410"/>
      <c r="S81" s="410"/>
      <c r="T81" s="410"/>
      <c r="U81" s="410"/>
      <c r="V81" s="410"/>
    </row>
    <row r="82" spans="1:46" ht="16.8" thickBot="1" x14ac:dyDescent="0.45">
      <c r="A82" s="442"/>
      <c r="B82" s="443"/>
      <c r="C82" s="444"/>
      <c r="D82" s="445"/>
      <c r="E82" s="445"/>
      <c r="F82" s="445"/>
      <c r="G82" s="446"/>
      <c r="I82" s="390"/>
      <c r="S82" s="410"/>
      <c r="T82" s="410"/>
      <c r="U82" s="410"/>
      <c r="V82" s="410"/>
    </row>
    <row r="83" spans="1:46" ht="15" thickBot="1" x14ac:dyDescent="0.35">
      <c r="A83" s="410"/>
      <c r="B83" s="410"/>
      <c r="C83" s="410"/>
      <c r="D83" s="458"/>
      <c r="E83" s="410"/>
      <c r="F83" s="410"/>
      <c r="G83" s="410"/>
      <c r="H83" s="410"/>
      <c r="I83" s="410"/>
      <c r="J83" s="410"/>
      <c r="K83" s="410"/>
      <c r="L83" s="410"/>
      <c r="M83" s="410"/>
      <c r="N83" s="410"/>
      <c r="O83" s="410"/>
      <c r="P83" s="410"/>
    </row>
    <row r="84" spans="1:46" ht="53.25" customHeight="1" x14ac:dyDescent="0.4">
      <c r="B84" s="861" t="str">
        <f>+B1</f>
        <v>SEMANA DEL 23 AL 29 DE JUNIO DEL 2025</v>
      </c>
      <c r="C84" s="862"/>
      <c r="D84" s="862"/>
      <c r="E84" s="862"/>
      <c r="F84" s="862"/>
      <c r="G84" s="862"/>
      <c r="H84" s="862"/>
      <c r="I84" s="862"/>
      <c r="J84" s="862"/>
      <c r="K84" s="862"/>
      <c r="L84" s="862"/>
      <c r="M84" s="862"/>
      <c r="N84" s="862"/>
      <c r="O84" s="862"/>
      <c r="P84" s="862"/>
      <c r="Q84" s="863"/>
    </row>
    <row r="85" spans="1:46" ht="27" customHeight="1" x14ac:dyDescent="0.4">
      <c r="A85" s="397"/>
      <c r="B85" s="875" t="s">
        <v>193</v>
      </c>
      <c r="C85" s="876"/>
      <c r="D85" s="876"/>
      <c r="E85" s="876"/>
      <c r="F85" s="876"/>
      <c r="G85" s="876"/>
      <c r="H85" s="876"/>
      <c r="I85" s="876"/>
      <c r="J85" s="876"/>
      <c r="K85" s="876"/>
      <c r="L85" s="876"/>
      <c r="M85" s="876"/>
      <c r="N85" s="876"/>
      <c r="O85" s="876"/>
      <c r="P85" s="876"/>
      <c r="Q85" s="877"/>
    </row>
    <row r="86" spans="1:46" ht="15" thickBot="1" x14ac:dyDescent="0.35">
      <c r="A86" s="397"/>
      <c r="B86" s="867" t="s">
        <v>194</v>
      </c>
      <c r="C86" s="868"/>
      <c r="D86" s="868"/>
      <c r="E86" s="868"/>
      <c r="F86" s="868"/>
      <c r="G86" s="868"/>
      <c r="H86" s="868"/>
      <c r="I86" s="868"/>
      <c r="J86" s="868"/>
      <c r="K86" s="868"/>
      <c r="L86" s="868"/>
      <c r="M86" s="868"/>
      <c r="N86" s="868"/>
      <c r="O86" s="868"/>
      <c r="P86" s="868"/>
      <c r="Q86" s="869"/>
    </row>
    <row r="87" spans="1:46" ht="15" customHeight="1" x14ac:dyDescent="0.3">
      <c r="A87" s="397"/>
      <c r="B87" s="511" t="s">
        <v>184</v>
      </c>
      <c r="C87" s="791"/>
      <c r="D87" s="652"/>
      <c r="E87" s="791"/>
      <c r="F87" s="791"/>
      <c r="G87" s="791"/>
      <c r="H87" s="791"/>
      <c r="I87" s="791"/>
      <c r="J87" s="791"/>
      <c r="K87" s="791"/>
      <c r="L87" s="791"/>
      <c r="M87" s="791"/>
      <c r="N87" s="791"/>
      <c r="O87" s="791"/>
      <c r="P87" s="791"/>
      <c r="Q87" s="632"/>
      <c r="R87" s="873" t="s">
        <v>200</v>
      </c>
      <c r="S87" s="857" t="s">
        <v>201</v>
      </c>
      <c r="T87" s="857" t="s">
        <v>202</v>
      </c>
      <c r="U87" s="857" t="s">
        <v>226</v>
      </c>
      <c r="V87" s="857" t="s">
        <v>223</v>
      </c>
      <c r="W87" s="857" t="s">
        <v>210</v>
      </c>
      <c r="X87" s="859" t="s">
        <v>203</v>
      </c>
    </row>
    <row r="88" spans="1:46" ht="15.6" customHeight="1" x14ac:dyDescent="0.3">
      <c r="A88" s="397"/>
      <c r="B88" s="476" t="s">
        <v>185</v>
      </c>
      <c r="C88" s="477" t="s">
        <v>135</v>
      </c>
      <c r="D88" s="477" t="s">
        <v>136</v>
      </c>
      <c r="E88" s="478" t="s">
        <v>8</v>
      </c>
      <c r="F88" s="478"/>
      <c r="G88" s="478" t="s">
        <v>9</v>
      </c>
      <c r="H88" s="478"/>
      <c r="I88" s="478" t="s">
        <v>9</v>
      </c>
      <c r="J88" s="478"/>
      <c r="K88" s="478" t="s">
        <v>10</v>
      </c>
      <c r="L88" s="478"/>
      <c r="M88" s="478" t="s">
        <v>11</v>
      </c>
      <c r="N88" s="478"/>
      <c r="O88" s="478" t="s">
        <v>12</v>
      </c>
      <c r="P88" s="478"/>
      <c r="Q88" s="479" t="s">
        <v>186</v>
      </c>
      <c r="R88" s="874"/>
      <c r="S88" s="858"/>
      <c r="T88" s="858"/>
      <c r="U88" s="858" t="s">
        <v>208</v>
      </c>
      <c r="V88" s="858"/>
      <c r="W88" s="858"/>
      <c r="X88" s="860"/>
    </row>
    <row r="89" spans="1:46" x14ac:dyDescent="0.3">
      <c r="A89" s="397">
        <v>4</v>
      </c>
      <c r="B89" s="483">
        <v>9</v>
      </c>
      <c r="C89" s="399" t="s">
        <v>36</v>
      </c>
      <c r="D89" s="642" t="s">
        <v>188</v>
      </c>
      <c r="E89" s="354">
        <v>1</v>
      </c>
      <c r="F89" s="574"/>
      <c r="G89" s="354">
        <v>1</v>
      </c>
      <c r="H89" s="537"/>
      <c r="I89" s="395">
        <v>1</v>
      </c>
      <c r="J89" s="537"/>
      <c r="K89" s="354">
        <v>1</v>
      </c>
      <c r="L89" s="537"/>
      <c r="M89" s="354">
        <v>1</v>
      </c>
      <c r="N89" s="401"/>
      <c r="O89" s="568">
        <v>1</v>
      </c>
      <c r="P89" s="395"/>
      <c r="Q89" s="450"/>
      <c r="R89" s="564">
        <v>3000</v>
      </c>
      <c r="S89" s="538">
        <v>300</v>
      </c>
      <c r="T89" s="508"/>
      <c r="U89" s="393">
        <v>250</v>
      </c>
      <c r="V89" s="393"/>
      <c r="W89" s="391"/>
      <c r="X89" s="491">
        <f>+R89+S89+T89+U89+V89+W89</f>
        <v>3550</v>
      </c>
      <c r="Y89" s="182"/>
      <c r="Z89" s="181"/>
      <c r="AA89" s="181"/>
      <c r="AB89" s="181"/>
      <c r="AC89" s="507"/>
      <c r="AD89" s="507"/>
      <c r="AE89" s="507"/>
      <c r="AF89" s="507"/>
      <c r="AG89" s="507"/>
      <c r="AH89" s="507"/>
      <c r="AI89" s="507"/>
      <c r="AJ89" s="507"/>
      <c r="AK89" s="507"/>
      <c r="AL89" s="507"/>
      <c r="AM89" s="507"/>
      <c r="AN89" s="507"/>
      <c r="AO89" s="507"/>
      <c r="AP89" s="507"/>
      <c r="AQ89" s="507"/>
      <c r="AR89" s="507"/>
      <c r="AS89" s="507"/>
      <c r="AT89" s="507"/>
    </row>
    <row r="90" spans="1:46" x14ac:dyDescent="0.3">
      <c r="A90" s="688"/>
      <c r="B90" s="483">
        <v>264</v>
      </c>
      <c r="C90" s="392" t="s">
        <v>283</v>
      </c>
      <c r="D90" s="646" t="s">
        <v>190</v>
      </c>
      <c r="E90" s="354">
        <v>1</v>
      </c>
      <c r="F90" s="574"/>
      <c r="G90" s="354">
        <v>1</v>
      </c>
      <c r="H90" s="401"/>
      <c r="I90" s="354">
        <v>1</v>
      </c>
      <c r="J90" s="401"/>
      <c r="K90" s="354">
        <v>1</v>
      </c>
      <c r="L90" s="401"/>
      <c r="M90" s="354">
        <v>1</v>
      </c>
      <c r="N90" s="401"/>
      <c r="O90" s="354">
        <v>1</v>
      </c>
      <c r="P90" s="354"/>
      <c r="Q90" s="450"/>
      <c r="R90" s="467">
        <v>1950</v>
      </c>
      <c r="S90" s="623">
        <v>200</v>
      </c>
      <c r="T90" s="393"/>
      <c r="U90" s="393"/>
      <c r="V90" s="393"/>
      <c r="W90" s="393"/>
      <c r="X90" s="491">
        <f>+R90+S90+T90+U90+V90+W90</f>
        <v>2150</v>
      </c>
    </row>
    <row r="91" spans="1:46" x14ac:dyDescent="0.3">
      <c r="A91" s="397">
        <v>2</v>
      </c>
      <c r="B91" s="484">
        <v>166</v>
      </c>
      <c r="C91" s="392" t="s">
        <v>151</v>
      </c>
      <c r="D91" s="653" t="s">
        <v>218</v>
      </c>
      <c r="E91" s="354">
        <v>1</v>
      </c>
      <c r="F91" s="574"/>
      <c r="G91" s="354">
        <v>1</v>
      </c>
      <c r="H91" s="537"/>
      <c r="I91" s="395">
        <v>1</v>
      </c>
      <c r="J91" s="537"/>
      <c r="K91" s="354">
        <v>1</v>
      </c>
      <c r="L91" s="537"/>
      <c r="M91" s="354">
        <v>1</v>
      </c>
      <c r="N91" s="401"/>
      <c r="O91" s="739">
        <v>1</v>
      </c>
      <c r="P91" s="740" t="s">
        <v>219</v>
      </c>
      <c r="Q91" s="450"/>
      <c r="R91" s="455">
        <v>1950</v>
      </c>
      <c r="S91" s="539">
        <v>200</v>
      </c>
      <c r="T91" s="393"/>
      <c r="U91" s="393"/>
      <c r="V91" s="393"/>
      <c r="W91" s="393"/>
      <c r="X91" s="505">
        <f t="shared" ref="X91:X96" si="17">(R91+S91+T91+U91+V91+W91)</f>
        <v>2150</v>
      </c>
    </row>
    <row r="92" spans="1:46" x14ac:dyDescent="0.3">
      <c r="A92" s="397">
        <v>4</v>
      </c>
      <c r="B92" s="483">
        <v>19</v>
      </c>
      <c r="C92" s="392" t="s">
        <v>49</v>
      </c>
      <c r="D92" s="654" t="s">
        <v>188</v>
      </c>
      <c r="E92" s="354">
        <v>1</v>
      </c>
      <c r="F92" s="574"/>
      <c r="G92" s="354">
        <v>1</v>
      </c>
      <c r="H92" s="401"/>
      <c r="I92" s="354">
        <v>1</v>
      </c>
      <c r="J92" s="401"/>
      <c r="K92" s="354">
        <v>1</v>
      </c>
      <c r="L92" s="401"/>
      <c r="M92" s="354">
        <v>1</v>
      </c>
      <c r="N92" s="401"/>
      <c r="O92" s="354">
        <v>1</v>
      </c>
      <c r="P92" s="395"/>
      <c r="Q92" s="450"/>
      <c r="R92" s="454">
        <v>2350</v>
      </c>
      <c r="S92" s="391"/>
      <c r="T92" s="393"/>
      <c r="U92" s="393">
        <v>450</v>
      </c>
      <c r="V92" s="393"/>
      <c r="W92" s="393"/>
      <c r="X92" s="505">
        <f t="shared" si="17"/>
        <v>2800</v>
      </c>
    </row>
    <row r="93" spans="1:46" x14ac:dyDescent="0.3">
      <c r="A93" s="397"/>
      <c r="B93" s="483">
        <v>247</v>
      </c>
      <c r="C93" s="392" t="s">
        <v>281</v>
      </c>
      <c r="D93" s="654" t="s">
        <v>188</v>
      </c>
      <c r="E93" s="354">
        <v>1</v>
      </c>
      <c r="F93" s="574"/>
      <c r="G93" s="354">
        <v>1</v>
      </c>
      <c r="H93" s="537"/>
      <c r="I93" s="395">
        <v>1</v>
      </c>
      <c r="J93" s="537"/>
      <c r="K93" s="354">
        <v>1</v>
      </c>
      <c r="L93" s="537"/>
      <c r="M93" s="354">
        <v>1</v>
      </c>
      <c r="N93" s="401"/>
      <c r="O93" s="568">
        <v>1</v>
      </c>
      <c r="P93" s="395"/>
      <c r="Q93" s="450"/>
      <c r="R93" s="454">
        <v>10000</v>
      </c>
      <c r="S93" s="391"/>
      <c r="T93" s="393"/>
      <c r="U93" s="393"/>
      <c r="V93" s="393"/>
      <c r="W93" s="393"/>
      <c r="X93" s="505">
        <f t="shared" si="17"/>
        <v>10000</v>
      </c>
    </row>
    <row r="94" spans="1:46" x14ac:dyDescent="0.3">
      <c r="A94" s="397"/>
      <c r="B94" s="483">
        <v>269</v>
      </c>
      <c r="C94" s="392" t="s">
        <v>302</v>
      </c>
      <c r="D94" s="703" t="s">
        <v>220</v>
      </c>
      <c r="E94" s="542">
        <v>0</v>
      </c>
      <c r="F94" s="694" t="s">
        <v>129</v>
      </c>
      <c r="G94" s="354">
        <v>1</v>
      </c>
      <c r="H94" s="537"/>
      <c r="I94" s="395">
        <v>1</v>
      </c>
      <c r="J94" s="537"/>
      <c r="K94" s="354">
        <v>1</v>
      </c>
      <c r="L94" s="537"/>
      <c r="M94" s="354">
        <v>1</v>
      </c>
      <c r="N94" s="401"/>
      <c r="O94" s="568">
        <v>1</v>
      </c>
      <c r="P94" s="395"/>
      <c r="Q94" s="450"/>
      <c r="R94" s="556">
        <v>1242.8499999999999</v>
      </c>
      <c r="S94" s="623"/>
      <c r="T94" s="393"/>
      <c r="U94" s="393"/>
      <c r="V94" s="393"/>
      <c r="W94" s="393"/>
      <c r="X94" s="505">
        <f t="shared" si="17"/>
        <v>1242.8499999999999</v>
      </c>
      <c r="Y94" s="532">
        <v>-707.15</v>
      </c>
    </row>
    <row r="95" spans="1:46" x14ac:dyDescent="0.3">
      <c r="A95" s="397">
        <v>5</v>
      </c>
      <c r="B95" s="484">
        <v>39</v>
      </c>
      <c r="C95" s="392" t="s">
        <v>50</v>
      </c>
      <c r="D95" s="655" t="s">
        <v>227</v>
      </c>
      <c r="E95" s="686">
        <v>1</v>
      </c>
      <c r="F95" s="782" t="s">
        <v>219</v>
      </c>
      <c r="G95" s="686">
        <v>1</v>
      </c>
      <c r="H95" s="782" t="s">
        <v>219</v>
      </c>
      <c r="I95" s="781">
        <v>1</v>
      </c>
      <c r="J95" s="740" t="s">
        <v>219</v>
      </c>
      <c r="K95" s="739">
        <v>1</v>
      </c>
      <c r="L95" s="740" t="s">
        <v>219</v>
      </c>
      <c r="M95" s="739">
        <v>1</v>
      </c>
      <c r="N95" s="740" t="s">
        <v>219</v>
      </c>
      <c r="O95" s="739">
        <v>1</v>
      </c>
      <c r="P95" s="740" t="s">
        <v>219</v>
      </c>
      <c r="Q95" s="450"/>
      <c r="R95" s="461">
        <v>2300</v>
      </c>
      <c r="S95" s="391"/>
      <c r="T95" s="393"/>
      <c r="U95" s="393">
        <v>150</v>
      </c>
      <c r="V95" s="393"/>
      <c r="W95" s="393"/>
      <c r="X95" s="505">
        <f t="shared" si="17"/>
        <v>2450</v>
      </c>
    </row>
    <row r="96" spans="1:46" x14ac:dyDescent="0.3">
      <c r="A96" s="397">
        <v>7</v>
      </c>
      <c r="B96" s="484">
        <v>141</v>
      </c>
      <c r="C96" s="392" t="s">
        <v>120</v>
      </c>
      <c r="D96" s="653" t="s">
        <v>218</v>
      </c>
      <c r="E96" s="354">
        <v>1</v>
      </c>
      <c r="F96" s="574"/>
      <c r="G96" s="354">
        <v>1</v>
      </c>
      <c r="H96" s="537"/>
      <c r="I96" s="395">
        <v>1</v>
      </c>
      <c r="J96" s="537"/>
      <c r="K96" s="354">
        <v>1</v>
      </c>
      <c r="L96" s="537"/>
      <c r="M96" s="354">
        <v>1</v>
      </c>
      <c r="N96" s="401"/>
      <c r="O96" s="354">
        <v>1</v>
      </c>
      <c r="P96" s="401"/>
      <c r="Q96" s="450"/>
      <c r="R96" s="455">
        <v>1950</v>
      </c>
      <c r="S96" s="539">
        <v>200</v>
      </c>
      <c r="T96" s="393"/>
      <c r="U96" s="393"/>
      <c r="V96" s="393"/>
      <c r="W96" s="393"/>
      <c r="X96" s="505">
        <f t="shared" si="17"/>
        <v>2150</v>
      </c>
    </row>
    <row r="97" spans="1:50" s="398" customFormat="1" ht="16.5" customHeight="1" thickBot="1" x14ac:dyDescent="0.35">
      <c r="A97" s="711"/>
      <c r="B97" s="487">
        <v>220</v>
      </c>
      <c r="C97" s="621" t="s">
        <v>236</v>
      </c>
      <c r="D97" s="714" t="s">
        <v>217</v>
      </c>
      <c r="E97" s="463">
        <v>1</v>
      </c>
      <c r="F97" s="624"/>
      <c r="G97" s="463">
        <v>1</v>
      </c>
      <c r="H97" s="715"/>
      <c r="I97" s="635">
        <v>1</v>
      </c>
      <c r="J97" s="715"/>
      <c r="K97" s="463">
        <v>1</v>
      </c>
      <c r="L97" s="715"/>
      <c r="M97" s="463">
        <v>1</v>
      </c>
      <c r="N97" s="531"/>
      <c r="O97" s="716">
        <v>1</v>
      </c>
      <c r="P97" s="716"/>
      <c r="Q97" s="800"/>
      <c r="R97" s="717">
        <v>1950</v>
      </c>
      <c r="S97" s="718">
        <v>200</v>
      </c>
      <c r="T97" s="719"/>
      <c r="U97" s="719"/>
      <c r="V97" s="719"/>
      <c r="W97" s="719"/>
      <c r="X97" s="555">
        <f>+R97+S97+T97+U97+V97+W97</f>
        <v>2150</v>
      </c>
      <c r="Y97" s="532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</row>
    <row r="98" spans="1:50" s="407" customFormat="1" x14ac:dyDescent="0.3">
      <c r="A98" s="402"/>
      <c r="B98" s="403"/>
      <c r="C98" s="404"/>
      <c r="D98" s="647"/>
      <c r="E98" s="405">
        <f>SUM(E89:E97)</f>
        <v>8</v>
      </c>
      <c r="F98" s="405"/>
      <c r="G98" s="405">
        <f>SUM(G89:G97)</f>
        <v>9</v>
      </c>
      <c r="H98" s="405"/>
      <c r="I98" s="405">
        <f>SUM(I89:I97)</f>
        <v>9</v>
      </c>
      <c r="J98" s="405"/>
      <c r="K98" s="405">
        <f>SUM(K89:K97)</f>
        <v>9</v>
      </c>
      <c r="L98" s="405"/>
      <c r="M98" s="405">
        <f>SUM(M89:M97)</f>
        <v>9</v>
      </c>
      <c r="N98" s="405"/>
      <c r="O98" s="405">
        <f>SUM(O89:O97)</f>
        <v>9</v>
      </c>
      <c r="P98" s="405"/>
      <c r="Q98" s="405"/>
      <c r="R98" s="402">
        <f t="shared" ref="R98:W98" si="18">SUM(R89:R97)</f>
        <v>26692.85</v>
      </c>
      <c r="S98" s="402">
        <f t="shared" si="18"/>
        <v>1100</v>
      </c>
      <c r="T98" s="402">
        <f t="shared" si="18"/>
        <v>0</v>
      </c>
      <c r="U98" s="402">
        <f t="shared" si="18"/>
        <v>850</v>
      </c>
      <c r="V98" s="402">
        <f t="shared" si="18"/>
        <v>0</v>
      </c>
      <c r="W98" s="402">
        <f t="shared" si="18"/>
        <v>0</v>
      </c>
      <c r="X98" s="506">
        <f>SUM(X89:X97)-Y94</f>
        <v>29350</v>
      </c>
      <c r="Y98" s="533"/>
    </row>
    <row r="99" spans="1:50" ht="15" thickBot="1" x14ac:dyDescent="0.35">
      <c r="A99" s="410"/>
      <c r="B99" s="410"/>
      <c r="C99" s="410"/>
      <c r="D99" s="458"/>
      <c r="E99" s="410"/>
      <c r="F99" s="410"/>
      <c r="G99" s="410"/>
      <c r="H99" s="410"/>
      <c r="I99" s="410"/>
      <c r="J99" s="410"/>
      <c r="K99" s="410"/>
      <c r="L99" s="410"/>
      <c r="M99" s="410"/>
      <c r="N99" s="410"/>
      <c r="O99" s="410"/>
      <c r="P99" s="410"/>
      <c r="S99" s="410"/>
      <c r="T99" s="410"/>
      <c r="U99" s="410"/>
      <c r="V99" s="410"/>
    </row>
    <row r="100" spans="1:50" ht="17.399999999999999" thickBot="1" x14ac:dyDescent="0.5">
      <c r="A100" s="421"/>
      <c r="B100" s="422"/>
      <c r="C100" s="422"/>
      <c r="D100" s="423" t="s">
        <v>14</v>
      </c>
      <c r="E100" s="423" t="s">
        <v>206</v>
      </c>
      <c r="F100" s="423" t="s">
        <v>17</v>
      </c>
      <c r="G100" s="424"/>
      <c r="I100" s="8"/>
      <c r="J100" s="91"/>
      <c r="K100" s="42" t="s">
        <v>8</v>
      </c>
      <c r="L100" s="42"/>
      <c r="M100" s="42" t="s">
        <v>9</v>
      </c>
      <c r="N100" s="42"/>
      <c r="O100" s="42" t="s">
        <v>9</v>
      </c>
      <c r="P100" s="42"/>
      <c r="Q100" s="42" t="s">
        <v>10</v>
      </c>
      <c r="R100" s="42"/>
      <c r="S100" s="42" t="s">
        <v>11</v>
      </c>
      <c r="T100" s="42"/>
      <c r="U100" s="42" t="s">
        <v>12</v>
      </c>
      <c r="V100" s="42"/>
      <c r="X100" s="448">
        <f>F109-X98</f>
        <v>0</v>
      </c>
    </row>
    <row r="101" spans="1:50" ht="24.75" customHeight="1" x14ac:dyDescent="0.4">
      <c r="A101" s="426"/>
      <c r="B101" s="68">
        <v>3</v>
      </c>
      <c r="C101" s="427" t="s">
        <v>30</v>
      </c>
      <c r="D101" s="150">
        <f>2350+3000+10000</f>
        <v>15350</v>
      </c>
      <c r="E101" s="150">
        <v>0</v>
      </c>
      <c r="F101" s="427">
        <f>+D101</f>
        <v>15350</v>
      </c>
      <c r="G101" s="431"/>
      <c r="I101" s="492"/>
      <c r="J101" s="96"/>
      <c r="K101" s="493"/>
      <c r="L101" s="493"/>
      <c r="M101" s="493"/>
      <c r="N101" s="493"/>
      <c r="O101" s="493"/>
      <c r="P101" s="493"/>
      <c r="Q101" s="493"/>
      <c r="R101" s="493"/>
      <c r="S101" s="493"/>
      <c r="T101" s="493"/>
      <c r="U101" s="493"/>
      <c r="V101" s="98" t="s">
        <v>28</v>
      </c>
      <c r="Z101" s="448"/>
    </row>
    <row r="102" spans="1:50" ht="16.2" x14ac:dyDescent="0.4">
      <c r="A102" s="426"/>
      <c r="B102" s="68">
        <v>5</v>
      </c>
      <c r="C102" s="427" t="s">
        <v>32</v>
      </c>
      <c r="D102" s="150">
        <f>1950*B102</f>
        <v>9750</v>
      </c>
      <c r="E102" s="150">
        <v>0</v>
      </c>
      <c r="F102" s="427">
        <f>D102</f>
        <v>9750</v>
      </c>
      <c r="G102" s="431"/>
      <c r="I102" s="524" t="s">
        <v>29</v>
      </c>
      <c r="J102" s="103"/>
      <c r="K102" s="494">
        <v>0</v>
      </c>
      <c r="L102" s="495"/>
      <c r="M102" s="494">
        <v>0</v>
      </c>
      <c r="N102" s="495"/>
      <c r="O102" s="494">
        <v>0</v>
      </c>
      <c r="P102" s="495"/>
      <c r="Q102" s="494">
        <v>0</v>
      </c>
      <c r="R102" s="495"/>
      <c r="S102" s="494">
        <v>0</v>
      </c>
      <c r="T102" s="495"/>
      <c r="U102" s="494">
        <v>0</v>
      </c>
      <c r="V102" s="106">
        <f>AVERAGE(K102,M102,O102,Q102,S102)</f>
        <v>0</v>
      </c>
    </row>
    <row r="103" spans="1:50" ht="16.8" x14ac:dyDescent="0.4">
      <c r="A103" s="426"/>
      <c r="B103" s="68">
        <v>1</v>
      </c>
      <c r="C103" s="427" t="s">
        <v>22</v>
      </c>
      <c r="D103" s="150">
        <v>2300</v>
      </c>
      <c r="E103" s="150">
        <v>0</v>
      </c>
      <c r="F103" s="427">
        <f>D103</f>
        <v>2300</v>
      </c>
      <c r="G103" s="431"/>
      <c r="I103" s="524" t="s">
        <v>22</v>
      </c>
      <c r="J103" s="103"/>
      <c r="K103" s="494">
        <v>1</v>
      </c>
      <c r="L103" s="495"/>
      <c r="M103" s="494">
        <v>1</v>
      </c>
      <c r="N103" s="495"/>
      <c r="O103" s="494">
        <v>1</v>
      </c>
      <c r="P103" s="495"/>
      <c r="Q103" s="494">
        <v>1</v>
      </c>
      <c r="R103" s="495"/>
      <c r="S103" s="494">
        <v>1</v>
      </c>
      <c r="T103" s="495"/>
      <c r="U103" s="494">
        <v>0</v>
      </c>
      <c r="V103" s="106">
        <f t="shared" ref="V103:V106" si="19">AVERAGE(K103,M103,O103,Q103,S103)</f>
        <v>1</v>
      </c>
    </row>
    <row r="104" spans="1:50" ht="16.8" x14ac:dyDescent="0.45">
      <c r="A104" s="432"/>
      <c r="B104" s="433">
        <f>SUM(B101:B103)</f>
        <v>9</v>
      </c>
      <c r="C104" s="150"/>
      <c r="D104" s="434"/>
      <c r="E104" s="434"/>
      <c r="F104" s="435">
        <f>SUM(F101:F103)</f>
        <v>27400</v>
      </c>
      <c r="G104" s="431"/>
      <c r="I104" s="524" t="s">
        <v>30</v>
      </c>
      <c r="J104" s="103"/>
      <c r="K104" s="494">
        <v>3</v>
      </c>
      <c r="L104" s="495"/>
      <c r="M104" s="494">
        <v>3</v>
      </c>
      <c r="N104" s="495"/>
      <c r="O104" s="494">
        <v>3</v>
      </c>
      <c r="P104" s="495"/>
      <c r="Q104" s="494">
        <v>3</v>
      </c>
      <c r="R104" s="495"/>
      <c r="S104" s="494">
        <v>3</v>
      </c>
      <c r="T104" s="495"/>
      <c r="U104" s="494">
        <v>0</v>
      </c>
      <c r="V104" s="106">
        <f t="shared" si="19"/>
        <v>3</v>
      </c>
    </row>
    <row r="105" spans="1:50" ht="16.8" x14ac:dyDescent="0.45">
      <c r="A105" s="432"/>
      <c r="B105" s="434"/>
      <c r="C105" s="150"/>
      <c r="D105" s="437"/>
      <c r="E105" s="438" t="s">
        <v>7</v>
      </c>
      <c r="F105" s="435">
        <f>+S98</f>
        <v>1100</v>
      </c>
      <c r="G105" s="439"/>
      <c r="I105" s="524" t="s">
        <v>32</v>
      </c>
      <c r="J105" s="103"/>
      <c r="K105" s="494">
        <v>4</v>
      </c>
      <c r="L105" s="495"/>
      <c r="M105" s="494">
        <v>5</v>
      </c>
      <c r="N105" s="495"/>
      <c r="O105" s="494">
        <v>5</v>
      </c>
      <c r="P105" s="495"/>
      <c r="Q105" s="494">
        <v>5</v>
      </c>
      <c r="R105" s="495"/>
      <c r="S105" s="494">
        <v>5</v>
      </c>
      <c r="T105" s="495"/>
      <c r="U105" s="494">
        <v>0</v>
      </c>
      <c r="V105" s="106">
        <f t="shared" si="19"/>
        <v>4.8</v>
      </c>
    </row>
    <row r="106" spans="1:50" ht="19.8" thickBot="1" x14ac:dyDescent="0.5">
      <c r="A106" s="432"/>
      <c r="B106" s="434"/>
      <c r="C106" s="150"/>
      <c r="D106" s="434"/>
      <c r="E106" s="438" t="s">
        <v>213</v>
      </c>
      <c r="F106" s="435">
        <f>U98</f>
        <v>850</v>
      </c>
      <c r="G106" s="439"/>
      <c r="I106" s="526"/>
      <c r="J106" s="527"/>
      <c r="K106" s="528">
        <f>SUM(K102:K105)</f>
        <v>8</v>
      </c>
      <c r="L106" s="528"/>
      <c r="M106" s="528">
        <f t="shared" ref="M106" si="20">SUM(M102:M105)</f>
        <v>9</v>
      </c>
      <c r="N106" s="528"/>
      <c r="O106" s="528">
        <f t="shared" ref="O106" si="21">SUM(O102:O105)</f>
        <v>9</v>
      </c>
      <c r="P106" s="528"/>
      <c r="Q106" s="528">
        <f t="shared" ref="Q106" si="22">SUM(Q102:Q105)</f>
        <v>9</v>
      </c>
      <c r="R106" s="528"/>
      <c r="S106" s="528">
        <f t="shared" ref="S106" si="23">SUM(S102:S105)</f>
        <v>9</v>
      </c>
      <c r="T106" s="528"/>
      <c r="U106" s="528">
        <f t="shared" ref="U106" si="24">SUM(U102:U105)</f>
        <v>0</v>
      </c>
      <c r="V106" s="559">
        <f t="shared" si="19"/>
        <v>8.8000000000000007</v>
      </c>
    </row>
    <row r="107" spans="1:50" ht="19.2" x14ac:dyDescent="0.45">
      <c r="A107" s="432"/>
      <c r="B107" s="434"/>
      <c r="C107" s="150"/>
      <c r="D107" s="434"/>
      <c r="E107" s="438" t="s">
        <v>277</v>
      </c>
      <c r="F107" s="435">
        <f>W98</f>
        <v>0</v>
      </c>
      <c r="G107" s="439"/>
      <c r="I107" s="552"/>
      <c r="J107" s="151"/>
      <c r="K107" s="553"/>
      <c r="L107" s="553"/>
      <c r="M107" s="553"/>
      <c r="N107" s="553"/>
      <c r="O107" s="553"/>
      <c r="P107" s="553"/>
      <c r="Q107" s="553"/>
      <c r="R107" s="553"/>
      <c r="S107" s="553"/>
      <c r="T107" s="553"/>
      <c r="U107" s="553"/>
      <c r="V107" s="115"/>
    </row>
    <row r="108" spans="1:50" ht="16.8" x14ac:dyDescent="0.45">
      <c r="A108" s="432"/>
      <c r="B108" s="434"/>
      <c r="C108" s="150"/>
      <c r="D108" s="434"/>
      <c r="E108" s="438"/>
      <c r="F108" s="435"/>
      <c r="G108" s="439"/>
      <c r="I108" s="390"/>
      <c r="L108" s="410"/>
      <c r="M108" s="410"/>
      <c r="N108" s="410"/>
      <c r="O108" s="410"/>
      <c r="P108" s="410"/>
      <c r="Q108" s="410"/>
      <c r="S108" s="410"/>
      <c r="T108" s="410"/>
      <c r="U108" s="410"/>
    </row>
    <row r="109" spans="1:50" ht="16.2" x14ac:dyDescent="0.4">
      <c r="A109" s="432"/>
      <c r="B109" s="434"/>
      <c r="C109" s="150"/>
      <c r="D109" s="434"/>
      <c r="E109" s="434"/>
      <c r="F109" s="441">
        <f>SUM(F104:F108)</f>
        <v>29350</v>
      </c>
      <c r="G109" s="431"/>
      <c r="I109" s="390"/>
      <c r="L109" s="410"/>
      <c r="M109" s="410"/>
      <c r="N109" s="410"/>
      <c r="O109" s="410"/>
      <c r="P109" s="410"/>
      <c r="Q109" s="410"/>
      <c r="S109" s="410"/>
      <c r="T109" s="410"/>
      <c r="U109" s="410"/>
    </row>
    <row r="110" spans="1:50" ht="16.8" thickBot="1" x14ac:dyDescent="0.45">
      <c r="A110" s="442"/>
      <c r="B110" s="443"/>
      <c r="C110" s="444"/>
      <c r="D110" s="445"/>
      <c r="E110" s="445"/>
      <c r="F110" s="445"/>
      <c r="G110" s="446"/>
      <c r="I110" s="390"/>
      <c r="L110" s="410"/>
      <c r="M110" s="410"/>
      <c r="N110" s="410"/>
      <c r="O110" s="410"/>
      <c r="P110" s="410"/>
      <c r="Q110" s="410"/>
      <c r="S110" s="410"/>
      <c r="T110" s="410"/>
      <c r="U110" s="410"/>
    </row>
    <row r="111" spans="1:50" ht="9" customHeight="1" x14ac:dyDescent="0.3">
      <c r="A111" s="410"/>
      <c r="B111" s="410"/>
      <c r="C111" s="410"/>
      <c r="D111" s="458"/>
      <c r="E111" s="410"/>
      <c r="F111" s="410"/>
      <c r="G111" s="410"/>
      <c r="H111" s="410"/>
      <c r="I111" s="410"/>
      <c r="J111" s="410"/>
      <c r="K111" s="410"/>
      <c r="L111" s="410"/>
      <c r="M111" s="410"/>
      <c r="N111" s="410"/>
      <c r="O111" s="410"/>
      <c r="P111" s="410"/>
      <c r="Q111" s="410"/>
    </row>
    <row r="112" spans="1:50" ht="72" hidden="1" customHeight="1" x14ac:dyDescent="0.4">
      <c r="A112" s="561"/>
      <c r="B112" s="861" t="str">
        <f>+B1</f>
        <v>SEMANA DEL 23 AL 29 DE JUNIO DEL 2025</v>
      </c>
      <c r="C112" s="862"/>
      <c r="D112" s="862"/>
      <c r="E112" s="862"/>
      <c r="F112" s="862"/>
      <c r="G112" s="862"/>
      <c r="H112" s="862"/>
      <c r="I112" s="862"/>
      <c r="J112" s="862"/>
      <c r="K112" s="862"/>
      <c r="L112" s="862"/>
      <c r="M112" s="862"/>
      <c r="N112" s="862"/>
      <c r="O112" s="862"/>
      <c r="P112" s="862"/>
      <c r="Q112" s="863"/>
    </row>
    <row r="113" spans="1:25" ht="27" hidden="1" customHeight="1" x14ac:dyDescent="0.3">
      <c r="A113" s="562"/>
      <c r="B113" s="867" t="s">
        <v>191</v>
      </c>
      <c r="C113" s="868"/>
      <c r="D113" s="868"/>
      <c r="E113" s="868"/>
      <c r="F113" s="868"/>
      <c r="G113" s="868"/>
      <c r="H113" s="868"/>
      <c r="I113" s="868"/>
      <c r="J113" s="868"/>
      <c r="K113" s="868"/>
      <c r="L113" s="868"/>
      <c r="M113" s="868"/>
      <c r="N113" s="868"/>
      <c r="O113" s="868"/>
      <c r="P113" s="868"/>
      <c r="Q113" s="869"/>
    </row>
    <row r="114" spans="1:25" ht="15" hidden="1" customHeight="1" x14ac:dyDescent="0.3">
      <c r="A114" s="562"/>
      <c r="B114" s="585" t="s">
        <v>184</v>
      </c>
      <c r="C114" s="586"/>
      <c r="D114" s="650"/>
      <c r="E114" s="586"/>
      <c r="F114" s="586"/>
      <c r="G114" s="586"/>
      <c r="H114" s="586"/>
      <c r="I114" s="586"/>
      <c r="J114" s="586"/>
      <c r="K114" s="586"/>
      <c r="L114" s="586"/>
      <c r="M114" s="586"/>
      <c r="N114" s="586"/>
      <c r="O114" s="586"/>
      <c r="P114" s="586"/>
      <c r="Q114" s="587"/>
      <c r="R114" s="873" t="s">
        <v>200</v>
      </c>
      <c r="S114" s="857" t="s">
        <v>201</v>
      </c>
      <c r="T114" s="857" t="s">
        <v>202</v>
      </c>
      <c r="U114" s="857" t="s">
        <v>226</v>
      </c>
      <c r="V114" s="857" t="s">
        <v>223</v>
      </c>
      <c r="W114" s="857" t="s">
        <v>210</v>
      </c>
      <c r="X114" s="859" t="s">
        <v>203</v>
      </c>
    </row>
    <row r="115" spans="1:25" ht="15" hidden="1" customHeight="1" x14ac:dyDescent="0.3">
      <c r="A115" s="562"/>
      <c r="B115" s="476" t="s">
        <v>185</v>
      </c>
      <c r="C115" s="477" t="s">
        <v>135</v>
      </c>
      <c r="D115" s="477" t="s">
        <v>136</v>
      </c>
      <c r="E115" s="478" t="s">
        <v>8</v>
      </c>
      <c r="F115" s="478"/>
      <c r="G115" s="478" t="s">
        <v>9</v>
      </c>
      <c r="H115" s="478"/>
      <c r="I115" s="478" t="s">
        <v>9</v>
      </c>
      <c r="J115" s="478"/>
      <c r="K115" s="478" t="s">
        <v>10</v>
      </c>
      <c r="L115" s="478"/>
      <c r="M115" s="478" t="s">
        <v>11</v>
      </c>
      <c r="N115" s="478"/>
      <c r="O115" s="478" t="s">
        <v>12</v>
      </c>
      <c r="P115" s="478"/>
      <c r="Q115" s="481" t="s">
        <v>186</v>
      </c>
      <c r="R115" s="874"/>
      <c r="S115" s="858"/>
      <c r="T115" s="858"/>
      <c r="U115" s="858" t="s">
        <v>210</v>
      </c>
      <c r="V115" s="858"/>
      <c r="W115" s="858"/>
      <c r="X115" s="860"/>
    </row>
    <row r="116" spans="1:25" hidden="1" x14ac:dyDescent="0.3">
      <c r="A116" s="397"/>
      <c r="B116" s="486"/>
      <c r="C116" s="394"/>
      <c r="D116" s="657"/>
      <c r="E116" s="459"/>
      <c r="F116" s="550"/>
      <c r="G116" s="459"/>
      <c r="H116" s="401"/>
      <c r="I116" s="459"/>
      <c r="J116" s="401"/>
      <c r="K116" s="459"/>
      <c r="L116" s="401"/>
      <c r="M116" s="460"/>
      <c r="N116" s="540"/>
      <c r="O116" s="459"/>
      <c r="P116" s="550"/>
      <c r="Q116" s="573"/>
      <c r="R116" s="455"/>
      <c r="S116" s="393"/>
      <c r="T116" s="393"/>
      <c r="U116" s="393"/>
      <c r="V116" s="393"/>
      <c r="W116" s="391"/>
      <c r="X116" s="509"/>
    </row>
    <row r="117" spans="1:25" s="407" customFormat="1" hidden="1" x14ac:dyDescent="0.3">
      <c r="A117" s="402"/>
      <c r="B117" s="403"/>
      <c r="C117" s="404"/>
      <c r="D117" s="647"/>
      <c r="E117" s="405">
        <v>0</v>
      </c>
      <c r="F117" s="405"/>
      <c r="G117" s="405">
        <v>0</v>
      </c>
      <c r="H117" s="405"/>
      <c r="I117" s="405">
        <v>0</v>
      </c>
      <c r="J117" s="405"/>
      <c r="K117" s="405">
        <v>0</v>
      </c>
      <c r="L117" s="405"/>
      <c r="M117" s="405">
        <v>0</v>
      </c>
      <c r="N117" s="405"/>
      <c r="O117" s="405">
        <v>0</v>
      </c>
      <c r="P117" s="405"/>
      <c r="Q117" s="405"/>
      <c r="R117" s="405">
        <f>SUM(R116)</f>
        <v>0</v>
      </c>
      <c r="S117" s="405">
        <f t="shared" ref="S117:W117" si="25">SUM(S116)</f>
        <v>0</v>
      </c>
      <c r="T117" s="405">
        <f t="shared" si="25"/>
        <v>0</v>
      </c>
      <c r="U117" s="405">
        <f t="shared" si="25"/>
        <v>0</v>
      </c>
      <c r="V117" s="405">
        <f t="shared" si="25"/>
        <v>0</v>
      </c>
      <c r="W117" s="405">
        <f t="shared" si="25"/>
        <v>0</v>
      </c>
      <c r="X117" s="563">
        <f>SUM(X116)</f>
        <v>0</v>
      </c>
      <c r="Y117" s="533"/>
    </row>
    <row r="118" spans="1:25" hidden="1" x14ac:dyDescent="0.3">
      <c r="A118"/>
      <c r="X118" s="448">
        <f>X117-F128</f>
        <v>0</v>
      </c>
    </row>
    <row r="119" spans="1:25" ht="16.8" hidden="1" x14ac:dyDescent="0.45">
      <c r="A119" s="421"/>
      <c r="B119" s="422"/>
      <c r="C119" s="422"/>
      <c r="D119" s="423" t="s">
        <v>14</v>
      </c>
      <c r="E119" s="423" t="s">
        <v>206</v>
      </c>
      <c r="F119" s="423" t="s">
        <v>17</v>
      </c>
      <c r="G119" s="424"/>
    </row>
    <row r="120" spans="1:25" ht="16.2" hidden="1" x14ac:dyDescent="0.4">
      <c r="A120" s="426"/>
      <c r="B120" s="68">
        <v>0</v>
      </c>
      <c r="C120" s="427" t="s">
        <v>30</v>
      </c>
      <c r="D120" s="427">
        <f>0</f>
        <v>0</v>
      </c>
      <c r="E120" s="150">
        <v>0</v>
      </c>
      <c r="F120" s="150">
        <f>+D120</f>
        <v>0</v>
      </c>
      <c r="G120" s="431"/>
      <c r="I120" s="8"/>
      <c r="J120" s="91"/>
      <c r="K120" s="42" t="s">
        <v>8</v>
      </c>
      <c r="L120" s="42"/>
      <c r="M120" s="42" t="s">
        <v>9</v>
      </c>
      <c r="N120" s="42"/>
      <c r="O120" s="42" t="s">
        <v>9</v>
      </c>
      <c r="P120" s="42"/>
      <c r="Q120" s="42" t="s">
        <v>10</v>
      </c>
      <c r="R120" s="42"/>
      <c r="S120" s="42" t="s">
        <v>11</v>
      </c>
      <c r="T120" s="42"/>
      <c r="U120" s="42" t="s">
        <v>12</v>
      </c>
      <c r="V120" s="42"/>
    </row>
    <row r="121" spans="1:25" ht="16.2" hidden="1" x14ac:dyDescent="0.4">
      <c r="A121" s="426"/>
      <c r="B121" s="68">
        <v>0</v>
      </c>
      <c r="C121" s="427" t="s">
        <v>32</v>
      </c>
      <c r="D121" s="150">
        <v>0</v>
      </c>
      <c r="E121" s="150">
        <v>0</v>
      </c>
      <c r="F121" s="427">
        <f>D121</f>
        <v>0</v>
      </c>
      <c r="G121" s="431"/>
      <c r="I121" s="492"/>
      <c r="J121" s="96"/>
      <c r="K121" s="493"/>
      <c r="L121" s="493"/>
      <c r="M121" s="493"/>
      <c r="N121" s="493"/>
      <c r="O121" s="493"/>
      <c r="P121" s="493"/>
      <c r="Q121" s="493"/>
      <c r="R121" s="493"/>
      <c r="S121" s="493"/>
      <c r="T121" s="493"/>
      <c r="U121" s="493"/>
      <c r="V121" s="98" t="s">
        <v>28</v>
      </c>
    </row>
    <row r="122" spans="1:25" ht="16.2" hidden="1" x14ac:dyDescent="0.4">
      <c r="A122" s="426"/>
      <c r="B122" s="68">
        <v>0</v>
      </c>
      <c r="C122" s="427" t="s">
        <v>29</v>
      </c>
      <c r="D122" s="150">
        <f>1550*B122</f>
        <v>0</v>
      </c>
      <c r="E122" s="150">
        <v>0</v>
      </c>
      <c r="F122" s="150">
        <f>+B122*(D122+E122)</f>
        <v>0</v>
      </c>
      <c r="G122" s="431"/>
      <c r="I122" s="524" t="s">
        <v>29</v>
      </c>
      <c r="J122" s="103"/>
      <c r="K122" s="494">
        <v>0</v>
      </c>
      <c r="L122" s="495"/>
      <c r="M122" s="494">
        <v>0</v>
      </c>
      <c r="N122" s="495"/>
      <c r="O122" s="494">
        <v>0</v>
      </c>
      <c r="P122" s="495"/>
      <c r="Q122" s="494">
        <v>0</v>
      </c>
      <c r="R122" s="495"/>
      <c r="S122" s="494">
        <v>0</v>
      </c>
      <c r="T122" s="495"/>
      <c r="U122" s="494">
        <v>0</v>
      </c>
      <c r="V122" s="106">
        <f>AVERAGE(K122,M122,O122,Q122,S122)</f>
        <v>0</v>
      </c>
    </row>
    <row r="123" spans="1:25" ht="16.8" hidden="1" x14ac:dyDescent="0.45">
      <c r="A123" s="432"/>
      <c r="B123" s="433">
        <f>SUM(B120:B122)</f>
        <v>0</v>
      </c>
      <c r="C123" s="150"/>
      <c r="D123" s="434"/>
      <c r="E123" s="434"/>
      <c r="F123" s="435">
        <f>SUM(F120:F122)</f>
        <v>0</v>
      </c>
      <c r="G123" s="431"/>
      <c r="I123" s="524" t="s">
        <v>22</v>
      </c>
      <c r="J123" s="103"/>
      <c r="K123" s="494">
        <v>0</v>
      </c>
      <c r="L123" s="495"/>
      <c r="M123" s="494">
        <v>0</v>
      </c>
      <c r="N123" s="495"/>
      <c r="O123" s="494">
        <v>0</v>
      </c>
      <c r="P123" s="495"/>
      <c r="Q123" s="494">
        <v>0</v>
      </c>
      <c r="R123" s="495"/>
      <c r="S123" s="494">
        <v>0</v>
      </c>
      <c r="T123" s="495"/>
      <c r="U123" s="494">
        <v>0</v>
      </c>
      <c r="V123" s="106">
        <f t="shared" ref="V123:V126" si="26">AVERAGE(K123,M123,O123,Q123,S123)</f>
        <v>0</v>
      </c>
    </row>
    <row r="124" spans="1:25" ht="16.8" hidden="1" x14ac:dyDescent="0.45">
      <c r="A124" s="432"/>
      <c r="B124" s="434"/>
      <c r="C124" s="150"/>
      <c r="D124" s="437"/>
      <c r="E124" s="438" t="s">
        <v>7</v>
      </c>
      <c r="F124" s="435">
        <f>S117</f>
        <v>0</v>
      </c>
      <c r="G124" s="439"/>
      <c r="I124" s="524" t="s">
        <v>30</v>
      </c>
      <c r="J124" s="103"/>
      <c r="K124" s="494">
        <v>0</v>
      </c>
      <c r="L124" s="495"/>
      <c r="M124" s="494">
        <v>0</v>
      </c>
      <c r="N124" s="495"/>
      <c r="O124" s="494">
        <v>0</v>
      </c>
      <c r="P124" s="495"/>
      <c r="Q124" s="494">
        <v>0</v>
      </c>
      <c r="R124" s="495"/>
      <c r="S124" s="494">
        <v>0</v>
      </c>
      <c r="T124" s="495"/>
      <c r="U124" s="494">
        <v>0</v>
      </c>
      <c r="V124" s="106">
        <f t="shared" si="26"/>
        <v>0</v>
      </c>
    </row>
    <row r="125" spans="1:25" ht="16.8" hidden="1" x14ac:dyDescent="0.45">
      <c r="A125" s="432"/>
      <c r="B125" s="434"/>
      <c r="C125" s="150"/>
      <c r="D125" s="437"/>
      <c r="E125" s="438" t="s">
        <v>207</v>
      </c>
      <c r="F125" s="435">
        <f>T117</f>
        <v>0</v>
      </c>
      <c r="G125" s="439"/>
      <c r="I125" s="524" t="s">
        <v>32</v>
      </c>
      <c r="J125" s="103"/>
      <c r="K125" s="494">
        <v>0</v>
      </c>
      <c r="L125" s="495"/>
      <c r="M125" s="494">
        <v>0</v>
      </c>
      <c r="N125" s="495"/>
      <c r="O125" s="494">
        <v>0</v>
      </c>
      <c r="P125" s="495"/>
      <c r="Q125" s="494">
        <v>0</v>
      </c>
      <c r="R125" s="495"/>
      <c r="S125" s="494">
        <v>0</v>
      </c>
      <c r="T125" s="495"/>
      <c r="U125" s="494">
        <v>0</v>
      </c>
      <c r="V125" s="106">
        <f t="shared" si="26"/>
        <v>0</v>
      </c>
    </row>
    <row r="126" spans="1:25" ht="19.8" hidden="1" thickBot="1" x14ac:dyDescent="0.5">
      <c r="A126" s="432"/>
      <c r="B126" s="434"/>
      <c r="C126" s="150"/>
      <c r="D126" s="437"/>
      <c r="E126" s="438" t="s">
        <v>213</v>
      </c>
      <c r="F126" s="435">
        <f>U117</f>
        <v>0</v>
      </c>
      <c r="G126" s="439"/>
      <c r="I126" s="526"/>
      <c r="J126" s="527"/>
      <c r="K126" s="528">
        <f>SUM(K122:K125)</f>
        <v>0</v>
      </c>
      <c r="L126" s="528"/>
      <c r="M126" s="528">
        <f t="shared" ref="M126" si="27">SUM(M122:M125)</f>
        <v>0</v>
      </c>
      <c r="N126" s="528"/>
      <c r="O126" s="528">
        <f t="shared" ref="O126" si="28">SUM(O122:O125)</f>
        <v>0</v>
      </c>
      <c r="P126" s="528"/>
      <c r="Q126" s="528">
        <f t="shared" ref="Q126" si="29">SUM(Q122:Q125)</f>
        <v>0</v>
      </c>
      <c r="R126" s="528"/>
      <c r="S126" s="528">
        <f t="shared" ref="S126" si="30">SUM(S122:S125)</f>
        <v>0</v>
      </c>
      <c r="T126" s="528"/>
      <c r="U126" s="528">
        <f t="shared" ref="U126" si="31">SUM(U122:U125)</f>
        <v>0</v>
      </c>
      <c r="V126" s="559">
        <f t="shared" si="26"/>
        <v>0</v>
      </c>
    </row>
    <row r="127" spans="1:25" ht="19.2" hidden="1" x14ac:dyDescent="0.45">
      <c r="A127" s="432"/>
      <c r="B127" s="434"/>
      <c r="C127" s="150"/>
      <c r="D127" s="437"/>
      <c r="E127" s="438"/>
      <c r="F127" s="435"/>
      <c r="G127" s="439"/>
      <c r="I127" s="552"/>
      <c r="J127" s="151"/>
      <c r="K127" s="553"/>
      <c r="L127" s="553"/>
      <c r="M127" s="553"/>
      <c r="N127" s="553"/>
      <c r="O127" s="553"/>
      <c r="P127" s="553"/>
      <c r="Q127" s="553"/>
      <c r="R127" s="553"/>
      <c r="S127" s="553"/>
      <c r="T127" s="553"/>
      <c r="U127" s="553"/>
      <c r="V127" s="115"/>
    </row>
    <row r="128" spans="1:25" ht="16.2" hidden="1" x14ac:dyDescent="0.4">
      <c r="A128" s="432"/>
      <c r="B128" s="434"/>
      <c r="C128" s="150"/>
      <c r="D128" s="434"/>
      <c r="E128" s="434"/>
      <c r="F128" s="441">
        <f>SUM(F123:F126)</f>
        <v>0</v>
      </c>
      <c r="G128" s="431"/>
      <c r="I128" s="390"/>
    </row>
    <row r="129" spans="1:50" ht="16.8" hidden="1" thickBot="1" x14ac:dyDescent="0.45">
      <c r="A129" s="442"/>
      <c r="B129" s="443"/>
      <c r="C129" s="444"/>
      <c r="D129" s="445"/>
      <c r="E129" s="445"/>
      <c r="F129" s="445"/>
      <c r="G129" s="446"/>
    </row>
    <row r="130" spans="1:50" hidden="1" x14ac:dyDescent="0.3">
      <c r="A130"/>
    </row>
    <row r="131" spans="1:50" x14ac:dyDescent="0.3">
      <c r="A131"/>
    </row>
    <row r="132" spans="1:50" ht="15" thickBot="1" x14ac:dyDescent="0.35">
      <c r="A132"/>
    </row>
    <row r="133" spans="1:50" ht="45" customHeight="1" thickBot="1" x14ac:dyDescent="0.45">
      <c r="B133" s="861" t="str">
        <f>+B1</f>
        <v>SEMANA DEL 23 AL 29 DE JUNIO DEL 2025</v>
      </c>
      <c r="C133" s="862"/>
      <c r="D133" s="862"/>
      <c r="E133" s="862"/>
      <c r="F133" s="862"/>
      <c r="G133" s="862"/>
      <c r="H133" s="862"/>
      <c r="I133" s="862"/>
      <c r="J133" s="862"/>
      <c r="K133" s="862"/>
      <c r="L133" s="862"/>
      <c r="M133" s="862"/>
      <c r="N133" s="862"/>
      <c r="O133" s="862"/>
      <c r="P133" s="862"/>
      <c r="Q133" s="863"/>
    </row>
    <row r="134" spans="1:50" ht="27" customHeight="1" x14ac:dyDescent="0.3">
      <c r="A134" s="397"/>
      <c r="B134" s="867" t="s">
        <v>192</v>
      </c>
      <c r="C134" s="868"/>
      <c r="D134" s="868"/>
      <c r="E134" s="868"/>
      <c r="F134" s="868"/>
      <c r="G134" s="868"/>
      <c r="H134" s="868"/>
      <c r="I134" s="868"/>
      <c r="J134" s="868"/>
      <c r="K134" s="868"/>
      <c r="L134" s="868"/>
      <c r="M134" s="868"/>
      <c r="N134" s="868"/>
      <c r="O134" s="868"/>
      <c r="P134" s="868"/>
      <c r="Q134" s="869"/>
      <c r="R134" s="887" t="s">
        <v>200</v>
      </c>
      <c r="S134" s="857" t="s">
        <v>201</v>
      </c>
      <c r="T134" s="857" t="s">
        <v>202</v>
      </c>
      <c r="U134" s="857" t="s">
        <v>226</v>
      </c>
      <c r="V134" s="857" t="s">
        <v>223</v>
      </c>
      <c r="W134" s="857" t="s">
        <v>210</v>
      </c>
      <c r="X134" s="859" t="s">
        <v>203</v>
      </c>
    </row>
    <row r="135" spans="1:50" ht="12" customHeight="1" x14ac:dyDescent="0.3">
      <c r="A135" s="397"/>
      <c r="B135" s="788" t="s">
        <v>184</v>
      </c>
      <c r="C135" s="789"/>
      <c r="D135" s="650"/>
      <c r="E135" s="789"/>
      <c r="F135" s="789"/>
      <c r="G135" s="789"/>
      <c r="H135" s="789"/>
      <c r="I135" s="789"/>
      <c r="J135" s="789"/>
      <c r="K135" s="789"/>
      <c r="L135" s="789"/>
      <c r="M135" s="789"/>
      <c r="N135" s="789"/>
      <c r="O135" s="789"/>
      <c r="P135" s="789"/>
      <c r="Q135" s="790"/>
      <c r="R135" s="888"/>
      <c r="S135" s="858"/>
      <c r="T135" s="858"/>
      <c r="U135" s="858"/>
      <c r="V135" s="858"/>
      <c r="W135" s="858"/>
      <c r="X135" s="860"/>
    </row>
    <row r="136" spans="1:50" ht="0.75" hidden="1" customHeight="1" x14ac:dyDescent="0.3">
      <c r="A136" s="397"/>
      <c r="B136" s="476" t="s">
        <v>185</v>
      </c>
      <c r="C136" s="477" t="s">
        <v>135</v>
      </c>
      <c r="D136" s="477" t="s">
        <v>136</v>
      </c>
      <c r="E136" s="478" t="s">
        <v>8</v>
      </c>
      <c r="F136" s="478"/>
      <c r="G136" s="478" t="s">
        <v>9</v>
      </c>
      <c r="H136" s="478"/>
      <c r="I136" s="478" t="s">
        <v>9</v>
      </c>
      <c r="J136" s="478"/>
      <c r="K136" s="478" t="s">
        <v>10</v>
      </c>
      <c r="L136" s="478"/>
      <c r="M136" s="478" t="s">
        <v>11</v>
      </c>
      <c r="N136" s="478"/>
      <c r="O136" s="478" t="s">
        <v>12</v>
      </c>
      <c r="P136" s="478"/>
      <c r="Q136" s="479" t="s">
        <v>186</v>
      </c>
      <c r="R136" s="801"/>
      <c r="S136" s="704"/>
      <c r="T136" s="704"/>
      <c r="U136" s="704"/>
      <c r="V136" s="704"/>
      <c r="W136" s="704"/>
      <c r="X136" s="705"/>
    </row>
    <row r="137" spans="1:50" ht="15.6" customHeight="1" x14ac:dyDescent="0.3">
      <c r="A137" s="397"/>
      <c r="B137" s="476" t="s">
        <v>185</v>
      </c>
      <c r="C137" s="477" t="s">
        <v>135</v>
      </c>
      <c r="D137" s="477" t="s">
        <v>136</v>
      </c>
      <c r="E137" s="478" t="s">
        <v>8</v>
      </c>
      <c r="F137" s="478"/>
      <c r="G137" s="478" t="s">
        <v>9</v>
      </c>
      <c r="H137" s="478"/>
      <c r="I137" s="478" t="s">
        <v>9</v>
      </c>
      <c r="J137" s="478"/>
      <c r="K137" s="478" t="s">
        <v>10</v>
      </c>
      <c r="L137" s="478"/>
      <c r="M137" s="478" t="s">
        <v>11</v>
      </c>
      <c r="N137" s="478"/>
      <c r="O137" s="478" t="s">
        <v>12</v>
      </c>
      <c r="P137" s="478"/>
      <c r="Q137" s="479" t="s">
        <v>186</v>
      </c>
      <c r="R137" s="801"/>
      <c r="S137" s="704"/>
      <c r="T137" s="704"/>
      <c r="U137" s="704"/>
      <c r="V137" s="704"/>
      <c r="W137" s="704"/>
      <c r="X137" s="705"/>
    </row>
    <row r="138" spans="1:50" x14ac:dyDescent="0.3">
      <c r="A138" s="397">
        <v>1</v>
      </c>
      <c r="B138" s="483">
        <v>158</v>
      </c>
      <c r="C138" s="394" t="s">
        <v>138</v>
      </c>
      <c r="D138" s="642" t="s">
        <v>188</v>
      </c>
      <c r="E138" s="459">
        <v>1</v>
      </c>
      <c r="F138" s="459"/>
      <c r="G138" s="459">
        <v>1</v>
      </c>
      <c r="H138" s="459"/>
      <c r="I138" s="354">
        <v>1</v>
      </c>
      <c r="J138" s="401"/>
      <c r="K138" s="354">
        <v>1</v>
      </c>
      <c r="L138" s="401"/>
      <c r="M138" s="354">
        <v>1</v>
      </c>
      <c r="N138" s="401"/>
      <c r="O138" s="354"/>
      <c r="P138" s="354"/>
      <c r="Q138" s="573"/>
      <c r="R138" s="802">
        <v>6000</v>
      </c>
      <c r="S138" s="393"/>
      <c r="T138" s="393"/>
      <c r="U138" s="393"/>
      <c r="V138" s="393"/>
      <c r="W138" s="391"/>
      <c r="X138" s="491">
        <f>+R138+S138+T138+U138+V138+W138</f>
        <v>6000</v>
      </c>
    </row>
    <row r="139" spans="1:50" x14ac:dyDescent="0.3">
      <c r="A139" s="397">
        <v>4</v>
      </c>
      <c r="B139" s="484">
        <v>75</v>
      </c>
      <c r="C139" s="392" t="s">
        <v>91</v>
      </c>
      <c r="D139" s="657" t="s">
        <v>220</v>
      </c>
      <c r="E139" s="459">
        <v>1</v>
      </c>
      <c r="F139" s="574"/>
      <c r="G139" s="459">
        <v>1</v>
      </c>
      <c r="H139" s="459"/>
      <c r="I139" s="354">
        <v>1</v>
      </c>
      <c r="J139" s="401"/>
      <c r="K139" s="459">
        <v>1</v>
      </c>
      <c r="L139" s="459"/>
      <c r="M139" s="354">
        <v>1</v>
      </c>
      <c r="N139" s="401"/>
      <c r="O139" s="460"/>
      <c r="P139" s="460"/>
      <c r="Q139" s="808"/>
      <c r="R139" s="803">
        <v>1950</v>
      </c>
      <c r="S139" s="539">
        <v>200</v>
      </c>
      <c r="T139" s="393"/>
      <c r="U139" s="393">
        <v>50</v>
      </c>
      <c r="V139" s="393"/>
      <c r="W139" s="391"/>
      <c r="X139" s="509">
        <f>(R139+S139+T139+U139)+W139+V139</f>
        <v>2200</v>
      </c>
    </row>
    <row r="140" spans="1:50" x14ac:dyDescent="0.3">
      <c r="A140" s="397"/>
      <c r="B140" s="484">
        <v>267</v>
      </c>
      <c r="C140" s="392" t="s">
        <v>303</v>
      </c>
      <c r="D140" s="657" t="s">
        <v>220</v>
      </c>
      <c r="E140" s="459">
        <v>1</v>
      </c>
      <c r="F140" s="574"/>
      <c r="G140" s="459">
        <v>1</v>
      </c>
      <c r="H140" s="459"/>
      <c r="I140" s="354">
        <v>1</v>
      </c>
      <c r="J140" s="401"/>
      <c r="K140" s="459">
        <v>1</v>
      </c>
      <c r="L140" s="459"/>
      <c r="M140" s="354">
        <v>1</v>
      </c>
      <c r="N140" s="401"/>
      <c r="O140" s="460"/>
      <c r="P140" s="460"/>
      <c r="Q140" s="808"/>
      <c r="R140" s="803">
        <v>1950</v>
      </c>
      <c r="S140" s="539">
        <v>200</v>
      </c>
      <c r="T140" s="393"/>
      <c r="U140" s="393">
        <v>50</v>
      </c>
      <c r="V140" s="393"/>
      <c r="W140" s="391"/>
      <c r="X140" s="509">
        <f>(R140+S140+T140+U140)+W140+V140</f>
        <v>2200</v>
      </c>
    </row>
    <row r="141" spans="1:50" x14ac:dyDescent="0.3">
      <c r="A141" s="397">
        <v>2</v>
      </c>
      <c r="B141" s="486">
        <v>74</v>
      </c>
      <c r="C141" s="394" t="s">
        <v>85</v>
      </c>
      <c r="D141" s="657" t="s">
        <v>220</v>
      </c>
      <c r="E141" s="783">
        <v>1</v>
      </c>
      <c r="F141" s="706" t="s">
        <v>219</v>
      </c>
      <c r="G141" s="783">
        <v>1</v>
      </c>
      <c r="H141" s="706" t="s">
        <v>219</v>
      </c>
      <c r="I141" s="354">
        <v>1</v>
      </c>
      <c r="J141" s="401"/>
      <c r="K141" s="459">
        <v>1</v>
      </c>
      <c r="L141" s="459"/>
      <c r="M141" s="354">
        <v>1</v>
      </c>
      <c r="N141" s="401"/>
      <c r="O141" s="460"/>
      <c r="P141" s="460"/>
      <c r="Q141" s="573"/>
      <c r="R141" s="804">
        <v>1950</v>
      </c>
      <c r="S141" s="539">
        <v>200</v>
      </c>
      <c r="T141" s="393"/>
      <c r="U141" s="393">
        <v>50</v>
      </c>
      <c r="V141" s="393"/>
      <c r="W141" s="391"/>
      <c r="X141" s="509">
        <f>(R141+S141+T141+U141)+W141+V141</f>
        <v>2200</v>
      </c>
    </row>
    <row r="142" spans="1:50" s="398" customFormat="1" x14ac:dyDescent="0.3">
      <c r="A142" s="638"/>
      <c r="B142" s="484">
        <v>145</v>
      </c>
      <c r="C142" s="392" t="s">
        <v>125</v>
      </c>
      <c r="D142" s="640" t="s">
        <v>227</v>
      </c>
      <c r="E142" s="459">
        <v>1</v>
      </c>
      <c r="F142" s="574"/>
      <c r="G142" s="459">
        <v>1</v>
      </c>
      <c r="H142" s="459"/>
      <c r="I142" s="354">
        <v>1</v>
      </c>
      <c r="J142" s="401"/>
      <c r="K142" s="459">
        <v>1</v>
      </c>
      <c r="L142" s="459"/>
      <c r="M142" s="354">
        <v>1</v>
      </c>
      <c r="N142" s="401"/>
      <c r="O142" s="460"/>
      <c r="P142" s="460"/>
      <c r="Q142" s="450"/>
      <c r="R142" s="805">
        <v>1950</v>
      </c>
      <c r="S142" s="538">
        <v>300</v>
      </c>
      <c r="T142" s="391"/>
      <c r="U142" s="393">
        <v>200</v>
      </c>
      <c r="V142" s="393"/>
      <c r="W142" s="393"/>
      <c r="X142" s="491">
        <f>(R142+S142+T142+U142+V142+W142)</f>
        <v>2450</v>
      </c>
      <c r="Y142" s="532"/>
      <c r="Z142"/>
      <c r="AA142"/>
      <c r="AB142"/>
      <c r="AC142"/>
      <c r="AD142"/>
      <c r="AE142"/>
      <c r="AF142"/>
      <c r="AG142" s="390"/>
      <c r="AH142" s="390"/>
      <c r="AI142" s="390"/>
      <c r="AJ142" s="390"/>
      <c r="AK142" s="390"/>
      <c r="AL142" s="390"/>
      <c r="AM142" s="390"/>
      <c r="AN142" s="390"/>
      <c r="AO142" s="390"/>
      <c r="AP142" s="390"/>
      <c r="AQ142" s="390"/>
      <c r="AR142" s="390"/>
      <c r="AS142" s="390"/>
      <c r="AT142" s="390"/>
      <c r="AU142" s="390"/>
      <c r="AV142" s="390"/>
      <c r="AW142" s="390"/>
      <c r="AX142" s="390"/>
    </row>
    <row r="143" spans="1:50" x14ac:dyDescent="0.3">
      <c r="A143" s="397">
        <v>3</v>
      </c>
      <c r="B143" s="484">
        <v>29</v>
      </c>
      <c r="C143" s="392" t="s">
        <v>53</v>
      </c>
      <c r="D143" s="657" t="s">
        <v>220</v>
      </c>
      <c r="E143" s="459">
        <v>1</v>
      </c>
      <c r="F143" s="574"/>
      <c r="G143" s="459">
        <v>1</v>
      </c>
      <c r="H143" s="459"/>
      <c r="I143" s="354">
        <v>1</v>
      </c>
      <c r="J143" s="401"/>
      <c r="K143" s="459">
        <v>1</v>
      </c>
      <c r="L143" s="459"/>
      <c r="M143" s="354">
        <v>1</v>
      </c>
      <c r="N143" s="401"/>
      <c r="O143" s="460"/>
      <c r="P143" s="460"/>
      <c r="Q143" s="450"/>
      <c r="R143" s="803">
        <v>1950</v>
      </c>
      <c r="S143" s="538">
        <v>200</v>
      </c>
      <c r="T143" s="391"/>
      <c r="U143" s="393">
        <v>50</v>
      </c>
      <c r="V143" s="393"/>
      <c r="W143" s="393"/>
      <c r="X143" s="491">
        <f>(R143+S143+T143+U143+V143+W143)</f>
        <v>2200</v>
      </c>
    </row>
    <row r="144" spans="1:50" x14ac:dyDescent="0.3">
      <c r="A144" s="397">
        <v>1</v>
      </c>
      <c r="B144" s="484">
        <v>37</v>
      </c>
      <c r="C144" s="392" t="s">
        <v>55</v>
      </c>
      <c r="D144" s="722" t="s">
        <v>188</v>
      </c>
      <c r="E144" s="783">
        <v>1</v>
      </c>
      <c r="F144" s="784" t="s">
        <v>219</v>
      </c>
      <c r="G144" s="785">
        <v>1</v>
      </c>
      <c r="H144" s="709" t="s">
        <v>219</v>
      </c>
      <c r="I144" s="701">
        <v>1</v>
      </c>
      <c r="J144" s="702" t="s">
        <v>219</v>
      </c>
      <c r="K144" s="701">
        <v>1</v>
      </c>
      <c r="L144" s="702" t="s">
        <v>219</v>
      </c>
      <c r="M144" s="701">
        <v>1</v>
      </c>
      <c r="N144" s="702" t="s">
        <v>219</v>
      </c>
      <c r="O144" s="785"/>
      <c r="P144" s="460"/>
      <c r="Q144" s="808"/>
      <c r="R144" s="806">
        <v>2350</v>
      </c>
      <c r="S144" s="391"/>
      <c r="T144" s="391"/>
      <c r="U144" s="393">
        <v>150</v>
      </c>
      <c r="V144" s="393"/>
      <c r="W144" s="391"/>
      <c r="X144" s="509">
        <f>(R144+S144+T144+U144)+W144+V144</f>
        <v>2500</v>
      </c>
    </row>
    <row r="145" spans="1:32" ht="15" thickBot="1" x14ac:dyDescent="0.35">
      <c r="A145" s="397"/>
      <c r="B145" s="485">
        <v>81</v>
      </c>
      <c r="C145" s="462" t="s">
        <v>93</v>
      </c>
      <c r="D145" s="707" t="s">
        <v>220</v>
      </c>
      <c r="E145" s="723">
        <v>1</v>
      </c>
      <c r="F145" s="724"/>
      <c r="G145" s="725">
        <v>1</v>
      </c>
      <c r="H145" s="726"/>
      <c r="I145" s="727">
        <v>1</v>
      </c>
      <c r="J145" s="728"/>
      <c r="K145" s="727">
        <v>1</v>
      </c>
      <c r="L145" s="728"/>
      <c r="M145" s="682">
        <v>1</v>
      </c>
      <c r="N145" s="684"/>
      <c r="O145" s="682"/>
      <c r="P145" s="682"/>
      <c r="Q145" s="809"/>
      <c r="R145" s="807">
        <v>1950</v>
      </c>
      <c r="S145" s="630">
        <v>200</v>
      </c>
      <c r="T145" s="554"/>
      <c r="U145" s="451"/>
      <c r="V145" s="451"/>
      <c r="W145" s="554"/>
      <c r="X145" s="555">
        <f>(R145+S145+T145+U145)+W145+V145</f>
        <v>2150</v>
      </c>
    </row>
    <row r="146" spans="1:32" s="407" customFormat="1" x14ac:dyDescent="0.3">
      <c r="A146" s="402"/>
      <c r="B146" s="403"/>
      <c r="C146" s="404"/>
      <c r="D146" s="647"/>
      <c r="E146" s="405">
        <f>SUM(E138:E145)</f>
        <v>8</v>
      </c>
      <c r="F146" s="405"/>
      <c r="G146" s="405">
        <f>SUM(G138:G145)</f>
        <v>8</v>
      </c>
      <c r="H146" s="405"/>
      <c r="I146" s="405">
        <f>SUM(I138:I145)</f>
        <v>8</v>
      </c>
      <c r="J146" s="405"/>
      <c r="K146" s="405">
        <f>SUM(K138:K145)</f>
        <v>8</v>
      </c>
      <c r="L146" s="405"/>
      <c r="M146" s="405">
        <f>SUM(M138:M145)</f>
        <v>8</v>
      </c>
      <c r="N146" s="405"/>
      <c r="O146" s="405"/>
      <c r="P146" s="405"/>
      <c r="Q146" s="405"/>
      <c r="R146" s="402">
        <f>SUM(R138:R145)</f>
        <v>20050</v>
      </c>
      <c r="S146" s="402">
        <f t="shared" ref="S146:W146" si="32">SUM(S138:S145)</f>
        <v>1300</v>
      </c>
      <c r="T146" s="402">
        <f t="shared" si="32"/>
        <v>0</v>
      </c>
      <c r="U146" s="402">
        <f t="shared" si="32"/>
        <v>550</v>
      </c>
      <c r="V146" s="402">
        <f t="shared" si="32"/>
        <v>0</v>
      </c>
      <c r="W146" s="402">
        <f t="shared" si="32"/>
        <v>0</v>
      </c>
      <c r="X146" s="506">
        <f>SUM(X138:X145)-Y142</f>
        <v>21900</v>
      </c>
      <c r="Y146" s="533"/>
    </row>
    <row r="147" spans="1:32" s="410" customFormat="1" ht="15" thickBot="1" x14ac:dyDescent="0.35">
      <c r="A147" s="397"/>
      <c r="B147"/>
      <c r="C147"/>
      <c r="D147" s="390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 s="448">
        <f>+X146-F156</f>
        <v>0</v>
      </c>
      <c r="Y147" s="532"/>
      <c r="Z147"/>
      <c r="AA147"/>
      <c r="AB147"/>
      <c r="AC147"/>
      <c r="AD147"/>
      <c r="AE147"/>
      <c r="AF147"/>
    </row>
    <row r="148" spans="1:32" ht="17.399999999999999" thickBot="1" x14ac:dyDescent="0.5">
      <c r="A148" s="421"/>
      <c r="B148" s="422"/>
      <c r="C148" s="422"/>
      <c r="D148" s="423" t="s">
        <v>14</v>
      </c>
      <c r="E148" s="423" t="s">
        <v>206</v>
      </c>
      <c r="F148" s="423" t="s">
        <v>17</v>
      </c>
      <c r="G148" s="424"/>
      <c r="H148" s="496"/>
      <c r="I148" s="8"/>
      <c r="J148" s="91"/>
      <c r="K148" s="42" t="s">
        <v>8</v>
      </c>
      <c r="L148" s="42"/>
      <c r="M148" s="42" t="s">
        <v>9</v>
      </c>
      <c r="N148" s="42"/>
      <c r="O148" s="42" t="s">
        <v>9</v>
      </c>
      <c r="P148" s="42"/>
      <c r="Q148" s="42" t="s">
        <v>10</v>
      </c>
      <c r="R148" s="42"/>
      <c r="S148" s="42" t="s">
        <v>11</v>
      </c>
      <c r="T148" s="42"/>
      <c r="U148" s="42" t="s">
        <v>12</v>
      </c>
      <c r="V148" s="42"/>
    </row>
    <row r="149" spans="1:32" ht="16.2" x14ac:dyDescent="0.4">
      <c r="A149" s="426"/>
      <c r="B149" s="68">
        <v>2</v>
      </c>
      <c r="C149" s="427" t="s">
        <v>30</v>
      </c>
      <c r="D149" s="427">
        <f>2350+6000</f>
        <v>8350</v>
      </c>
      <c r="E149" s="150">
        <v>0</v>
      </c>
      <c r="F149" s="150">
        <f>+D149</f>
        <v>8350</v>
      </c>
      <c r="G149" s="431"/>
      <c r="H149" s="436"/>
      <c r="I149" s="492"/>
      <c r="J149" s="96"/>
      <c r="K149" s="493"/>
      <c r="L149" s="493"/>
      <c r="M149" s="493"/>
      <c r="N149" s="493"/>
      <c r="O149" s="493"/>
      <c r="P149" s="493"/>
      <c r="Q149" s="493"/>
      <c r="R149" s="493"/>
      <c r="S149" s="493"/>
      <c r="T149" s="493"/>
      <c r="U149" s="493"/>
      <c r="V149" s="98" t="s">
        <v>28</v>
      </c>
    </row>
    <row r="150" spans="1:32" ht="16.2" x14ac:dyDescent="0.4">
      <c r="A150" s="426"/>
      <c r="B150" s="68">
        <v>5</v>
      </c>
      <c r="C150" s="427" t="s">
        <v>32</v>
      </c>
      <c r="D150" s="150">
        <f>1950*B150</f>
        <v>9750</v>
      </c>
      <c r="E150" s="150">
        <v>0</v>
      </c>
      <c r="F150" s="427">
        <f>D150</f>
        <v>9750</v>
      </c>
      <c r="G150" s="431"/>
      <c r="H150" s="436"/>
      <c r="I150" s="524" t="s">
        <v>29</v>
      </c>
      <c r="J150" s="103"/>
      <c r="K150" s="494">
        <v>0</v>
      </c>
      <c r="L150" s="495"/>
      <c r="M150" s="494">
        <v>0</v>
      </c>
      <c r="N150" s="495"/>
      <c r="O150" s="494">
        <v>0</v>
      </c>
      <c r="P150" s="495"/>
      <c r="Q150" s="494">
        <v>0</v>
      </c>
      <c r="R150" s="495"/>
      <c r="S150" s="494">
        <v>0</v>
      </c>
      <c r="T150" s="495"/>
      <c r="U150" s="494">
        <v>0</v>
      </c>
      <c r="V150" s="106">
        <f>AVERAGE(K150,M150,O150,Q150,S150)</f>
        <v>0</v>
      </c>
    </row>
    <row r="151" spans="1:32" ht="16.8" x14ac:dyDescent="0.4">
      <c r="A151" s="426"/>
      <c r="B151" s="68">
        <v>1</v>
      </c>
      <c r="C151" s="427" t="s">
        <v>539</v>
      </c>
      <c r="D151" s="150">
        <f>1950*B151</f>
        <v>1950</v>
      </c>
      <c r="E151" s="150">
        <v>0</v>
      </c>
      <c r="F151" s="150">
        <f>+B151*(D151+E151)</f>
        <v>1950</v>
      </c>
      <c r="G151" s="431"/>
      <c r="H151" s="436"/>
      <c r="I151" s="524" t="s">
        <v>22</v>
      </c>
      <c r="J151" s="103"/>
      <c r="K151" s="494">
        <v>1</v>
      </c>
      <c r="L151" s="495"/>
      <c r="M151" s="494">
        <v>1</v>
      </c>
      <c r="N151" s="495"/>
      <c r="O151" s="494">
        <v>1</v>
      </c>
      <c r="P151" s="495"/>
      <c r="Q151" s="494">
        <v>1</v>
      </c>
      <c r="R151" s="495"/>
      <c r="S151" s="494">
        <v>1</v>
      </c>
      <c r="T151" s="495"/>
      <c r="U151" s="494">
        <v>0</v>
      </c>
      <c r="V151" s="106">
        <f t="shared" ref="V151:V153" si="33">AVERAGE(K151,M151,O151,Q151,S151)</f>
        <v>1</v>
      </c>
    </row>
    <row r="152" spans="1:32" ht="16.8" x14ac:dyDescent="0.45">
      <c r="A152" s="432"/>
      <c r="B152" s="433">
        <f>SUM(B149:B151)</f>
        <v>8</v>
      </c>
      <c r="C152" s="150"/>
      <c r="D152" s="434"/>
      <c r="E152" s="434"/>
      <c r="F152" s="435">
        <f>SUM(F149:F151)</f>
        <v>20050</v>
      </c>
      <c r="G152" s="431"/>
      <c r="H152" s="436"/>
      <c r="I152" s="524" t="s">
        <v>30</v>
      </c>
      <c r="J152" s="103"/>
      <c r="K152" s="494">
        <v>2</v>
      </c>
      <c r="L152" s="495"/>
      <c r="M152" s="494">
        <v>2</v>
      </c>
      <c r="N152" s="495"/>
      <c r="O152" s="494">
        <v>2</v>
      </c>
      <c r="P152" s="495"/>
      <c r="Q152" s="494">
        <v>2</v>
      </c>
      <c r="R152" s="495"/>
      <c r="S152" s="494">
        <v>2</v>
      </c>
      <c r="T152" s="495"/>
      <c r="U152" s="494">
        <v>0</v>
      </c>
      <c r="V152" s="106">
        <f t="shared" si="33"/>
        <v>2</v>
      </c>
    </row>
    <row r="153" spans="1:32" ht="16.8" x14ac:dyDescent="0.45">
      <c r="A153" s="432"/>
      <c r="B153" s="434"/>
      <c r="C153" s="150"/>
      <c r="D153" s="437"/>
      <c r="E153" s="438" t="s">
        <v>7</v>
      </c>
      <c r="F153" s="435">
        <f>+S146</f>
        <v>1300</v>
      </c>
      <c r="G153" s="439"/>
      <c r="I153" s="524" t="s">
        <v>32</v>
      </c>
      <c r="J153" s="103"/>
      <c r="K153" s="494">
        <v>5</v>
      </c>
      <c r="L153" s="495"/>
      <c r="M153" s="494">
        <v>5</v>
      </c>
      <c r="N153" s="495"/>
      <c r="O153" s="494">
        <v>5</v>
      </c>
      <c r="P153" s="495"/>
      <c r="Q153" s="494">
        <v>5</v>
      </c>
      <c r="R153" s="495"/>
      <c r="S153" s="494">
        <v>5</v>
      </c>
      <c r="T153" s="495"/>
      <c r="U153" s="494">
        <v>0</v>
      </c>
      <c r="V153" s="106">
        <f t="shared" si="33"/>
        <v>5</v>
      </c>
    </row>
    <row r="154" spans="1:32" ht="19.8" thickBot="1" x14ac:dyDescent="0.5">
      <c r="A154" s="432"/>
      <c r="B154" s="434"/>
      <c r="C154" s="150"/>
      <c r="D154" s="434"/>
      <c r="E154" s="438" t="s">
        <v>213</v>
      </c>
      <c r="F154" s="435">
        <f>U146</f>
        <v>550</v>
      </c>
      <c r="G154" s="439"/>
      <c r="I154" s="526"/>
      <c r="J154" s="527"/>
      <c r="K154" s="528">
        <f>SUM(K150:K153)</f>
        <v>8</v>
      </c>
      <c r="L154" s="528"/>
      <c r="M154" s="528">
        <f t="shared" ref="M154" si="34">SUM(M150:M153)</f>
        <v>8</v>
      </c>
      <c r="N154" s="528"/>
      <c r="O154" s="528">
        <f t="shared" ref="O154" si="35">SUM(O150:O153)</f>
        <v>8</v>
      </c>
      <c r="P154" s="528"/>
      <c r="Q154" s="528">
        <f t="shared" ref="Q154" si="36">SUM(Q150:Q153)</f>
        <v>8</v>
      </c>
      <c r="R154" s="528"/>
      <c r="S154" s="528">
        <f t="shared" ref="S154" si="37">SUM(S150:S153)</f>
        <v>8</v>
      </c>
      <c r="T154" s="528"/>
      <c r="U154" s="528">
        <f t="shared" ref="U154" si="38">SUM(U150:U153)</f>
        <v>0</v>
      </c>
      <c r="V154" s="559">
        <f>AVERAGE(K154,M154,O154,Q154,S154)</f>
        <v>8</v>
      </c>
    </row>
    <row r="155" spans="1:32" ht="22.5" customHeight="1" x14ac:dyDescent="0.45">
      <c r="A155" s="432"/>
      <c r="B155" s="434"/>
      <c r="C155" s="150"/>
      <c r="D155" s="434"/>
      <c r="E155" s="438"/>
      <c r="F155" s="440"/>
      <c r="G155" s="439"/>
      <c r="I155" s="390"/>
    </row>
    <row r="156" spans="1:32" ht="16.2" x14ac:dyDescent="0.4">
      <c r="A156" s="432"/>
      <c r="B156" s="434"/>
      <c r="C156" s="150"/>
      <c r="D156" s="434"/>
      <c r="E156" s="434"/>
      <c r="F156" s="441">
        <f>SUM(F152:F155)</f>
        <v>21900</v>
      </c>
      <c r="G156" s="431"/>
      <c r="I156" s="390"/>
    </row>
    <row r="157" spans="1:32" ht="16.8" thickBot="1" x14ac:dyDescent="0.45">
      <c r="A157" s="442"/>
      <c r="B157" s="443"/>
      <c r="C157" s="444"/>
      <c r="D157" s="445"/>
      <c r="E157" s="445"/>
      <c r="F157" s="445"/>
      <c r="G157" s="446"/>
      <c r="I157" s="390"/>
    </row>
    <row r="158" spans="1:32" ht="15" thickBot="1" x14ac:dyDescent="0.35">
      <c r="A158" s="397"/>
    </row>
    <row r="159" spans="1:32" ht="37.5" customHeight="1" x14ac:dyDescent="0.4">
      <c r="B159" s="861" t="str">
        <f>+B1</f>
        <v>SEMANA DEL 23 AL 29 DE JUNIO DEL 2025</v>
      </c>
      <c r="C159" s="862"/>
      <c r="D159" s="862"/>
      <c r="E159" s="862"/>
      <c r="F159" s="862"/>
      <c r="G159" s="862"/>
      <c r="H159" s="862"/>
      <c r="I159" s="862"/>
      <c r="J159" s="862"/>
      <c r="K159" s="862"/>
      <c r="L159" s="862"/>
      <c r="M159" s="862"/>
      <c r="N159" s="862"/>
      <c r="O159" s="862"/>
      <c r="P159" s="862"/>
      <c r="Q159" s="863"/>
    </row>
    <row r="160" spans="1:32" ht="26.25" customHeight="1" x14ac:dyDescent="0.4">
      <c r="B160" s="881" t="s">
        <v>44</v>
      </c>
      <c r="C160" s="882"/>
      <c r="D160" s="882"/>
      <c r="E160" s="882"/>
      <c r="F160" s="882"/>
      <c r="G160" s="882"/>
      <c r="H160" s="882"/>
      <c r="I160" s="882"/>
      <c r="J160" s="882"/>
      <c r="K160" s="882"/>
      <c r="L160" s="882"/>
      <c r="M160" s="882"/>
      <c r="N160" s="882"/>
      <c r="O160" s="882"/>
      <c r="P160" s="882"/>
      <c r="Q160" s="883"/>
    </row>
    <row r="161" spans="1:50" ht="25.5" customHeight="1" thickBot="1" x14ac:dyDescent="0.35">
      <c r="B161" s="884" t="s">
        <v>194</v>
      </c>
      <c r="C161" s="885"/>
      <c r="D161" s="885"/>
      <c r="E161" s="885"/>
      <c r="F161" s="885"/>
      <c r="G161" s="885"/>
      <c r="H161" s="885"/>
      <c r="I161" s="885"/>
      <c r="J161" s="885"/>
      <c r="K161" s="885"/>
      <c r="L161" s="885"/>
      <c r="M161" s="885"/>
      <c r="N161" s="885"/>
      <c r="O161" s="885"/>
      <c r="P161" s="885"/>
      <c r="Q161" s="886"/>
    </row>
    <row r="162" spans="1:50" ht="18" customHeight="1" x14ac:dyDescent="0.3">
      <c r="B162" s="689" t="s">
        <v>184</v>
      </c>
      <c r="C162" s="690"/>
      <c r="D162" s="650"/>
      <c r="E162" s="690"/>
      <c r="F162" s="690"/>
      <c r="G162" s="690"/>
      <c r="H162" s="690"/>
      <c r="I162" s="690"/>
      <c r="J162" s="690"/>
      <c r="K162" s="690"/>
      <c r="L162" s="690"/>
      <c r="M162" s="690"/>
      <c r="N162" s="690"/>
      <c r="O162" s="690"/>
      <c r="P162" s="690"/>
      <c r="Q162" s="691"/>
      <c r="R162" s="873" t="s">
        <v>200</v>
      </c>
      <c r="S162" s="857" t="s">
        <v>225</v>
      </c>
      <c r="T162" s="857" t="s">
        <v>202</v>
      </c>
      <c r="U162" s="857" t="s">
        <v>226</v>
      </c>
      <c r="V162" s="857" t="s">
        <v>223</v>
      </c>
      <c r="W162" s="857" t="s">
        <v>210</v>
      </c>
      <c r="X162" s="859" t="s">
        <v>203</v>
      </c>
    </row>
    <row r="163" spans="1:50" ht="15" customHeight="1" x14ac:dyDescent="0.3">
      <c r="A163" s="475">
        <v>1</v>
      </c>
      <c r="B163" s="476" t="s">
        <v>185</v>
      </c>
      <c r="C163" s="477" t="s">
        <v>135</v>
      </c>
      <c r="D163" s="477" t="s">
        <v>136</v>
      </c>
      <c r="E163" s="478" t="s">
        <v>8</v>
      </c>
      <c r="F163" s="478"/>
      <c r="G163" s="478" t="s">
        <v>9</v>
      </c>
      <c r="H163" s="478"/>
      <c r="I163" s="478" t="s">
        <v>9</v>
      </c>
      <c r="J163" s="478"/>
      <c r="K163" s="478" t="s">
        <v>10</v>
      </c>
      <c r="L163" s="478"/>
      <c r="M163" s="478" t="s">
        <v>11</v>
      </c>
      <c r="N163" s="478"/>
      <c r="O163" s="478" t="s">
        <v>12</v>
      </c>
      <c r="P163" s="478"/>
      <c r="Q163" s="481" t="s">
        <v>186</v>
      </c>
      <c r="R163" s="874"/>
      <c r="S163" s="858"/>
      <c r="T163" s="858"/>
      <c r="U163" s="858"/>
      <c r="V163" s="858"/>
      <c r="W163" s="858"/>
      <c r="X163" s="860"/>
      <c r="Y163" s="535"/>
      <c r="Z163" s="390"/>
      <c r="AA163" s="390"/>
      <c r="AB163" s="390"/>
      <c r="AC163" s="390"/>
      <c r="AD163" s="390"/>
      <c r="AE163" s="390"/>
      <c r="AF163" s="390"/>
    </row>
    <row r="164" spans="1:50" x14ac:dyDescent="0.3">
      <c r="B164" s="484">
        <v>239</v>
      </c>
      <c r="C164" s="392" t="s">
        <v>268</v>
      </c>
      <c r="D164" s="659" t="s">
        <v>220</v>
      </c>
      <c r="E164" s="354">
        <v>1</v>
      </c>
      <c r="F164" s="401"/>
      <c r="G164" s="354">
        <v>1</v>
      </c>
      <c r="H164" s="354"/>
      <c r="I164" s="354">
        <v>1</v>
      </c>
      <c r="J164" s="401"/>
      <c r="K164" s="395">
        <v>1</v>
      </c>
      <c r="L164" s="354"/>
      <c r="M164" s="354">
        <v>1</v>
      </c>
      <c r="N164" s="401"/>
      <c r="O164" s="354">
        <v>1</v>
      </c>
      <c r="P164" s="354"/>
      <c r="Q164" s="579">
        <v>1</v>
      </c>
      <c r="R164" s="556">
        <v>1950</v>
      </c>
      <c r="S164" s="538">
        <v>200</v>
      </c>
      <c r="T164" s="391"/>
      <c r="U164" s="391"/>
      <c r="V164" s="391"/>
      <c r="W164" s="391">
        <v>1392.85</v>
      </c>
      <c r="X164" s="491">
        <f t="shared" ref="X164:X170" si="39">(R164+S164+T164+U164+V164+W164)</f>
        <v>3542.85</v>
      </c>
    </row>
    <row r="165" spans="1:50" x14ac:dyDescent="0.3">
      <c r="A165" s="287">
        <v>3</v>
      </c>
      <c r="B165" s="484">
        <v>63</v>
      </c>
      <c r="C165" s="392" t="s">
        <v>45</v>
      </c>
      <c r="D165" s="660" t="s">
        <v>140</v>
      </c>
      <c r="E165" s="354">
        <v>1</v>
      </c>
      <c r="F165" s="401"/>
      <c r="G165" s="354">
        <v>1</v>
      </c>
      <c r="H165" s="354"/>
      <c r="I165" s="354">
        <v>1</v>
      </c>
      <c r="J165" s="401"/>
      <c r="K165" s="395">
        <v>1</v>
      </c>
      <c r="L165" s="354"/>
      <c r="M165" s="354">
        <v>1</v>
      </c>
      <c r="N165" s="401"/>
      <c r="O165" s="354">
        <v>1</v>
      </c>
      <c r="P165" s="354"/>
      <c r="Q165" s="579"/>
      <c r="R165" s="454">
        <v>8200</v>
      </c>
      <c r="S165" s="393"/>
      <c r="T165" s="393"/>
      <c r="U165" s="393"/>
      <c r="V165" s="118"/>
      <c r="W165" s="393">
        <v>1863.37</v>
      </c>
      <c r="X165" s="491">
        <f t="shared" si="39"/>
        <v>10063.369999999999</v>
      </c>
    </row>
    <row r="166" spans="1:50" x14ac:dyDescent="0.3">
      <c r="A166" s="588">
        <f>A139+1</f>
        <v>5</v>
      </c>
      <c r="B166" s="483">
        <v>73</v>
      </c>
      <c r="C166" s="392" t="s">
        <v>102</v>
      </c>
      <c r="D166" s="640" t="s">
        <v>275</v>
      </c>
      <c r="E166" s="354">
        <v>1</v>
      </c>
      <c r="F166" s="401"/>
      <c r="G166" s="354">
        <v>1</v>
      </c>
      <c r="H166" s="354"/>
      <c r="I166" s="354">
        <v>1</v>
      </c>
      <c r="J166" s="401"/>
      <c r="K166" s="395">
        <v>1</v>
      </c>
      <c r="L166" s="354"/>
      <c r="M166" s="354">
        <v>1</v>
      </c>
      <c r="N166" s="401"/>
      <c r="O166" s="354">
        <v>1</v>
      </c>
      <c r="P166" s="354"/>
      <c r="Q166" s="579">
        <v>1</v>
      </c>
      <c r="R166" s="466">
        <v>2300</v>
      </c>
      <c r="S166" s="393"/>
      <c r="T166" s="393"/>
      <c r="U166" s="393">
        <v>150</v>
      </c>
      <c r="V166" s="393"/>
      <c r="W166" s="391">
        <v>657.14</v>
      </c>
      <c r="X166" s="505">
        <f t="shared" si="39"/>
        <v>3107.14</v>
      </c>
      <c r="AT166" s="398"/>
      <c r="AU166" s="398"/>
      <c r="AV166" s="398"/>
      <c r="AW166" s="398"/>
      <c r="AX166" s="398"/>
    </row>
    <row r="167" spans="1:50" x14ac:dyDescent="0.3">
      <c r="A167" s="588"/>
      <c r="B167" s="483">
        <v>230</v>
      </c>
      <c r="C167" s="392" t="s">
        <v>240</v>
      </c>
      <c r="D167" s="657" t="s">
        <v>243</v>
      </c>
      <c r="E167" s="354">
        <v>1</v>
      </c>
      <c r="F167" s="401"/>
      <c r="G167" s="354">
        <v>1</v>
      </c>
      <c r="H167" s="354"/>
      <c r="I167" s="354">
        <v>1</v>
      </c>
      <c r="J167" s="401"/>
      <c r="K167" s="395">
        <v>1</v>
      </c>
      <c r="L167" s="354"/>
      <c r="M167" s="354">
        <v>1</v>
      </c>
      <c r="N167" s="401"/>
      <c r="O167" s="354">
        <v>1</v>
      </c>
      <c r="P167" s="354"/>
      <c r="Q167" s="579">
        <v>1</v>
      </c>
      <c r="R167" s="567">
        <v>1950</v>
      </c>
      <c r="S167" s="538">
        <v>200</v>
      </c>
      <c r="T167" s="393"/>
      <c r="U167" s="393"/>
      <c r="V167" s="393"/>
      <c r="W167" s="391">
        <v>835.71</v>
      </c>
      <c r="X167" s="505">
        <f t="shared" si="39"/>
        <v>2985.71</v>
      </c>
      <c r="AT167" s="398"/>
      <c r="AU167" s="398"/>
      <c r="AV167" s="398"/>
      <c r="AW167" s="398"/>
      <c r="AX167" s="398"/>
    </row>
    <row r="168" spans="1:50" x14ac:dyDescent="0.3">
      <c r="A168" s="588"/>
      <c r="B168" s="484">
        <v>241</v>
      </c>
      <c r="C168" s="392" t="s">
        <v>242</v>
      </c>
      <c r="D168" s="641" t="s">
        <v>220</v>
      </c>
      <c r="E168" s="354">
        <v>1</v>
      </c>
      <c r="F168" s="574"/>
      <c r="G168" s="354">
        <v>1</v>
      </c>
      <c r="H168" s="574"/>
      <c r="I168" s="354">
        <v>1</v>
      </c>
      <c r="J168" s="401"/>
      <c r="K168" s="395">
        <v>1</v>
      </c>
      <c r="L168" s="401"/>
      <c r="M168" s="354">
        <v>1</v>
      </c>
      <c r="N168" s="401"/>
      <c r="O168" s="354">
        <v>1</v>
      </c>
      <c r="P168" s="354"/>
      <c r="Q168" s="579"/>
      <c r="R168" s="567">
        <v>1950</v>
      </c>
      <c r="S168" s="538">
        <v>200</v>
      </c>
      <c r="T168" s="391"/>
      <c r="U168" s="391"/>
      <c r="V168" s="391"/>
      <c r="W168" s="391"/>
      <c r="X168" s="505">
        <f t="shared" si="39"/>
        <v>2150</v>
      </c>
      <c r="AT168" s="398"/>
      <c r="AU168" s="398"/>
      <c r="AV168" s="398"/>
      <c r="AW168" s="398"/>
      <c r="AX168" s="398"/>
    </row>
    <row r="169" spans="1:50" x14ac:dyDescent="0.3">
      <c r="A169" s="688"/>
      <c r="B169" s="484">
        <v>226</v>
      </c>
      <c r="C169" s="392" t="s">
        <v>237</v>
      </c>
      <c r="D169" s="660" t="s">
        <v>244</v>
      </c>
      <c r="E169" s="354">
        <v>1</v>
      </c>
      <c r="F169" s="401"/>
      <c r="G169" s="354">
        <v>1</v>
      </c>
      <c r="H169" s="354"/>
      <c r="I169" s="354">
        <v>1</v>
      </c>
      <c r="J169" s="401"/>
      <c r="K169" s="395">
        <v>1</v>
      </c>
      <c r="L169" s="401"/>
      <c r="M169" s="354">
        <v>1</v>
      </c>
      <c r="N169" s="401"/>
      <c r="O169" s="354">
        <v>1</v>
      </c>
      <c r="P169" s="354"/>
      <c r="Q169" s="579"/>
      <c r="R169" s="454">
        <v>2350</v>
      </c>
      <c r="S169" s="393"/>
      <c r="T169" s="393"/>
      <c r="U169" s="393"/>
      <c r="V169" s="393"/>
      <c r="W169" s="391"/>
      <c r="X169" s="491">
        <f t="shared" si="39"/>
        <v>2350</v>
      </c>
      <c r="AT169" s="398"/>
      <c r="AU169" s="398"/>
      <c r="AV169" s="398"/>
      <c r="AW169" s="398"/>
      <c r="AX169" s="398"/>
    </row>
    <row r="170" spans="1:50" ht="15" thickBot="1" x14ac:dyDescent="0.35">
      <c r="A170" s="622">
        <v>107</v>
      </c>
      <c r="B170" s="485">
        <v>262</v>
      </c>
      <c r="C170" s="462" t="s">
        <v>285</v>
      </c>
      <c r="D170" s="693" t="s">
        <v>286</v>
      </c>
      <c r="E170" s="463">
        <v>1</v>
      </c>
      <c r="F170" s="531"/>
      <c r="G170" s="463">
        <v>1</v>
      </c>
      <c r="H170" s="463"/>
      <c r="I170" s="463">
        <v>1</v>
      </c>
      <c r="J170" s="531"/>
      <c r="K170" s="635">
        <v>1</v>
      </c>
      <c r="L170" s="531"/>
      <c r="M170" s="463">
        <v>1</v>
      </c>
      <c r="N170" s="531"/>
      <c r="O170" s="463">
        <v>1</v>
      </c>
      <c r="P170" s="463"/>
      <c r="Q170" s="482"/>
      <c r="R170" s="637">
        <v>1950</v>
      </c>
      <c r="S170" s="451">
        <v>200</v>
      </c>
      <c r="T170" s="451"/>
      <c r="U170" s="451"/>
      <c r="V170" s="451"/>
      <c r="W170" s="554"/>
      <c r="X170" s="512">
        <f t="shared" si="39"/>
        <v>2150</v>
      </c>
    </row>
    <row r="171" spans="1:50" s="407" customFormat="1" x14ac:dyDescent="0.3">
      <c r="A171" s="402"/>
      <c r="B171" s="403"/>
      <c r="C171" s="404"/>
      <c r="D171" s="647"/>
      <c r="E171" s="405">
        <f>SUM(E164:E170)</f>
        <v>7</v>
      </c>
      <c r="F171" s="405"/>
      <c r="G171" s="405">
        <f>SUM(G164:G170)</f>
        <v>7</v>
      </c>
      <c r="H171" s="405"/>
      <c r="I171" s="405">
        <f>SUM(I164:I170)</f>
        <v>7</v>
      </c>
      <c r="J171" s="405"/>
      <c r="K171" s="405">
        <f>SUM(K164:K170)</f>
        <v>7</v>
      </c>
      <c r="L171" s="405"/>
      <c r="M171" s="405">
        <f>SUM(M164:M170)</f>
        <v>7</v>
      </c>
      <c r="N171" s="405"/>
      <c r="O171" s="405">
        <f>SUM(O164:O170)</f>
        <v>7</v>
      </c>
      <c r="P171" s="405"/>
      <c r="Q171" s="405"/>
      <c r="R171" s="402"/>
      <c r="S171" s="402">
        <f>SUM(S164:S170)</f>
        <v>800</v>
      </c>
      <c r="T171" s="402">
        <f t="shared" ref="T171:V171" si="40">SUM(T164:T170)</f>
        <v>0</v>
      </c>
      <c r="U171" s="402">
        <f>SUM(U164:U170)</f>
        <v>150</v>
      </c>
      <c r="V171" s="402">
        <f t="shared" si="40"/>
        <v>0</v>
      </c>
      <c r="W171" s="402">
        <f>SUM(W164:W170)</f>
        <v>4749.07</v>
      </c>
      <c r="X171" s="506">
        <f>SUM(X164:X170)</f>
        <v>26349.07</v>
      </c>
      <c r="Y171" s="583"/>
    </row>
    <row r="172" spans="1:50" s="410" customFormat="1" ht="15" thickBot="1" x14ac:dyDescent="0.35">
      <c r="A172"/>
      <c r="B172"/>
      <c r="C172"/>
      <c r="D172" s="390"/>
      <c r="E172" s="458"/>
      <c r="F172" s="458"/>
      <c r="G172" s="458"/>
      <c r="H172" s="458"/>
      <c r="I172" s="458"/>
      <c r="J172" s="458"/>
      <c r="K172" s="458"/>
      <c r="L172" s="458"/>
      <c r="M172" s="458"/>
      <c r="N172" s="458"/>
      <c r="O172" s="458"/>
      <c r="P172" s="458"/>
      <c r="Q172"/>
      <c r="R172"/>
      <c r="S172"/>
      <c r="T172"/>
      <c r="U172"/>
      <c r="V172"/>
      <c r="W172"/>
      <c r="X172" s="448">
        <f>F184-X171</f>
        <v>0</v>
      </c>
      <c r="Y172" s="532"/>
      <c r="Z172"/>
      <c r="AA172"/>
      <c r="AB172"/>
      <c r="AC172"/>
      <c r="AD172"/>
      <c r="AE172"/>
      <c r="AF172"/>
    </row>
    <row r="173" spans="1:50" ht="17.399999999999999" thickBot="1" x14ac:dyDescent="0.5">
      <c r="A173" s="421"/>
      <c r="B173" s="422"/>
      <c r="C173" s="422"/>
      <c r="D173" s="423" t="s">
        <v>14</v>
      </c>
      <c r="E173" s="423" t="s">
        <v>206</v>
      </c>
      <c r="F173" s="423" t="s">
        <v>17</v>
      </c>
      <c r="G173" s="424"/>
      <c r="I173" s="8"/>
      <c r="J173" s="91"/>
      <c r="K173" s="42" t="s">
        <v>8</v>
      </c>
      <c r="L173" s="42"/>
      <c r="M173" s="42" t="s">
        <v>9</v>
      </c>
      <c r="N173" s="42"/>
      <c r="O173" s="42" t="s">
        <v>9</v>
      </c>
      <c r="P173" s="42"/>
      <c r="Q173" s="42" t="s">
        <v>10</v>
      </c>
      <c r="R173" s="42"/>
      <c r="S173" s="42" t="s">
        <v>11</v>
      </c>
      <c r="T173" s="42"/>
      <c r="U173" s="42" t="s">
        <v>12</v>
      </c>
      <c r="V173" s="42"/>
    </row>
    <row r="174" spans="1:50" ht="16.2" x14ac:dyDescent="0.4">
      <c r="A174" s="426"/>
      <c r="B174" s="159">
        <v>4</v>
      </c>
      <c r="C174" s="427" t="s">
        <v>32</v>
      </c>
      <c r="D174" s="150">
        <f>1950*B174</f>
        <v>7800</v>
      </c>
      <c r="E174" s="150">
        <v>0</v>
      </c>
      <c r="F174" s="427">
        <f>D174</f>
        <v>7800</v>
      </c>
      <c r="G174" s="428"/>
      <c r="I174" s="492"/>
      <c r="J174" s="96"/>
      <c r="K174" s="493"/>
      <c r="L174" s="493"/>
      <c r="M174" s="493"/>
      <c r="N174" s="493"/>
      <c r="O174" s="493"/>
      <c r="P174" s="493"/>
      <c r="Q174" s="493"/>
      <c r="R174" s="493"/>
      <c r="S174" s="493"/>
      <c r="T174" s="493"/>
      <c r="U174" s="493"/>
      <c r="V174" s="98" t="s">
        <v>28</v>
      </c>
    </row>
    <row r="175" spans="1:50" ht="16.2" x14ac:dyDescent="0.4">
      <c r="A175" s="426"/>
      <c r="B175" s="159">
        <v>1</v>
      </c>
      <c r="C175" s="427" t="s">
        <v>22</v>
      </c>
      <c r="D175" s="150">
        <v>2300</v>
      </c>
      <c r="E175" s="150">
        <v>0</v>
      </c>
      <c r="F175" s="427">
        <f>D175</f>
        <v>2300</v>
      </c>
      <c r="G175" s="428"/>
      <c r="I175" s="524" t="s">
        <v>29</v>
      </c>
      <c r="J175" s="103"/>
      <c r="K175" s="494">
        <v>0</v>
      </c>
      <c r="L175" s="495"/>
      <c r="M175" s="494">
        <v>0</v>
      </c>
      <c r="N175" s="495"/>
      <c r="O175" s="494">
        <v>0</v>
      </c>
      <c r="P175" s="495"/>
      <c r="Q175" s="494">
        <v>0</v>
      </c>
      <c r="R175" s="495"/>
      <c r="S175" s="494">
        <v>0</v>
      </c>
      <c r="T175" s="495"/>
      <c r="U175" s="494">
        <v>0</v>
      </c>
      <c r="V175" s="106">
        <f>AVERAGE(K175,M175,O175,Q175,S175,U175)</f>
        <v>0</v>
      </c>
    </row>
    <row r="176" spans="1:50" ht="16.8" x14ac:dyDescent="0.4">
      <c r="A176" s="426"/>
      <c r="B176" s="159">
        <v>0</v>
      </c>
      <c r="C176" s="427" t="s">
        <v>209</v>
      </c>
      <c r="D176" s="150">
        <v>0</v>
      </c>
      <c r="E176" s="150">
        <v>0</v>
      </c>
      <c r="F176" s="427">
        <v>0</v>
      </c>
      <c r="G176" s="428"/>
      <c r="I176" s="524" t="s">
        <v>22</v>
      </c>
      <c r="J176" s="103"/>
      <c r="K176" s="494">
        <v>1</v>
      </c>
      <c r="L176" s="495"/>
      <c r="M176" s="494">
        <v>1</v>
      </c>
      <c r="N176" s="495"/>
      <c r="O176" s="494">
        <v>1</v>
      </c>
      <c r="P176" s="495"/>
      <c r="Q176" s="494">
        <v>1</v>
      </c>
      <c r="R176" s="495"/>
      <c r="S176" s="494">
        <v>1</v>
      </c>
      <c r="T176" s="495"/>
      <c r="U176" s="494">
        <v>1</v>
      </c>
      <c r="V176" s="106">
        <f t="shared" ref="V176:V178" si="41">AVERAGE(K176,M176,O176,Q176,S176,U176)</f>
        <v>1</v>
      </c>
    </row>
    <row r="177" spans="1:24" ht="16.8" x14ac:dyDescent="0.4">
      <c r="A177" s="426"/>
      <c r="B177" s="159">
        <v>2</v>
      </c>
      <c r="C177" s="427" t="s">
        <v>30</v>
      </c>
      <c r="D177" s="150">
        <f>8200+2350</f>
        <v>10550</v>
      </c>
      <c r="E177" s="150">
        <v>0</v>
      </c>
      <c r="F177" s="427">
        <f>+D177</f>
        <v>10550</v>
      </c>
      <c r="G177" s="428"/>
      <c r="I177" s="524" t="s">
        <v>30</v>
      </c>
      <c r="J177" s="103"/>
      <c r="K177" s="494">
        <v>2</v>
      </c>
      <c r="L177" s="495"/>
      <c r="M177" s="494">
        <v>2</v>
      </c>
      <c r="N177" s="495"/>
      <c r="O177" s="494">
        <v>2</v>
      </c>
      <c r="P177" s="495"/>
      <c r="Q177" s="494">
        <v>2</v>
      </c>
      <c r="R177" s="495"/>
      <c r="S177" s="494">
        <v>2</v>
      </c>
      <c r="T177" s="495"/>
      <c r="U177" s="494">
        <v>2</v>
      </c>
      <c r="V177" s="106">
        <f t="shared" si="41"/>
        <v>2</v>
      </c>
    </row>
    <row r="178" spans="1:24" ht="16.8" x14ac:dyDescent="0.45">
      <c r="A178" s="432"/>
      <c r="B178" s="433">
        <f>SUM(B174:B177)</f>
        <v>7</v>
      </c>
      <c r="C178" s="150"/>
      <c r="D178" s="434"/>
      <c r="E178" s="434"/>
      <c r="F178" s="435">
        <f>SUM(F174:F177)</f>
        <v>20650</v>
      </c>
      <c r="G178" s="431"/>
      <c r="I178" s="524" t="s">
        <v>32</v>
      </c>
      <c r="J178" s="103"/>
      <c r="K178" s="494">
        <v>4</v>
      </c>
      <c r="L178" s="495"/>
      <c r="M178" s="494">
        <v>4</v>
      </c>
      <c r="N178" s="495"/>
      <c r="O178" s="494">
        <v>4</v>
      </c>
      <c r="P178" s="495"/>
      <c r="Q178" s="494">
        <v>4</v>
      </c>
      <c r="R178" s="495"/>
      <c r="S178" s="494">
        <v>4</v>
      </c>
      <c r="T178" s="495"/>
      <c r="U178" s="494">
        <v>4</v>
      </c>
      <c r="V178" s="106">
        <f t="shared" si="41"/>
        <v>4</v>
      </c>
    </row>
    <row r="179" spans="1:24" ht="19.8" thickBot="1" x14ac:dyDescent="0.5">
      <c r="A179" s="432"/>
      <c r="B179" s="434"/>
      <c r="C179" s="150"/>
      <c r="D179" s="437"/>
      <c r="E179" s="438" t="s">
        <v>7</v>
      </c>
      <c r="F179" s="435">
        <f>S171</f>
        <v>800</v>
      </c>
      <c r="G179" s="439"/>
      <c r="I179" s="526"/>
      <c r="J179" s="527"/>
      <c r="K179" s="528">
        <f>SUM(K175:K178)</f>
        <v>7</v>
      </c>
      <c r="L179" s="528"/>
      <c r="M179" s="528">
        <f t="shared" ref="M179" si="42">SUM(M175:M178)</f>
        <v>7</v>
      </c>
      <c r="N179" s="528"/>
      <c r="O179" s="528">
        <f t="shared" ref="O179" si="43">SUM(O175:O178)</f>
        <v>7</v>
      </c>
      <c r="P179" s="528"/>
      <c r="Q179" s="528">
        <f t="shared" ref="Q179" si="44">SUM(Q175:Q178)</f>
        <v>7</v>
      </c>
      <c r="R179" s="528"/>
      <c r="S179" s="528">
        <f t="shared" ref="S179" si="45">SUM(S175:S178)</f>
        <v>7</v>
      </c>
      <c r="T179" s="528"/>
      <c r="U179" s="528">
        <f t="shared" ref="U179" si="46">SUM(U175:U178)</f>
        <v>7</v>
      </c>
      <c r="V179" s="559">
        <f>AVERAGE(K179,M179,O179,Q179,S179,U179)</f>
        <v>7</v>
      </c>
    </row>
    <row r="180" spans="1:24" ht="16.8" x14ac:dyDescent="0.45">
      <c r="A180" s="432"/>
      <c r="B180" s="434"/>
      <c r="C180" s="150"/>
      <c r="D180" s="434"/>
      <c r="E180" s="438" t="s">
        <v>213</v>
      </c>
      <c r="F180" s="435">
        <f>U171</f>
        <v>150</v>
      </c>
      <c r="G180" s="439"/>
      <c r="I180" s="390"/>
      <c r="S180" s="410"/>
      <c r="T180" s="410"/>
      <c r="U180" s="410"/>
    </row>
    <row r="181" spans="1:24" ht="16.8" x14ac:dyDescent="0.45">
      <c r="A181" s="432"/>
      <c r="B181" s="434"/>
      <c r="C181" s="150"/>
      <c r="D181" s="434"/>
      <c r="E181" s="438" t="s">
        <v>277</v>
      </c>
      <c r="F181" s="435">
        <f>W164+W166+W167</f>
        <v>2885.7</v>
      </c>
      <c r="G181" s="439"/>
      <c r="I181" s="390"/>
      <c r="S181" s="410"/>
      <c r="T181" s="410"/>
      <c r="U181" s="410"/>
    </row>
    <row r="182" spans="1:24" ht="16.8" x14ac:dyDescent="0.45">
      <c r="A182" s="432"/>
      <c r="B182" s="434"/>
      <c r="C182" s="150"/>
      <c r="D182" s="434"/>
      <c r="E182" s="438" t="s">
        <v>538</v>
      </c>
      <c r="F182" s="435">
        <f>W165</f>
        <v>1863.37</v>
      </c>
      <c r="G182" s="439"/>
      <c r="I182" s="390"/>
      <c r="S182" s="410"/>
      <c r="T182" s="410"/>
      <c r="U182" s="410"/>
    </row>
    <row r="183" spans="1:24" ht="16.8" x14ac:dyDescent="0.45">
      <c r="A183" s="432"/>
      <c r="B183" s="434"/>
      <c r="C183" s="150"/>
      <c r="D183" s="434"/>
      <c r="E183" s="438"/>
      <c r="F183" s="435"/>
      <c r="G183" s="439"/>
      <c r="I183" s="390"/>
      <c r="S183" s="410"/>
      <c r="T183" s="410"/>
      <c r="U183" s="410"/>
    </row>
    <row r="184" spans="1:24" ht="16.2" x14ac:dyDescent="0.4">
      <c r="A184" s="432"/>
      <c r="B184" s="434"/>
      <c r="C184" s="150"/>
      <c r="D184" s="434"/>
      <c r="E184" s="434"/>
      <c r="F184" s="441">
        <f>SUM(F178:F183)</f>
        <v>26349.07</v>
      </c>
      <c r="G184" s="431"/>
      <c r="S184" s="410"/>
      <c r="T184" s="410"/>
      <c r="U184" s="410"/>
    </row>
    <row r="185" spans="1:24" ht="16.8" thickBot="1" x14ac:dyDescent="0.45">
      <c r="A185" s="442"/>
      <c r="B185" s="443"/>
      <c r="C185" s="444"/>
      <c r="D185" s="445"/>
      <c r="E185" s="445"/>
      <c r="F185" s="445"/>
      <c r="G185" s="446"/>
      <c r="S185" s="410"/>
      <c r="T185" s="410"/>
      <c r="U185" s="410"/>
    </row>
    <row r="186" spans="1:24" ht="16.2" x14ac:dyDescent="0.4">
      <c r="A186" s="68"/>
      <c r="B186" s="434"/>
      <c r="C186" s="427"/>
      <c r="D186" s="150"/>
      <c r="E186" s="150"/>
      <c r="F186" s="150"/>
      <c r="G186" s="68"/>
      <c r="S186" s="410"/>
      <c r="T186" s="410"/>
      <c r="U186" s="410"/>
    </row>
    <row r="187" spans="1:24" ht="16.8" thickBot="1" x14ac:dyDescent="0.45">
      <c r="A187" s="68"/>
      <c r="B187" s="434"/>
      <c r="C187" s="427"/>
      <c r="D187" s="150"/>
      <c r="E187" s="150"/>
      <c r="F187" s="150"/>
      <c r="G187" s="68"/>
      <c r="S187" s="410"/>
      <c r="T187" s="410"/>
      <c r="U187" s="410"/>
    </row>
    <row r="188" spans="1:24" ht="26.25" customHeight="1" x14ac:dyDescent="0.4">
      <c r="A188" s="861" t="str">
        <f>+B159</f>
        <v>SEMANA DEL 23 AL 29 DE JUNIO DEL 2025</v>
      </c>
      <c r="B188" s="862"/>
      <c r="C188" s="862"/>
      <c r="D188" s="862"/>
      <c r="E188" s="862"/>
      <c r="F188" s="862"/>
      <c r="G188" s="862"/>
      <c r="H188" s="862"/>
      <c r="I188" s="862"/>
      <c r="J188" s="862"/>
      <c r="K188" s="862"/>
      <c r="L188" s="862"/>
      <c r="M188" s="862"/>
      <c r="N188" s="862"/>
      <c r="O188" s="862"/>
      <c r="P188" s="862"/>
      <c r="Q188" s="863"/>
    </row>
    <row r="189" spans="1:24" ht="26.25" customHeight="1" x14ac:dyDescent="0.4">
      <c r="A189" s="881" t="s">
        <v>44</v>
      </c>
      <c r="B189" s="882"/>
      <c r="C189" s="882"/>
      <c r="D189" s="882"/>
      <c r="E189" s="882"/>
      <c r="F189" s="882"/>
      <c r="G189" s="882"/>
      <c r="H189" s="882"/>
      <c r="I189" s="882"/>
      <c r="J189" s="882"/>
      <c r="K189" s="882"/>
      <c r="L189" s="882"/>
      <c r="M189" s="882"/>
      <c r="N189" s="882"/>
      <c r="O189" s="882"/>
      <c r="P189" s="882"/>
      <c r="Q189" s="883"/>
    </row>
    <row r="190" spans="1:24" ht="15.75" customHeight="1" thickBot="1" x14ac:dyDescent="0.35">
      <c r="A190" s="884" t="s">
        <v>191</v>
      </c>
      <c r="B190" s="885"/>
      <c r="C190" s="885"/>
      <c r="D190" s="885"/>
      <c r="E190" s="885"/>
      <c r="F190" s="885"/>
      <c r="G190" s="885"/>
      <c r="H190" s="885"/>
      <c r="I190" s="885"/>
      <c r="J190" s="885"/>
      <c r="K190" s="885"/>
      <c r="L190" s="885"/>
      <c r="M190" s="885"/>
      <c r="N190" s="885"/>
      <c r="O190" s="885"/>
      <c r="P190" s="885"/>
      <c r="Q190" s="886"/>
    </row>
    <row r="191" spans="1:24" ht="14.4" customHeight="1" x14ac:dyDescent="0.3">
      <c r="A191" s="674" t="s">
        <v>184</v>
      </c>
      <c r="B191" s="675" t="s">
        <v>184</v>
      </c>
      <c r="C191" s="675"/>
      <c r="D191" s="650"/>
      <c r="E191" s="675"/>
      <c r="F191" s="675"/>
      <c r="G191" s="675"/>
      <c r="H191" s="675"/>
      <c r="I191" s="675"/>
      <c r="J191" s="675"/>
      <c r="K191" s="675"/>
      <c r="L191" s="675"/>
      <c r="M191" s="675"/>
      <c r="N191" s="675"/>
      <c r="O191" s="675"/>
      <c r="P191" s="675"/>
      <c r="Q191" s="676"/>
      <c r="R191" s="873" t="s">
        <v>200</v>
      </c>
      <c r="S191" s="857" t="s">
        <v>225</v>
      </c>
      <c r="T191" s="857" t="s">
        <v>202</v>
      </c>
      <c r="U191" s="857" t="s">
        <v>226</v>
      </c>
      <c r="V191" s="857" t="s">
        <v>223</v>
      </c>
      <c r="W191" s="857" t="s">
        <v>210</v>
      </c>
      <c r="X191" s="859" t="s">
        <v>203</v>
      </c>
    </row>
    <row r="192" spans="1:24" ht="22.95" customHeight="1" x14ac:dyDescent="0.3">
      <c r="A192" s="476" t="s">
        <v>185</v>
      </c>
      <c r="B192" s="477" t="s">
        <v>185</v>
      </c>
      <c r="C192" s="477" t="s">
        <v>135</v>
      </c>
      <c r="D192" s="477" t="s">
        <v>136</v>
      </c>
      <c r="E192" s="478" t="s">
        <v>8</v>
      </c>
      <c r="F192" s="478"/>
      <c r="G192" s="478" t="s">
        <v>9</v>
      </c>
      <c r="H192" s="478"/>
      <c r="I192" s="478" t="s">
        <v>9</v>
      </c>
      <c r="J192" s="478"/>
      <c r="K192" s="478" t="s">
        <v>10</v>
      </c>
      <c r="L192" s="478"/>
      <c r="M192" s="478" t="s">
        <v>11</v>
      </c>
      <c r="N192" s="478"/>
      <c r="O192" s="478" t="s">
        <v>12</v>
      </c>
      <c r="P192" s="478"/>
      <c r="Q192" s="481" t="s">
        <v>186</v>
      </c>
      <c r="R192" s="874"/>
      <c r="S192" s="858"/>
      <c r="T192" s="858"/>
      <c r="U192" s="858"/>
      <c r="V192" s="858"/>
      <c r="W192" s="858"/>
      <c r="X192" s="860"/>
    </row>
    <row r="193" spans="1:50" x14ac:dyDescent="0.3">
      <c r="A193" s="572"/>
      <c r="B193" s="571">
        <v>107</v>
      </c>
      <c r="C193" s="392" t="s">
        <v>103</v>
      </c>
      <c r="D193" s="660" t="s">
        <v>272</v>
      </c>
      <c r="E193" s="354">
        <v>1</v>
      </c>
      <c r="F193" s="574"/>
      <c r="G193" s="354">
        <v>1</v>
      </c>
      <c r="H193" s="574"/>
      <c r="I193" s="354">
        <v>1</v>
      </c>
      <c r="J193" s="401"/>
      <c r="K193" s="354">
        <v>1</v>
      </c>
      <c r="L193" s="401"/>
      <c r="M193" s="354">
        <v>1</v>
      </c>
      <c r="N193" s="354"/>
      <c r="O193" s="354">
        <v>1</v>
      </c>
      <c r="P193" s="401"/>
      <c r="Q193" s="579"/>
      <c r="R193" s="454">
        <v>3100</v>
      </c>
      <c r="S193" s="393"/>
      <c r="T193" s="393"/>
      <c r="U193" s="393">
        <v>200</v>
      </c>
      <c r="V193" s="393"/>
      <c r="W193" s="393"/>
      <c r="X193" s="491">
        <f>(R193+S193+T193+U193+V193+W193)</f>
        <v>3300</v>
      </c>
    </row>
    <row r="194" spans="1:50" x14ac:dyDescent="0.3">
      <c r="A194" s="572"/>
      <c r="B194" s="571">
        <v>271</v>
      </c>
      <c r="C194" s="392" t="s">
        <v>304</v>
      </c>
      <c r="D194" s="659" t="s">
        <v>220</v>
      </c>
      <c r="E194" s="354">
        <v>1</v>
      </c>
      <c r="F194" s="574"/>
      <c r="G194" s="354">
        <v>1</v>
      </c>
      <c r="H194" s="574"/>
      <c r="I194" s="354">
        <v>1</v>
      </c>
      <c r="J194" s="401"/>
      <c r="K194" s="354">
        <v>1</v>
      </c>
      <c r="L194" s="401"/>
      <c r="M194" s="354">
        <v>1</v>
      </c>
      <c r="N194" s="354"/>
      <c r="O194" s="354">
        <v>1</v>
      </c>
      <c r="P194" s="401"/>
      <c r="Q194" s="579"/>
      <c r="R194" s="556">
        <v>1950</v>
      </c>
      <c r="S194" s="393">
        <v>200</v>
      </c>
      <c r="T194" s="393"/>
      <c r="U194" s="393"/>
      <c r="V194" s="393"/>
      <c r="W194" s="393"/>
      <c r="X194" s="491">
        <f>(R194+S194+T194+U194+V194+W194)</f>
        <v>2150</v>
      </c>
    </row>
    <row r="195" spans="1:50" x14ac:dyDescent="0.3">
      <c r="A195" s="572"/>
      <c r="B195" s="571">
        <v>70</v>
      </c>
      <c r="C195" s="392" t="s">
        <v>228</v>
      </c>
      <c r="D195" s="661" t="s">
        <v>273</v>
      </c>
      <c r="E195" s="354">
        <v>1</v>
      </c>
      <c r="F195" s="574"/>
      <c r="G195" s="701">
        <v>1</v>
      </c>
      <c r="H195" s="702" t="s">
        <v>219</v>
      </c>
      <c r="I195" s="354">
        <v>1</v>
      </c>
      <c r="J195" s="401"/>
      <c r="K195" s="354">
        <v>1</v>
      </c>
      <c r="L195" s="401"/>
      <c r="M195" s="354">
        <v>1</v>
      </c>
      <c r="N195" s="401"/>
      <c r="O195" s="354">
        <v>1</v>
      </c>
      <c r="P195" s="401"/>
      <c r="Q195" s="579"/>
      <c r="R195" s="631">
        <v>2300</v>
      </c>
      <c r="S195" s="539">
        <v>150</v>
      </c>
      <c r="T195" s="393"/>
      <c r="U195" s="393"/>
      <c r="V195" s="393"/>
      <c r="W195" s="393"/>
      <c r="X195" s="491">
        <f>(R195+S195+T195+U195+V195+W195)</f>
        <v>2450</v>
      </c>
    </row>
    <row r="196" spans="1:50" s="398" customFormat="1" x14ac:dyDescent="0.3">
      <c r="A196" s="572"/>
      <c r="B196" s="571">
        <v>235</v>
      </c>
      <c r="C196" s="392" t="s">
        <v>241</v>
      </c>
      <c r="D196" s="660" t="s">
        <v>274</v>
      </c>
      <c r="E196" s="354">
        <v>1</v>
      </c>
      <c r="F196" s="401"/>
      <c r="G196" s="354">
        <v>1</v>
      </c>
      <c r="H196" s="354"/>
      <c r="I196" s="354">
        <v>1</v>
      </c>
      <c r="J196" s="401"/>
      <c r="K196" s="354">
        <v>1</v>
      </c>
      <c r="L196" s="354"/>
      <c r="M196" s="354">
        <v>1</v>
      </c>
      <c r="N196" s="401"/>
      <c r="O196" s="354">
        <v>1</v>
      </c>
      <c r="P196" s="354"/>
      <c r="Q196" s="579"/>
      <c r="R196" s="454">
        <v>1950</v>
      </c>
      <c r="S196" s="538">
        <v>200</v>
      </c>
      <c r="T196" s="391"/>
      <c r="U196" s="391">
        <v>200</v>
      </c>
      <c r="V196" s="391"/>
      <c r="W196" s="393"/>
      <c r="X196" s="491">
        <f>(R196+S196+T196+U196+V196+W196)</f>
        <v>2350</v>
      </c>
      <c r="Y196" s="532"/>
      <c r="Z196"/>
      <c r="AA196"/>
      <c r="AB196"/>
      <c r="AC196"/>
      <c r="AD196"/>
      <c r="AE196"/>
      <c r="AF196"/>
      <c r="AG196" s="390"/>
      <c r="AH196" s="390"/>
      <c r="AI196" s="390"/>
      <c r="AJ196" s="390"/>
      <c r="AK196" s="390"/>
      <c r="AL196" s="390"/>
      <c r="AM196" s="390"/>
      <c r="AN196" s="390"/>
      <c r="AO196" s="390"/>
      <c r="AP196" s="390"/>
      <c r="AQ196" s="390"/>
      <c r="AR196" s="390"/>
      <c r="AS196" s="390"/>
      <c r="AT196" s="390"/>
      <c r="AU196" s="390"/>
      <c r="AV196" s="390"/>
      <c r="AW196" s="390"/>
      <c r="AX196" s="390"/>
    </row>
    <row r="197" spans="1:50" ht="15" thickBot="1" x14ac:dyDescent="0.35">
      <c r="A197" s="677">
        <v>1</v>
      </c>
      <c r="B197" s="678">
        <v>30</v>
      </c>
      <c r="C197" s="679" t="s">
        <v>204</v>
      </c>
      <c r="D197" s="658" t="s">
        <v>188</v>
      </c>
      <c r="E197" s="680">
        <v>1</v>
      </c>
      <c r="F197" s="681"/>
      <c r="G197" s="682">
        <v>1</v>
      </c>
      <c r="H197" s="682"/>
      <c r="I197" s="463">
        <v>1</v>
      </c>
      <c r="J197" s="531"/>
      <c r="K197" s="463">
        <v>1</v>
      </c>
      <c r="L197" s="531"/>
      <c r="M197" s="463">
        <v>1</v>
      </c>
      <c r="N197" s="531"/>
      <c r="O197" s="682">
        <v>1</v>
      </c>
      <c r="P197" s="684"/>
      <c r="Q197" s="687"/>
      <c r="R197" s="639">
        <v>2350</v>
      </c>
      <c r="S197" s="554"/>
      <c r="T197" s="204"/>
      <c r="U197" s="451"/>
      <c r="V197" s="451"/>
      <c r="W197" s="451"/>
      <c r="X197" s="555">
        <f>(R197+S197+T197+U197)+W197+V197</f>
        <v>2350</v>
      </c>
    </row>
    <row r="198" spans="1:50" x14ac:dyDescent="0.3">
      <c r="A198" s="410"/>
      <c r="B198" s="410"/>
      <c r="C198" s="410"/>
      <c r="D198" s="458"/>
      <c r="E198" s="458">
        <f>SUM(E193:E197)</f>
        <v>5</v>
      </c>
      <c r="F198" s="458"/>
      <c r="G198" s="458">
        <f>SUM(G193:G197)</f>
        <v>5</v>
      </c>
      <c r="H198" s="458"/>
      <c r="I198" s="458">
        <f>SUM(I193:I197)</f>
        <v>5</v>
      </c>
      <c r="J198" s="458"/>
      <c r="K198" s="458">
        <f>SUM(K193:K197)</f>
        <v>5</v>
      </c>
      <c r="L198" s="458"/>
      <c r="M198" s="458">
        <f>SUM(M193:M197)</f>
        <v>5</v>
      </c>
      <c r="N198" s="458"/>
      <c r="O198" s="458">
        <f>SUM(O193:O197)</f>
        <v>5</v>
      </c>
      <c r="P198" s="458"/>
      <c r="Q198" s="458"/>
      <c r="R198" s="410">
        <f>SUM(R193:R197)</f>
        <v>11650</v>
      </c>
      <c r="S198" s="410">
        <f t="shared" ref="S198:W198" si="47">SUM(S193:S197)</f>
        <v>550</v>
      </c>
      <c r="T198" s="410">
        <f t="shared" si="47"/>
        <v>0</v>
      </c>
      <c r="U198" s="410">
        <f t="shared" si="47"/>
        <v>400</v>
      </c>
      <c r="V198" s="410">
        <f t="shared" si="47"/>
        <v>0</v>
      </c>
      <c r="W198" s="410">
        <f t="shared" si="47"/>
        <v>0</v>
      </c>
      <c r="X198" s="453">
        <f>SUM(X193:X197)-Y197</f>
        <v>12600</v>
      </c>
      <c r="Y198" s="534"/>
      <c r="Z198" s="410"/>
      <c r="AA198" s="410"/>
      <c r="AB198" s="410"/>
      <c r="AC198" s="410"/>
      <c r="AD198" s="410"/>
      <c r="AE198" s="410"/>
      <c r="AF198" s="410"/>
    </row>
    <row r="199" spans="1:50" ht="16.8" thickBot="1" x14ac:dyDescent="0.45">
      <c r="A199" s="68"/>
      <c r="B199" s="434"/>
      <c r="C199" s="427"/>
      <c r="D199" s="150"/>
      <c r="E199" s="150"/>
      <c r="F199" s="150"/>
      <c r="G199" s="68"/>
      <c r="S199" s="410"/>
      <c r="T199" s="410"/>
      <c r="U199" s="410"/>
    </row>
    <row r="200" spans="1:50" ht="18.75" customHeight="1" thickBot="1" x14ac:dyDescent="0.55000000000000004">
      <c r="A200" s="889"/>
      <c r="B200" s="890"/>
      <c r="C200" s="890"/>
      <c r="D200" s="890"/>
      <c r="E200" s="890"/>
      <c r="F200" s="890"/>
      <c r="G200" s="891"/>
      <c r="X200" s="448">
        <f>F212-X198</f>
        <v>0</v>
      </c>
    </row>
    <row r="201" spans="1:50" ht="18.75" customHeight="1" thickBot="1" x14ac:dyDescent="0.5">
      <c r="A201" s="421"/>
      <c r="B201" s="422"/>
      <c r="C201" s="422"/>
      <c r="D201" s="423" t="s">
        <v>14</v>
      </c>
      <c r="E201" s="423" t="s">
        <v>206</v>
      </c>
      <c r="F201" s="423" t="s">
        <v>17</v>
      </c>
      <c r="G201" s="424"/>
      <c r="I201" s="8"/>
      <c r="J201" s="91"/>
      <c r="K201" s="42" t="s">
        <v>8</v>
      </c>
      <c r="L201" s="42"/>
      <c r="M201" s="42" t="s">
        <v>9</v>
      </c>
      <c r="N201" s="42"/>
      <c r="O201" s="42" t="s">
        <v>9</v>
      </c>
      <c r="P201" s="42"/>
      <c r="Q201" s="42" t="s">
        <v>10</v>
      </c>
      <c r="R201" s="42"/>
      <c r="S201" s="42" t="s">
        <v>11</v>
      </c>
      <c r="T201" s="42"/>
      <c r="U201" s="42" t="s">
        <v>12</v>
      </c>
      <c r="V201" s="42"/>
    </row>
    <row r="202" spans="1:50" ht="19.5" customHeight="1" x14ac:dyDescent="0.4">
      <c r="A202" s="426"/>
      <c r="B202" s="159">
        <v>1</v>
      </c>
      <c r="C202" s="427" t="s">
        <v>32</v>
      </c>
      <c r="D202" s="150">
        <f>1950*B202</f>
        <v>1950</v>
      </c>
      <c r="E202" s="150">
        <v>0</v>
      </c>
      <c r="F202" s="427">
        <f>D202</f>
        <v>1950</v>
      </c>
      <c r="G202" s="428"/>
      <c r="I202" s="492"/>
      <c r="J202" s="96"/>
      <c r="K202" s="493"/>
      <c r="L202" s="493"/>
      <c r="M202" s="493"/>
      <c r="N202" s="493"/>
      <c r="O202" s="493"/>
      <c r="P202" s="493"/>
      <c r="Q202" s="493"/>
      <c r="R202" s="493"/>
      <c r="S202" s="493"/>
      <c r="T202" s="493"/>
      <c r="U202" s="493"/>
      <c r="V202" s="98" t="s">
        <v>28</v>
      </c>
    </row>
    <row r="203" spans="1:50" ht="18.75" customHeight="1" x14ac:dyDescent="0.4">
      <c r="A203" s="426"/>
      <c r="B203" s="159">
        <v>1</v>
      </c>
      <c r="C203" s="427" t="s">
        <v>22</v>
      </c>
      <c r="D203" s="150">
        <v>2300</v>
      </c>
      <c r="E203" s="150">
        <v>0</v>
      </c>
      <c r="F203" s="427">
        <f>D203</f>
        <v>2300</v>
      </c>
      <c r="G203" s="428"/>
      <c r="I203" s="524" t="s">
        <v>29</v>
      </c>
      <c r="J203" s="103"/>
      <c r="K203" s="494">
        <v>0</v>
      </c>
      <c r="L203" s="495"/>
      <c r="M203" s="494">
        <v>0</v>
      </c>
      <c r="N203" s="495"/>
      <c r="O203" s="494">
        <v>0</v>
      </c>
      <c r="P203" s="495"/>
      <c r="Q203" s="494">
        <v>0</v>
      </c>
      <c r="R203" s="495"/>
      <c r="S203" s="494">
        <v>0</v>
      </c>
      <c r="T203" s="495"/>
      <c r="U203" s="494">
        <v>0</v>
      </c>
      <c r="V203" s="106">
        <f>AVERAGE(K203,M203,O203,Q203,S203)</f>
        <v>0</v>
      </c>
    </row>
    <row r="204" spans="1:50" ht="15.75" customHeight="1" x14ac:dyDescent="0.4">
      <c r="A204" s="426"/>
      <c r="B204" s="159">
        <v>0</v>
      </c>
      <c r="C204" s="427" t="s">
        <v>209</v>
      </c>
      <c r="D204" s="150">
        <v>0</v>
      </c>
      <c r="E204" s="150">
        <v>0</v>
      </c>
      <c r="F204" s="427">
        <v>0</v>
      </c>
      <c r="G204" s="428"/>
      <c r="I204" s="524" t="s">
        <v>22</v>
      </c>
      <c r="J204" s="103"/>
      <c r="K204" s="494">
        <v>1</v>
      </c>
      <c r="L204" s="495"/>
      <c r="M204" s="494">
        <v>1</v>
      </c>
      <c r="N204" s="495"/>
      <c r="O204" s="494">
        <v>1</v>
      </c>
      <c r="P204" s="495"/>
      <c r="Q204" s="494">
        <v>1</v>
      </c>
      <c r="R204" s="495"/>
      <c r="S204" s="494">
        <v>1</v>
      </c>
      <c r="T204" s="495"/>
      <c r="U204" s="494">
        <v>1</v>
      </c>
      <c r="V204" s="106">
        <f t="shared" ref="V204" si="48">AVERAGE(K204,M204,O204,Q204,S204)</f>
        <v>1</v>
      </c>
    </row>
    <row r="205" spans="1:50" ht="18" customHeight="1" x14ac:dyDescent="0.4">
      <c r="A205" s="426"/>
      <c r="B205" s="159">
        <v>3</v>
      </c>
      <c r="C205" s="427" t="s">
        <v>30</v>
      </c>
      <c r="D205" s="150">
        <f>3100+1950+2350</f>
        <v>7400</v>
      </c>
      <c r="E205" s="150">
        <v>0</v>
      </c>
      <c r="F205" s="427">
        <f>+D205</f>
        <v>7400</v>
      </c>
      <c r="G205" s="428"/>
      <c r="I205" s="524" t="s">
        <v>30</v>
      </c>
      <c r="J205" s="103"/>
      <c r="K205" s="494">
        <v>3</v>
      </c>
      <c r="L205" s="495"/>
      <c r="M205" s="494">
        <v>3</v>
      </c>
      <c r="N205" s="495"/>
      <c r="O205" s="494">
        <v>3</v>
      </c>
      <c r="P205" s="495"/>
      <c r="Q205" s="494">
        <v>3</v>
      </c>
      <c r="R205" s="495"/>
      <c r="S205" s="494">
        <v>3</v>
      </c>
      <c r="T205" s="495"/>
      <c r="U205" s="494">
        <v>3</v>
      </c>
      <c r="V205" s="106">
        <f>AVERAGE(K205,M205,O205,Q205,S205,U205)</f>
        <v>3</v>
      </c>
    </row>
    <row r="206" spans="1:50" ht="16.5" customHeight="1" x14ac:dyDescent="0.45">
      <c r="A206" s="432"/>
      <c r="B206" s="433">
        <f>SUM(B202:B205)</f>
        <v>5</v>
      </c>
      <c r="C206" s="150"/>
      <c r="D206" s="434"/>
      <c r="E206" s="434"/>
      <c r="F206" s="435">
        <f>SUM(F202:F205)</f>
        <v>11650</v>
      </c>
      <c r="G206" s="431"/>
      <c r="I206" s="524" t="s">
        <v>32</v>
      </c>
      <c r="J206" s="103"/>
      <c r="K206" s="494">
        <v>1</v>
      </c>
      <c r="L206" s="495"/>
      <c r="M206" s="494">
        <v>1</v>
      </c>
      <c r="N206" s="495"/>
      <c r="O206" s="494">
        <v>1</v>
      </c>
      <c r="P206" s="495"/>
      <c r="Q206" s="494">
        <v>1</v>
      </c>
      <c r="R206" s="495"/>
      <c r="S206" s="494">
        <v>1</v>
      </c>
      <c r="T206" s="495"/>
      <c r="U206" s="494">
        <v>1</v>
      </c>
      <c r="V206" s="106">
        <f t="shared" ref="V206:V207" si="49">AVERAGE(K206,M206,O206,Q206,S206,U206)</f>
        <v>1</v>
      </c>
    </row>
    <row r="207" spans="1:50" ht="16.5" customHeight="1" thickBot="1" x14ac:dyDescent="0.5">
      <c r="A207" s="432"/>
      <c r="B207" s="434"/>
      <c r="C207" s="150"/>
      <c r="D207" s="437"/>
      <c r="E207" s="438" t="s">
        <v>7</v>
      </c>
      <c r="F207" s="435">
        <f>S198</f>
        <v>550</v>
      </c>
      <c r="G207" s="439"/>
      <c r="I207" s="526"/>
      <c r="J207" s="527"/>
      <c r="K207" s="528">
        <f>SUM(K203:K206)</f>
        <v>5</v>
      </c>
      <c r="L207" s="528"/>
      <c r="M207" s="528">
        <f t="shared" ref="M207" si="50">SUM(M203:M206)</f>
        <v>5</v>
      </c>
      <c r="N207" s="528"/>
      <c r="O207" s="528">
        <f t="shared" ref="O207" si="51">SUM(O203:O206)</f>
        <v>5</v>
      </c>
      <c r="P207" s="528"/>
      <c r="Q207" s="528">
        <f t="shared" ref="Q207" si="52">SUM(Q203:Q206)</f>
        <v>5</v>
      </c>
      <c r="R207" s="528"/>
      <c r="S207" s="528">
        <f t="shared" ref="S207" si="53">SUM(S203:S206)</f>
        <v>5</v>
      </c>
      <c r="T207" s="528"/>
      <c r="U207" s="528">
        <f>SUM(U203:U206)</f>
        <v>5</v>
      </c>
      <c r="V207" s="559">
        <f t="shared" si="49"/>
        <v>5</v>
      </c>
    </row>
    <row r="208" spans="1:50" ht="19.2" x14ac:dyDescent="0.45">
      <c r="A208" s="432"/>
      <c r="B208" s="434"/>
      <c r="C208" s="150"/>
      <c r="D208" s="437"/>
      <c r="E208" s="438" t="s">
        <v>213</v>
      </c>
      <c r="F208" s="435">
        <f>U198</f>
        <v>400</v>
      </c>
      <c r="G208" s="439"/>
      <c r="I208" s="552"/>
      <c r="J208" s="151"/>
      <c r="K208" s="553"/>
      <c r="L208" s="553"/>
      <c r="M208" s="553"/>
      <c r="N208" s="553"/>
      <c r="O208" s="553"/>
      <c r="P208" s="553"/>
      <c r="Q208" s="553"/>
      <c r="R208" s="553"/>
      <c r="S208" s="553"/>
      <c r="T208" s="553"/>
      <c r="U208" s="553"/>
      <c r="V208" s="115"/>
    </row>
    <row r="209" spans="1:32" ht="19.2" x14ac:dyDescent="0.45">
      <c r="A209" s="432"/>
      <c r="B209" s="434"/>
      <c r="C209" s="150"/>
      <c r="D209" s="437"/>
      <c r="E209" s="438" t="s">
        <v>277</v>
      </c>
      <c r="F209" s="435">
        <f>W198</f>
        <v>0</v>
      </c>
      <c r="G209" s="439"/>
      <c r="I209" s="552"/>
      <c r="J209" s="151"/>
      <c r="K209" s="553"/>
      <c r="L209" s="553"/>
      <c r="M209" s="553"/>
      <c r="N209" s="553"/>
      <c r="O209" s="553"/>
      <c r="P209" s="553"/>
      <c r="Q209" s="553"/>
      <c r="R209" s="553"/>
      <c r="S209" s="553"/>
      <c r="T209" s="553"/>
      <c r="U209" s="553"/>
      <c r="V209" s="115"/>
    </row>
    <row r="210" spans="1:32" ht="19.2" x14ac:dyDescent="0.45">
      <c r="A210" s="432"/>
      <c r="B210" s="434"/>
      <c r="C210" s="150"/>
      <c r="D210" s="437"/>
      <c r="E210" s="438"/>
      <c r="F210" s="435"/>
      <c r="G210" s="439"/>
      <c r="I210" s="552"/>
      <c r="J210" s="151"/>
      <c r="K210" s="553"/>
      <c r="L210" s="553"/>
      <c r="M210" s="553"/>
      <c r="N210" s="553"/>
      <c r="O210" s="553"/>
      <c r="P210" s="553"/>
      <c r="Q210" s="553"/>
      <c r="R210" s="553"/>
      <c r="S210" s="553"/>
      <c r="T210" s="553"/>
      <c r="U210" s="553"/>
      <c r="V210" s="115"/>
    </row>
    <row r="211" spans="1:32" ht="16.5" customHeight="1" x14ac:dyDescent="0.45">
      <c r="A211" s="432"/>
      <c r="B211" s="434"/>
      <c r="C211" s="150"/>
      <c r="D211" s="434"/>
      <c r="E211" s="438"/>
      <c r="F211" s="435"/>
      <c r="G211" s="439"/>
      <c r="I211" s="390"/>
    </row>
    <row r="212" spans="1:32" ht="14.25" customHeight="1" x14ac:dyDescent="0.4">
      <c r="A212" s="432"/>
      <c r="B212" s="434"/>
      <c r="C212" s="150"/>
      <c r="D212" s="434"/>
      <c r="E212" s="434"/>
      <c r="F212" s="441">
        <f>SUM(F206:F211)</f>
        <v>12600</v>
      </c>
      <c r="G212" s="431"/>
    </row>
    <row r="213" spans="1:32" ht="15.75" customHeight="1" thickBot="1" x14ac:dyDescent="0.45">
      <c r="A213" s="442"/>
      <c r="B213" s="443"/>
      <c r="C213" s="444"/>
      <c r="D213" s="445"/>
      <c r="E213" s="445"/>
      <c r="F213" s="445"/>
      <c r="G213" s="446"/>
    </row>
    <row r="214" spans="1:32" ht="21" customHeight="1" thickBot="1" x14ac:dyDescent="0.35">
      <c r="A214"/>
    </row>
    <row r="215" spans="1:32" ht="45.75" customHeight="1" x14ac:dyDescent="0.4">
      <c r="B215" s="861" t="str">
        <f>+B1</f>
        <v>SEMANA DEL 23 AL 29 DE JUNIO DEL 2025</v>
      </c>
      <c r="C215" s="862"/>
      <c r="D215" s="862"/>
      <c r="E215" s="862"/>
      <c r="F215" s="862"/>
      <c r="G215" s="862"/>
      <c r="H215" s="862"/>
      <c r="I215" s="862"/>
      <c r="J215" s="862"/>
      <c r="K215" s="862"/>
      <c r="L215" s="862"/>
      <c r="M215" s="862"/>
      <c r="N215" s="862"/>
      <c r="O215" s="862"/>
      <c r="P215" s="862"/>
      <c r="Q215" s="863"/>
      <c r="R215" s="68"/>
      <c r="S215" s="68"/>
      <c r="T215" s="68"/>
      <c r="U215" s="68"/>
      <c r="V215" s="68"/>
      <c r="W215" s="68"/>
    </row>
    <row r="216" spans="1:32" ht="27" customHeight="1" thickBot="1" x14ac:dyDescent="0.35">
      <c r="B216" s="867" t="s">
        <v>192</v>
      </c>
      <c r="C216" s="868"/>
      <c r="D216" s="868"/>
      <c r="E216" s="868"/>
      <c r="F216" s="868"/>
      <c r="G216" s="868"/>
      <c r="H216" s="868"/>
      <c r="I216" s="868"/>
      <c r="J216" s="868"/>
      <c r="K216" s="868"/>
      <c r="L216" s="868"/>
      <c r="M216" s="868"/>
      <c r="N216" s="868"/>
      <c r="O216" s="868"/>
      <c r="P216" s="868"/>
      <c r="Q216" s="869"/>
      <c r="R216" s="68"/>
      <c r="S216" s="68"/>
      <c r="T216" s="68"/>
      <c r="U216" s="68"/>
      <c r="V216" s="68"/>
      <c r="W216" s="68"/>
    </row>
    <row r="217" spans="1:32" ht="15" customHeight="1" x14ac:dyDescent="0.3">
      <c r="B217" s="511" t="s">
        <v>184</v>
      </c>
      <c r="C217" s="671"/>
      <c r="D217" s="652"/>
      <c r="E217" s="671"/>
      <c r="F217" s="671"/>
      <c r="G217" s="671"/>
      <c r="H217" s="671"/>
      <c r="I217" s="671"/>
      <c r="J217" s="671"/>
      <c r="K217" s="671"/>
      <c r="L217" s="671"/>
      <c r="M217" s="671"/>
      <c r="N217" s="671"/>
      <c r="O217" s="671"/>
      <c r="P217" s="671"/>
      <c r="Q217" s="632"/>
      <c r="R217" s="873" t="s">
        <v>200</v>
      </c>
      <c r="S217" s="857" t="s">
        <v>201</v>
      </c>
      <c r="T217" s="857" t="s">
        <v>202</v>
      </c>
      <c r="U217" s="857" t="s">
        <v>226</v>
      </c>
      <c r="V217" s="857" t="s">
        <v>223</v>
      </c>
      <c r="W217" s="857" t="s">
        <v>210</v>
      </c>
      <c r="X217" s="859" t="s">
        <v>203</v>
      </c>
    </row>
    <row r="218" spans="1:32" ht="15" customHeight="1" x14ac:dyDescent="0.3">
      <c r="B218" s="476" t="s">
        <v>185</v>
      </c>
      <c r="C218" s="477" t="s">
        <v>135</v>
      </c>
      <c r="D218" s="477" t="s">
        <v>136</v>
      </c>
      <c r="E218" s="478" t="s">
        <v>8</v>
      </c>
      <c r="F218" s="478"/>
      <c r="G218" s="478" t="s">
        <v>9</v>
      </c>
      <c r="H218" s="478"/>
      <c r="I218" s="478" t="s">
        <v>9</v>
      </c>
      <c r="J218" s="478"/>
      <c r="K218" s="478" t="s">
        <v>10</v>
      </c>
      <c r="L218" s="478"/>
      <c r="M218" s="478" t="s">
        <v>11</v>
      </c>
      <c r="N218" s="478"/>
      <c r="O218" s="478" t="s">
        <v>12</v>
      </c>
      <c r="P218" s="478"/>
      <c r="Q218" s="479" t="s">
        <v>186</v>
      </c>
      <c r="R218" s="874"/>
      <c r="S218" s="858"/>
      <c r="T218" s="858"/>
      <c r="U218" s="858"/>
      <c r="V218" s="858"/>
      <c r="W218" s="858"/>
      <c r="X218" s="860"/>
    </row>
    <row r="219" spans="1:32" x14ac:dyDescent="0.3">
      <c r="A219" s="287">
        <v>1</v>
      </c>
      <c r="B219" s="484">
        <v>94</v>
      </c>
      <c r="C219" s="392" t="s">
        <v>96</v>
      </c>
      <c r="D219" s="662" t="s">
        <v>188</v>
      </c>
      <c r="E219" s="354">
        <v>1</v>
      </c>
      <c r="F219" s="401"/>
      <c r="G219" s="460">
        <v>1</v>
      </c>
      <c r="H219" s="540"/>
      <c r="I219" s="354">
        <v>1</v>
      </c>
      <c r="J219" s="401"/>
      <c r="K219" s="460">
        <v>1</v>
      </c>
      <c r="L219" s="540"/>
      <c r="M219" s="460">
        <v>1</v>
      </c>
      <c r="N219" s="540"/>
      <c r="O219" s="354">
        <v>1</v>
      </c>
      <c r="P219" s="354"/>
      <c r="Q219" s="450">
        <v>1</v>
      </c>
      <c r="R219" s="454">
        <v>2350</v>
      </c>
      <c r="S219" s="539">
        <v>250</v>
      </c>
      <c r="T219" s="393"/>
      <c r="U219" s="393">
        <v>400</v>
      </c>
      <c r="V219" s="393"/>
      <c r="W219" s="391">
        <v>1660.7</v>
      </c>
      <c r="X219" s="491">
        <f>R219+S219+T219+U219+W219+V219</f>
        <v>4660.7</v>
      </c>
    </row>
    <row r="220" spans="1:32" x14ac:dyDescent="0.3">
      <c r="B220" s="484">
        <v>227</v>
      </c>
      <c r="C220" s="392" t="s">
        <v>238</v>
      </c>
      <c r="D220" s="660" t="s">
        <v>274</v>
      </c>
      <c r="E220" s="354">
        <v>1</v>
      </c>
      <c r="F220" s="401"/>
      <c r="G220" s="354">
        <v>1</v>
      </c>
      <c r="H220" s="401"/>
      <c r="I220" s="354">
        <v>1</v>
      </c>
      <c r="J220" s="401"/>
      <c r="K220" s="354">
        <v>1</v>
      </c>
      <c r="L220" s="401"/>
      <c r="M220" s="354">
        <v>1</v>
      </c>
      <c r="N220" s="540"/>
      <c r="O220" s="354"/>
      <c r="P220" s="354"/>
      <c r="Q220" s="450"/>
      <c r="R220" s="454">
        <v>1950</v>
      </c>
      <c r="S220" s="623">
        <v>200</v>
      </c>
      <c r="T220" s="391"/>
      <c r="U220" s="393">
        <v>250</v>
      </c>
      <c r="V220" s="393"/>
      <c r="W220" s="391">
        <v>557.14</v>
      </c>
      <c r="X220" s="491">
        <f>R220+S220+T220+U220+W220+V220</f>
        <v>2957.14</v>
      </c>
    </row>
    <row r="221" spans="1:32" x14ac:dyDescent="0.3">
      <c r="A221" s="287">
        <v>3</v>
      </c>
      <c r="B221" s="484">
        <v>135</v>
      </c>
      <c r="C221" s="392" t="s">
        <v>116</v>
      </c>
      <c r="D221" s="661" t="s">
        <v>273</v>
      </c>
      <c r="E221" s="354">
        <v>1</v>
      </c>
      <c r="F221" s="401"/>
      <c r="G221" s="354">
        <v>1</v>
      </c>
      <c r="H221" s="401"/>
      <c r="I221" s="354">
        <v>1</v>
      </c>
      <c r="J221" s="401"/>
      <c r="K221" s="354">
        <v>1</v>
      </c>
      <c r="L221" s="401"/>
      <c r="M221" s="701">
        <v>1</v>
      </c>
      <c r="N221" s="709" t="s">
        <v>219</v>
      </c>
      <c r="O221" s="354"/>
      <c r="P221" s="354"/>
      <c r="Q221" s="450"/>
      <c r="R221" s="461">
        <v>2300</v>
      </c>
      <c r="S221" s="391"/>
      <c r="T221" s="393"/>
      <c r="U221" s="393">
        <v>200</v>
      </c>
      <c r="V221" s="393"/>
      <c r="W221" s="391"/>
      <c r="X221" s="491">
        <f>R221+S221+T221+U221+W221+V221</f>
        <v>2500</v>
      </c>
    </row>
    <row r="222" spans="1:32" x14ac:dyDescent="0.3">
      <c r="B222" s="484">
        <v>254</v>
      </c>
      <c r="C222" s="392" t="s">
        <v>251</v>
      </c>
      <c r="D222" s="663" t="s">
        <v>190</v>
      </c>
      <c r="E222" s="354">
        <v>1</v>
      </c>
      <c r="F222" s="401"/>
      <c r="G222" s="354">
        <v>1</v>
      </c>
      <c r="H222" s="401"/>
      <c r="I222" s="354">
        <v>1</v>
      </c>
      <c r="J222" s="401"/>
      <c r="K222" s="354">
        <v>1</v>
      </c>
      <c r="L222" s="401"/>
      <c r="M222" s="354">
        <v>1</v>
      </c>
      <c r="N222" s="540"/>
      <c r="O222" s="354"/>
      <c r="P222" s="354"/>
      <c r="Q222" s="450"/>
      <c r="R222" s="556">
        <v>1950</v>
      </c>
      <c r="S222" s="539">
        <v>200</v>
      </c>
      <c r="T222" s="393"/>
      <c r="U222" s="393">
        <v>50</v>
      </c>
      <c r="V222" s="393"/>
      <c r="W222" s="391"/>
      <c r="X222" s="491">
        <f>R222+S222+T222+U222+W222+V222</f>
        <v>2200</v>
      </c>
    </row>
    <row r="223" spans="1:32" ht="15" thickBot="1" x14ac:dyDescent="0.35">
      <c r="A223" s="588"/>
      <c r="B223" s="487">
        <v>210</v>
      </c>
      <c r="C223" s="462" t="s">
        <v>231</v>
      </c>
      <c r="D223" s="672" t="s">
        <v>22</v>
      </c>
      <c r="E223" s="463">
        <v>1</v>
      </c>
      <c r="F223" s="531"/>
      <c r="G223" s="463">
        <v>1</v>
      </c>
      <c r="H223" s="531"/>
      <c r="I223" s="463">
        <v>1</v>
      </c>
      <c r="J223" s="531"/>
      <c r="K223" s="628">
        <v>1</v>
      </c>
      <c r="L223" s="629"/>
      <c r="M223" s="463">
        <v>1</v>
      </c>
      <c r="N223" s="684"/>
      <c r="O223" s="463"/>
      <c r="P223" s="463"/>
      <c r="Q223" s="464"/>
      <c r="R223" s="461">
        <v>2300</v>
      </c>
      <c r="S223" s="554"/>
      <c r="T223" s="451"/>
      <c r="U223" s="451">
        <v>100</v>
      </c>
      <c r="V223" s="451"/>
      <c r="W223" s="554"/>
      <c r="X223" s="512">
        <f>+R223+S223+T223+U223+V223+W223</f>
        <v>2400</v>
      </c>
    </row>
    <row r="224" spans="1:32" x14ac:dyDescent="0.3">
      <c r="A224" s="410"/>
      <c r="B224" s="410"/>
      <c r="C224" s="410"/>
      <c r="D224" s="458"/>
      <c r="E224" s="458">
        <f>SUM(E219:E223)</f>
        <v>5</v>
      </c>
      <c r="F224" s="458"/>
      <c r="G224" s="458">
        <f>SUM(G219:G223)</f>
        <v>5</v>
      </c>
      <c r="H224" s="458"/>
      <c r="I224" s="458">
        <f>SUM(I219:I223)</f>
        <v>5</v>
      </c>
      <c r="J224" s="458"/>
      <c r="K224" s="458">
        <f>SUM(K219:K223)</f>
        <v>5</v>
      </c>
      <c r="L224" s="458"/>
      <c r="M224" s="458">
        <f>SUM(M219:M223)</f>
        <v>5</v>
      </c>
      <c r="N224" s="458"/>
      <c r="O224" s="458"/>
      <c r="P224" s="458"/>
      <c r="Q224" s="458"/>
      <c r="R224" s="410">
        <f>SUM(R219:R223)</f>
        <v>10850</v>
      </c>
      <c r="S224" s="410">
        <f>SUM(S219:S223)</f>
        <v>650</v>
      </c>
      <c r="T224" s="410">
        <f t="shared" ref="T224:V224" si="54">SUM(T219:T223)</f>
        <v>0</v>
      </c>
      <c r="U224" s="410">
        <f>SUM(U219:U223)</f>
        <v>1000</v>
      </c>
      <c r="V224" s="410">
        <f t="shared" si="54"/>
        <v>0</v>
      </c>
      <c r="W224" s="410">
        <f>SUM(W219:W223)</f>
        <v>2217.84</v>
      </c>
      <c r="X224" s="453">
        <f>SUM(X219:X223)-Y222-Y221</f>
        <v>14717.84</v>
      </c>
      <c r="Y224" s="584"/>
      <c r="Z224" s="410"/>
      <c r="AA224" s="410"/>
      <c r="AB224" s="410"/>
      <c r="AC224" s="410"/>
      <c r="AD224" s="410"/>
      <c r="AE224" s="410"/>
      <c r="AF224" s="410"/>
    </row>
    <row r="225" spans="1:32" s="410" customFormat="1" ht="15" thickBot="1" x14ac:dyDescent="0.35">
      <c r="A225"/>
      <c r="B225"/>
      <c r="C225"/>
      <c r="D225" s="390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V225"/>
      <c r="W225"/>
      <c r="X225" s="448">
        <f>F236-X224</f>
        <v>0</v>
      </c>
      <c r="Y225" s="532"/>
      <c r="Z225"/>
      <c r="AA225"/>
      <c r="AB225"/>
      <c r="AC225"/>
      <c r="AD225"/>
      <c r="AE225"/>
      <c r="AF225"/>
    </row>
    <row r="226" spans="1:32" ht="17.399999999999999" thickBot="1" x14ac:dyDescent="0.5">
      <c r="A226" s="421"/>
      <c r="B226" s="422"/>
      <c r="C226" s="422"/>
      <c r="D226" s="423" t="s">
        <v>14</v>
      </c>
      <c r="E226" s="423" t="s">
        <v>206</v>
      </c>
      <c r="F226" s="423" t="s">
        <v>17</v>
      </c>
      <c r="G226" s="424"/>
      <c r="I226" s="8"/>
      <c r="J226" s="91"/>
      <c r="K226" s="42" t="s">
        <v>8</v>
      </c>
      <c r="L226" s="42"/>
      <c r="M226" s="42" t="s">
        <v>9</v>
      </c>
      <c r="N226" s="42"/>
      <c r="O226" s="42" t="s">
        <v>9</v>
      </c>
      <c r="P226" s="42"/>
      <c r="Q226" s="42" t="s">
        <v>10</v>
      </c>
      <c r="R226" s="42"/>
      <c r="S226" s="42" t="s">
        <v>11</v>
      </c>
      <c r="T226" s="42"/>
      <c r="U226" s="42" t="s">
        <v>12</v>
      </c>
      <c r="V226" s="42"/>
    </row>
    <row r="227" spans="1:32" ht="16.2" x14ac:dyDescent="0.4">
      <c r="A227" s="426"/>
      <c r="B227" s="159">
        <v>1</v>
      </c>
      <c r="C227" s="427" t="s">
        <v>32</v>
      </c>
      <c r="D227" s="150">
        <f>1950*B227</f>
        <v>1950</v>
      </c>
      <c r="E227" s="150">
        <v>0</v>
      </c>
      <c r="F227" s="427">
        <f>D227</f>
        <v>1950</v>
      </c>
      <c r="G227" s="428"/>
      <c r="I227" s="492"/>
      <c r="J227" s="96"/>
      <c r="K227" s="493"/>
      <c r="L227" s="493"/>
      <c r="M227" s="493"/>
      <c r="N227" s="493"/>
      <c r="O227" s="493"/>
      <c r="P227" s="493"/>
      <c r="Q227" s="493"/>
      <c r="R227" s="493"/>
      <c r="S227" s="493"/>
      <c r="T227" s="493"/>
      <c r="U227" s="493"/>
      <c r="V227" s="98" t="s">
        <v>28</v>
      </c>
    </row>
    <row r="228" spans="1:32" ht="16.2" x14ac:dyDescent="0.4">
      <c r="A228" s="426"/>
      <c r="B228" s="159">
        <v>2</v>
      </c>
      <c r="C228" s="427" t="s">
        <v>22</v>
      </c>
      <c r="D228" s="150">
        <f>2300*B228</f>
        <v>4600</v>
      </c>
      <c r="E228" s="150">
        <v>0</v>
      </c>
      <c r="F228" s="427">
        <f>D228</f>
        <v>4600</v>
      </c>
      <c r="G228" s="428"/>
      <c r="I228" s="524" t="s">
        <v>29</v>
      </c>
      <c r="J228" s="103"/>
      <c r="K228" s="494">
        <v>0</v>
      </c>
      <c r="L228" s="495"/>
      <c r="M228" s="494">
        <v>0</v>
      </c>
      <c r="N228" s="495"/>
      <c r="O228" s="494">
        <v>0</v>
      </c>
      <c r="P228" s="495"/>
      <c r="Q228" s="494">
        <v>0</v>
      </c>
      <c r="R228" s="495"/>
      <c r="S228" s="494">
        <v>0</v>
      </c>
      <c r="T228" s="495"/>
      <c r="U228" s="494">
        <v>0</v>
      </c>
      <c r="V228" s="106">
        <f>AVERAGE(K228,M228,O228,Q228,S228)</f>
        <v>0</v>
      </c>
    </row>
    <row r="229" spans="1:32" ht="16.8" x14ac:dyDescent="0.4">
      <c r="A229" s="426"/>
      <c r="B229" s="159">
        <v>0</v>
      </c>
      <c r="C229" s="427" t="s">
        <v>209</v>
      </c>
      <c r="D229" s="150">
        <v>0</v>
      </c>
      <c r="E229" s="150">
        <v>0</v>
      </c>
      <c r="F229" s="427">
        <v>0</v>
      </c>
      <c r="G229" s="428"/>
      <c r="I229" s="524" t="s">
        <v>22</v>
      </c>
      <c r="J229" s="103"/>
      <c r="K229" s="494">
        <v>2</v>
      </c>
      <c r="L229" s="495"/>
      <c r="M229" s="494">
        <v>2</v>
      </c>
      <c r="N229" s="495"/>
      <c r="O229" s="494">
        <v>2</v>
      </c>
      <c r="P229" s="495"/>
      <c r="Q229" s="494">
        <v>2</v>
      </c>
      <c r="R229" s="495"/>
      <c r="S229" s="494">
        <v>2</v>
      </c>
      <c r="T229" s="495"/>
      <c r="U229" s="494">
        <v>0</v>
      </c>
      <c r="V229" s="106">
        <f t="shared" ref="V229:V232" si="55">AVERAGE(K229,M229,O229,Q229,S229)</f>
        <v>2</v>
      </c>
    </row>
    <row r="230" spans="1:32" ht="16.8" x14ac:dyDescent="0.4">
      <c r="A230" s="426"/>
      <c r="B230" s="159">
        <v>2</v>
      </c>
      <c r="C230" s="427" t="s">
        <v>30</v>
      </c>
      <c r="D230" s="150">
        <f>2350+1950</f>
        <v>4300</v>
      </c>
      <c r="E230" s="150">
        <v>0</v>
      </c>
      <c r="F230" s="427">
        <f>+D230</f>
        <v>4300</v>
      </c>
      <c r="G230" s="428"/>
      <c r="I230" s="524" t="s">
        <v>30</v>
      </c>
      <c r="J230" s="103"/>
      <c r="K230" s="494">
        <v>2</v>
      </c>
      <c r="L230" s="495"/>
      <c r="M230" s="494">
        <v>2</v>
      </c>
      <c r="N230" s="495"/>
      <c r="O230" s="494">
        <v>2</v>
      </c>
      <c r="P230" s="495"/>
      <c r="Q230" s="494">
        <v>2</v>
      </c>
      <c r="R230" s="495"/>
      <c r="S230" s="494">
        <v>2</v>
      </c>
      <c r="T230" s="495"/>
      <c r="U230" s="494">
        <v>0</v>
      </c>
      <c r="V230" s="106">
        <f t="shared" si="55"/>
        <v>2</v>
      </c>
    </row>
    <row r="231" spans="1:32" ht="16.8" x14ac:dyDescent="0.45">
      <c r="A231" s="432"/>
      <c r="B231" s="433">
        <f>SUM(B227:B230)</f>
        <v>5</v>
      </c>
      <c r="C231" s="150"/>
      <c r="D231" s="434"/>
      <c r="E231" s="434"/>
      <c r="F231" s="435">
        <f>SUM(F227:F230)</f>
        <v>10850</v>
      </c>
      <c r="G231" s="431"/>
      <c r="I231" s="524" t="s">
        <v>32</v>
      </c>
      <c r="J231" s="103"/>
      <c r="K231" s="494">
        <v>1</v>
      </c>
      <c r="L231" s="495"/>
      <c r="M231" s="494">
        <v>1</v>
      </c>
      <c r="N231" s="495"/>
      <c r="O231" s="494">
        <v>1</v>
      </c>
      <c r="P231" s="495"/>
      <c r="Q231" s="494">
        <v>1</v>
      </c>
      <c r="R231" s="495"/>
      <c r="S231" s="494">
        <v>1</v>
      </c>
      <c r="T231" s="495"/>
      <c r="U231" s="494">
        <v>0</v>
      </c>
      <c r="V231" s="106">
        <f t="shared" si="55"/>
        <v>1</v>
      </c>
    </row>
    <row r="232" spans="1:32" ht="19.8" thickBot="1" x14ac:dyDescent="0.5">
      <c r="A232" s="432"/>
      <c r="B232" s="434"/>
      <c r="C232" s="150"/>
      <c r="D232" s="437"/>
      <c r="E232" s="438" t="s">
        <v>7</v>
      </c>
      <c r="F232" s="435">
        <f>S224</f>
        <v>650</v>
      </c>
      <c r="G232" s="439"/>
      <c r="I232" s="526"/>
      <c r="J232" s="527"/>
      <c r="K232" s="528">
        <f>SUM(K228:K231)</f>
        <v>5</v>
      </c>
      <c r="L232" s="528"/>
      <c r="M232" s="528">
        <f t="shared" ref="M232" si="56">SUM(M228:M231)</f>
        <v>5</v>
      </c>
      <c r="N232" s="528"/>
      <c r="O232" s="528">
        <f t="shared" ref="O232" si="57">SUM(O228:O231)</f>
        <v>5</v>
      </c>
      <c r="P232" s="528"/>
      <c r="Q232" s="528">
        <f t="shared" ref="Q232" si="58">SUM(Q228:Q231)</f>
        <v>5</v>
      </c>
      <c r="R232" s="528"/>
      <c r="S232" s="528">
        <f t="shared" ref="S232" si="59">SUM(S228:S231)</f>
        <v>5</v>
      </c>
      <c r="T232" s="528"/>
      <c r="U232" s="528">
        <f t="shared" ref="U232" si="60">SUM(U228:U231)</f>
        <v>0</v>
      </c>
      <c r="V232" s="559">
        <f t="shared" si="55"/>
        <v>5</v>
      </c>
    </row>
    <row r="233" spans="1:32" ht="16.8" x14ac:dyDescent="0.45">
      <c r="A233" s="432"/>
      <c r="B233" s="434"/>
      <c r="C233" s="150"/>
      <c r="D233" s="434"/>
      <c r="E233" s="438" t="s">
        <v>213</v>
      </c>
      <c r="F233" s="435">
        <f>U224</f>
        <v>1000</v>
      </c>
      <c r="G233" s="439"/>
      <c r="I233" s="390"/>
      <c r="S233" s="410"/>
      <c r="T233" s="410"/>
      <c r="U233" s="410"/>
    </row>
    <row r="234" spans="1:32" ht="16.8" x14ac:dyDescent="0.45">
      <c r="A234" s="432"/>
      <c r="B234" s="434"/>
      <c r="C234" s="150"/>
      <c r="D234" s="434"/>
      <c r="E234" s="438" t="s">
        <v>276</v>
      </c>
      <c r="F234" s="435">
        <f>W224</f>
        <v>2217.84</v>
      </c>
      <c r="G234" s="439"/>
      <c r="I234" s="390"/>
      <c r="S234" s="410"/>
      <c r="T234" s="410"/>
      <c r="U234" s="410"/>
    </row>
    <row r="235" spans="1:32" ht="16.8" x14ac:dyDescent="0.45">
      <c r="A235" s="432"/>
      <c r="B235" s="434"/>
      <c r="C235" s="150"/>
      <c r="D235" s="434"/>
      <c r="E235" s="438"/>
      <c r="F235" s="435"/>
      <c r="G235" s="439"/>
      <c r="I235" s="390"/>
      <c r="S235" s="410"/>
      <c r="T235" s="410"/>
      <c r="U235" s="410"/>
    </row>
    <row r="236" spans="1:32" ht="16.2" x14ac:dyDescent="0.4">
      <c r="A236" s="432"/>
      <c r="B236" s="434"/>
      <c r="C236" s="150"/>
      <c r="D236" s="434"/>
      <c r="E236" s="434"/>
      <c r="F236" s="441">
        <f>SUM(F231:F234)</f>
        <v>14717.84</v>
      </c>
      <c r="G236" s="431"/>
      <c r="S236" s="410"/>
      <c r="T236" s="410"/>
      <c r="U236" s="410"/>
    </row>
    <row r="237" spans="1:32" ht="16.8" thickBot="1" x14ac:dyDescent="0.45">
      <c r="A237" s="442"/>
      <c r="B237" s="443"/>
      <c r="C237" s="444"/>
      <c r="D237" s="445"/>
      <c r="E237" s="445"/>
      <c r="F237" s="445"/>
      <c r="G237" s="446"/>
    </row>
    <row r="238" spans="1:32" ht="15" thickBot="1" x14ac:dyDescent="0.35">
      <c r="A238"/>
    </row>
    <row r="239" spans="1:32" ht="42.75" customHeight="1" thickBot="1" x14ac:dyDescent="0.45">
      <c r="B239" s="861" t="str">
        <f>+B1</f>
        <v>SEMANA DEL 23 AL 29 DE JUNIO DEL 2025</v>
      </c>
      <c r="C239" s="862"/>
      <c r="D239" s="862"/>
      <c r="E239" s="862"/>
      <c r="F239" s="862"/>
      <c r="G239" s="862"/>
      <c r="H239" s="862"/>
      <c r="I239" s="862"/>
      <c r="J239" s="862"/>
      <c r="K239" s="862"/>
      <c r="L239" s="862"/>
      <c r="M239" s="862"/>
      <c r="N239" s="862"/>
      <c r="O239" s="862"/>
      <c r="P239" s="862"/>
      <c r="Q239" s="863"/>
      <c r="R239" s="68"/>
      <c r="S239" s="68"/>
      <c r="T239" s="68"/>
      <c r="U239" s="68"/>
      <c r="V239" s="68"/>
      <c r="W239" s="68"/>
    </row>
    <row r="240" spans="1:32" ht="26.25" customHeight="1" x14ac:dyDescent="0.4">
      <c r="B240" s="892" t="s">
        <v>141</v>
      </c>
      <c r="C240" s="893"/>
      <c r="D240" s="893"/>
      <c r="E240" s="893"/>
      <c r="F240" s="893"/>
      <c r="G240" s="893"/>
      <c r="H240" s="893"/>
      <c r="I240" s="893"/>
      <c r="J240" s="893"/>
      <c r="K240" s="893"/>
      <c r="L240" s="893"/>
      <c r="M240" s="893"/>
      <c r="N240" s="893"/>
      <c r="O240" s="893"/>
      <c r="P240" s="893"/>
      <c r="Q240" s="894"/>
      <c r="R240" s="873" t="s">
        <v>200</v>
      </c>
      <c r="S240" s="857" t="s">
        <v>201</v>
      </c>
      <c r="T240" s="857" t="s">
        <v>202</v>
      </c>
      <c r="U240" s="857" t="s">
        <v>226</v>
      </c>
      <c r="V240" s="857" t="s">
        <v>223</v>
      </c>
      <c r="W240" s="857" t="s">
        <v>210</v>
      </c>
      <c r="X240" s="859" t="s">
        <v>203</v>
      </c>
    </row>
    <row r="241" spans="1:50" ht="14.25" customHeight="1" x14ac:dyDescent="0.3">
      <c r="A241" s="474"/>
      <c r="B241" s="476" t="s">
        <v>185</v>
      </c>
      <c r="C241" s="477" t="s">
        <v>135</v>
      </c>
      <c r="D241" s="477" t="s">
        <v>136</v>
      </c>
      <c r="E241" s="478" t="s">
        <v>8</v>
      </c>
      <c r="F241" s="478"/>
      <c r="G241" s="478" t="s">
        <v>9</v>
      </c>
      <c r="H241" s="478"/>
      <c r="I241" s="478" t="s">
        <v>9</v>
      </c>
      <c r="J241" s="478"/>
      <c r="K241" s="478" t="s">
        <v>10</v>
      </c>
      <c r="L241" s="478"/>
      <c r="M241" s="478" t="s">
        <v>11</v>
      </c>
      <c r="N241" s="478"/>
      <c r="O241" s="478" t="s">
        <v>12</v>
      </c>
      <c r="P241" s="478"/>
      <c r="Q241" s="481" t="s">
        <v>186</v>
      </c>
      <c r="R241" s="874"/>
      <c r="S241" s="858"/>
      <c r="T241" s="858"/>
      <c r="U241" s="858"/>
      <c r="V241" s="858"/>
      <c r="W241" s="858"/>
      <c r="X241" s="860"/>
      <c r="Y241" s="535"/>
      <c r="Z241" s="390"/>
      <c r="AA241" s="390"/>
      <c r="AB241" s="390"/>
      <c r="AC241" s="390"/>
      <c r="AD241" s="390"/>
      <c r="AE241" s="390"/>
      <c r="AF241" s="390"/>
    </row>
    <row r="242" spans="1:50" x14ac:dyDescent="0.3">
      <c r="A242" s="397"/>
      <c r="B242" s="483">
        <v>97</v>
      </c>
      <c r="C242" s="396" t="s">
        <v>101</v>
      </c>
      <c r="D242" s="664" t="s">
        <v>142</v>
      </c>
      <c r="E242" s="395">
        <v>1</v>
      </c>
      <c r="F242" s="401"/>
      <c r="G242" s="566">
        <v>1</v>
      </c>
      <c r="H242" s="401"/>
      <c r="I242" s="354">
        <v>1</v>
      </c>
      <c r="J242" s="401"/>
      <c r="K242" s="395">
        <v>1</v>
      </c>
      <c r="L242" s="354"/>
      <c r="M242" s="395">
        <v>1</v>
      </c>
      <c r="N242" s="354"/>
      <c r="O242" s="354"/>
      <c r="P242" s="354"/>
      <c r="Q242" s="579"/>
      <c r="R242" s="455">
        <v>3500</v>
      </c>
      <c r="S242" s="393"/>
      <c r="T242" s="393"/>
      <c r="U242" s="393"/>
      <c r="V242" s="393"/>
      <c r="W242" s="393"/>
      <c r="X242" s="491">
        <f t="shared" ref="X242:X247" si="61">(R242+S242+T242+U242+V242+W242)</f>
        <v>3500</v>
      </c>
    </row>
    <row r="243" spans="1:50" x14ac:dyDescent="0.3">
      <c r="A243" s="397"/>
      <c r="B243" s="551">
        <v>172</v>
      </c>
      <c r="C243" s="396" t="s">
        <v>167</v>
      </c>
      <c r="D243" s="669" t="s">
        <v>179</v>
      </c>
      <c r="E243" s="354">
        <v>1</v>
      </c>
      <c r="F243" s="401"/>
      <c r="G243" s="566">
        <v>1</v>
      </c>
      <c r="H243" s="401"/>
      <c r="I243" s="354">
        <v>1</v>
      </c>
      <c r="J243" s="401"/>
      <c r="K243" s="395">
        <v>1</v>
      </c>
      <c r="L243" s="401"/>
      <c r="M243" s="354">
        <v>1</v>
      </c>
      <c r="N243" s="401"/>
      <c r="O243" s="354"/>
      <c r="P243" s="395"/>
      <c r="Q243" s="732"/>
      <c r="R243" s="455">
        <v>4000</v>
      </c>
      <c r="S243" s="393"/>
      <c r="T243" s="393"/>
      <c r="U243" s="393"/>
      <c r="V243" s="393"/>
      <c r="W243" s="393"/>
      <c r="X243" s="491">
        <f t="shared" si="61"/>
        <v>4000</v>
      </c>
    </row>
    <row r="244" spans="1:50" x14ac:dyDescent="0.3">
      <c r="A244" s="397"/>
      <c r="B244" s="488">
        <v>165</v>
      </c>
      <c r="C244" s="396" t="s">
        <v>150</v>
      </c>
      <c r="D244" s="666" t="s">
        <v>197</v>
      </c>
      <c r="E244" s="354">
        <v>1</v>
      </c>
      <c r="F244" s="401"/>
      <c r="G244" s="566">
        <v>1</v>
      </c>
      <c r="H244" s="401"/>
      <c r="I244" s="354">
        <v>1</v>
      </c>
      <c r="J244" s="401"/>
      <c r="K244" s="395">
        <v>1</v>
      </c>
      <c r="L244" s="401"/>
      <c r="M244" s="354">
        <v>1</v>
      </c>
      <c r="N244" s="401"/>
      <c r="O244" s="354"/>
      <c r="P244" s="395"/>
      <c r="Q244" s="733"/>
      <c r="R244" s="455">
        <v>7000</v>
      </c>
      <c r="S244" s="538">
        <v>300</v>
      </c>
      <c r="T244" s="393"/>
      <c r="U244" s="393"/>
      <c r="V244" s="393"/>
      <c r="W244" s="393"/>
      <c r="X244" s="491">
        <f t="shared" si="61"/>
        <v>7300</v>
      </c>
    </row>
    <row r="245" spans="1:50" x14ac:dyDescent="0.3">
      <c r="A245" s="397"/>
      <c r="B245" s="488">
        <v>256</v>
      </c>
      <c r="C245" s="396" t="s">
        <v>267</v>
      </c>
      <c r="D245" s="667" t="s">
        <v>198</v>
      </c>
      <c r="E245" s="354">
        <v>1</v>
      </c>
      <c r="F245" s="401"/>
      <c r="G245" s="354">
        <v>1</v>
      </c>
      <c r="H245" s="401"/>
      <c r="I245" s="354">
        <v>1</v>
      </c>
      <c r="J245" s="401"/>
      <c r="K245" s="395">
        <v>1</v>
      </c>
      <c r="L245" s="401"/>
      <c r="M245" s="354">
        <v>1</v>
      </c>
      <c r="N245" s="401"/>
      <c r="O245" s="354"/>
      <c r="P245" s="395"/>
      <c r="Q245" s="733"/>
      <c r="R245" s="455">
        <v>1950</v>
      </c>
      <c r="S245" s="539">
        <v>200</v>
      </c>
      <c r="T245" s="393"/>
      <c r="U245" s="393"/>
      <c r="V245" s="393"/>
      <c r="W245" s="393"/>
      <c r="X245" s="491">
        <f t="shared" si="61"/>
        <v>2150</v>
      </c>
    </row>
    <row r="246" spans="1:50" ht="15.75" customHeight="1" x14ac:dyDescent="0.3">
      <c r="A246" s="397"/>
      <c r="B246" s="483">
        <v>89</v>
      </c>
      <c r="C246" s="396" t="s">
        <v>97</v>
      </c>
      <c r="D246" s="668" t="s">
        <v>66</v>
      </c>
      <c r="E246" s="354">
        <v>1</v>
      </c>
      <c r="F246" s="401"/>
      <c r="G246" s="354">
        <v>1</v>
      </c>
      <c r="H246" s="354"/>
      <c r="I246" s="354">
        <v>1</v>
      </c>
      <c r="J246" s="401"/>
      <c r="K246" s="395">
        <v>1</v>
      </c>
      <c r="L246" s="401"/>
      <c r="M246" s="354">
        <v>1</v>
      </c>
      <c r="N246" s="401"/>
      <c r="O246" s="354"/>
      <c r="P246" s="401"/>
      <c r="Q246" s="579"/>
      <c r="R246" s="455">
        <v>1950</v>
      </c>
      <c r="S246" s="539">
        <v>150</v>
      </c>
      <c r="T246" s="393"/>
      <c r="U246" s="393"/>
      <c r="V246" s="393"/>
      <c r="W246" s="393">
        <v>278.57</v>
      </c>
      <c r="X246" s="491">
        <f t="shared" si="61"/>
        <v>2378.5700000000002</v>
      </c>
    </row>
    <row r="247" spans="1:50" x14ac:dyDescent="0.3">
      <c r="A247" s="712"/>
      <c r="B247" s="483">
        <v>268</v>
      </c>
      <c r="C247" s="396" t="s">
        <v>305</v>
      </c>
      <c r="D247" s="667" t="s">
        <v>198</v>
      </c>
      <c r="E247" s="354">
        <v>1</v>
      </c>
      <c r="F247" s="401"/>
      <c r="G247" s="354">
        <v>1</v>
      </c>
      <c r="H247" s="354"/>
      <c r="I247" s="721">
        <v>0</v>
      </c>
      <c r="J247" s="749" t="s">
        <v>166</v>
      </c>
      <c r="K247" s="729">
        <v>0</v>
      </c>
      <c r="L247" s="749" t="s">
        <v>166</v>
      </c>
      <c r="M247" s="721">
        <v>0</v>
      </c>
      <c r="N247" s="749" t="s">
        <v>166</v>
      </c>
      <c r="O247" s="721"/>
      <c r="P247" s="749"/>
      <c r="Q247" s="786"/>
      <c r="R247" s="581">
        <v>557.14</v>
      </c>
      <c r="S247" s="539"/>
      <c r="T247" s="457"/>
      <c r="U247" s="457"/>
      <c r="V247" s="393"/>
      <c r="W247" s="393"/>
      <c r="X247" s="491">
        <f t="shared" si="61"/>
        <v>557.14</v>
      </c>
      <c r="Y247" s="182">
        <v>-1392.86</v>
      </c>
    </row>
    <row r="248" spans="1:50" x14ac:dyDescent="0.3">
      <c r="A248" s="474" t="e">
        <f>#REF!+1</f>
        <v>#REF!</v>
      </c>
      <c r="B248" s="747">
        <v>32</v>
      </c>
      <c r="C248" s="745" t="s">
        <v>54</v>
      </c>
      <c r="D248" s="746"/>
      <c r="E248" s="542"/>
      <c r="F248" s="692"/>
      <c r="G248" s="542"/>
      <c r="H248" s="692"/>
      <c r="I248" s="542"/>
      <c r="J248" s="692"/>
      <c r="K248" s="713"/>
      <c r="L248" s="692"/>
      <c r="M248" s="542"/>
      <c r="N248" s="692"/>
      <c r="O248" s="542"/>
      <c r="P248" s="713"/>
      <c r="Q248" s="695"/>
      <c r="R248" s="696">
        <v>3000</v>
      </c>
      <c r="S248" s="697"/>
      <c r="T248" s="697"/>
      <c r="U248" s="697"/>
      <c r="V248" s="697"/>
      <c r="W248" s="697"/>
      <c r="X248" s="698">
        <v>3020</v>
      </c>
      <c r="Y248" s="793" t="s">
        <v>169</v>
      </c>
    </row>
    <row r="249" spans="1:50" s="407" customFormat="1" x14ac:dyDescent="0.3">
      <c r="A249" s="397"/>
      <c r="B249" s="483">
        <v>34</v>
      </c>
      <c r="C249" s="396" t="s">
        <v>62</v>
      </c>
      <c r="D249" s="667" t="s">
        <v>198</v>
      </c>
      <c r="E249" s="354">
        <v>1</v>
      </c>
      <c r="F249" s="401"/>
      <c r="G249" s="354">
        <v>1</v>
      </c>
      <c r="H249" s="401"/>
      <c r="I249" s="354">
        <v>1</v>
      </c>
      <c r="J249" s="401"/>
      <c r="K249" s="395">
        <v>1</v>
      </c>
      <c r="L249" s="401"/>
      <c r="M249" s="354">
        <v>1</v>
      </c>
      <c r="N249" s="401"/>
      <c r="O249" s="354"/>
      <c r="P249" s="401"/>
      <c r="Q249" s="579"/>
      <c r="R249" s="455">
        <v>4000</v>
      </c>
      <c r="S249" s="393"/>
      <c r="T249" s="393"/>
      <c r="U249" s="393"/>
      <c r="V249" s="393"/>
      <c r="W249" s="393"/>
      <c r="X249" s="491">
        <f>(R249+S249+T249+U249+V249+W249)</f>
        <v>4000</v>
      </c>
      <c r="Y249" s="532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</row>
    <row r="250" spans="1:50" s="407" customFormat="1" x14ac:dyDescent="0.3">
      <c r="A250" s="625"/>
      <c r="B250" s="483">
        <v>35</v>
      </c>
      <c r="C250" s="396" t="s">
        <v>63</v>
      </c>
      <c r="D250" s="665" t="s">
        <v>67</v>
      </c>
      <c r="E250" s="542">
        <v>0</v>
      </c>
      <c r="F250" s="692" t="s">
        <v>536</v>
      </c>
      <c r="G250" s="354">
        <v>1</v>
      </c>
      <c r="H250" s="354"/>
      <c r="I250" s="354">
        <v>1</v>
      </c>
      <c r="J250" s="401"/>
      <c r="K250" s="395">
        <v>1</v>
      </c>
      <c r="L250" s="354"/>
      <c r="M250" s="354">
        <v>1</v>
      </c>
      <c r="N250" s="401"/>
      <c r="O250" s="354">
        <v>1</v>
      </c>
      <c r="P250" s="401"/>
      <c r="Q250" s="579">
        <v>1</v>
      </c>
      <c r="R250" s="581">
        <v>2400</v>
      </c>
      <c r="S250" s="457"/>
      <c r="T250" s="457"/>
      <c r="U250" s="457"/>
      <c r="V250" s="393"/>
      <c r="W250" s="393"/>
      <c r="X250" s="491">
        <f>(R250+S250+T250+U250+V250+W250)</f>
        <v>2400</v>
      </c>
      <c r="Y250" s="533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</row>
    <row r="251" spans="1:50" s="407" customFormat="1" x14ac:dyDescent="0.3">
      <c r="A251" s="699"/>
      <c r="B251" s="483">
        <v>118</v>
      </c>
      <c r="C251" s="396" t="s">
        <v>250</v>
      </c>
      <c r="D251" s="669" t="s">
        <v>179</v>
      </c>
      <c r="E251" s="354">
        <v>1</v>
      </c>
      <c r="F251" s="401"/>
      <c r="G251" s="354">
        <v>1</v>
      </c>
      <c r="H251" s="401"/>
      <c r="I251" s="354">
        <v>1</v>
      </c>
      <c r="J251" s="401"/>
      <c r="K251" s="354">
        <v>1</v>
      </c>
      <c r="L251" s="401"/>
      <c r="M251" s="354">
        <v>1</v>
      </c>
      <c r="N251" s="401"/>
      <c r="O251" s="354"/>
      <c r="P251" s="401"/>
      <c r="Q251" s="579"/>
      <c r="R251" s="581">
        <v>1950</v>
      </c>
      <c r="S251" s="539">
        <v>200</v>
      </c>
      <c r="T251" s="457"/>
      <c r="U251" s="457"/>
      <c r="V251" s="393"/>
      <c r="W251" s="393"/>
      <c r="X251" s="491">
        <f>(R251+S251+T251+U251+V251+W251)</f>
        <v>2150</v>
      </c>
      <c r="Y251" s="533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</row>
    <row r="252" spans="1:50" x14ac:dyDescent="0.3">
      <c r="A252" s="589"/>
      <c r="B252" s="483">
        <v>41</v>
      </c>
      <c r="C252" s="456" t="s">
        <v>64</v>
      </c>
      <c r="D252" s="670" t="s">
        <v>68</v>
      </c>
      <c r="E252" s="354">
        <v>1</v>
      </c>
      <c r="F252" s="401"/>
      <c r="G252" s="354">
        <v>1</v>
      </c>
      <c r="H252" s="401"/>
      <c r="I252" s="354">
        <v>1</v>
      </c>
      <c r="J252" s="401"/>
      <c r="K252" s="354">
        <v>1</v>
      </c>
      <c r="L252" s="401"/>
      <c r="M252" s="354">
        <v>1</v>
      </c>
      <c r="N252" s="401"/>
      <c r="O252" s="400"/>
      <c r="P252" s="400"/>
      <c r="Q252" s="734"/>
      <c r="R252" s="582">
        <v>4000</v>
      </c>
      <c r="S252" s="118"/>
      <c r="T252" s="118"/>
      <c r="U252" s="118"/>
      <c r="V252" s="118"/>
      <c r="W252" s="393"/>
      <c r="X252" s="491">
        <f>(R252+S252+T252+U252+V252+W252)</f>
        <v>4000</v>
      </c>
      <c r="Y252" s="536"/>
      <c r="Z252" s="181"/>
      <c r="AA252" s="181"/>
      <c r="AB252" s="181"/>
      <c r="AC252" s="181"/>
      <c r="AD252" s="181"/>
      <c r="AE252" s="181"/>
      <c r="AF252" s="181"/>
      <c r="AG252" s="181"/>
      <c r="AH252" s="181"/>
      <c r="AI252" s="181"/>
      <c r="AJ252" s="181"/>
      <c r="AK252" s="181"/>
      <c r="AL252" s="181"/>
      <c r="AM252" s="181"/>
      <c r="AN252" s="181"/>
      <c r="AO252" s="181"/>
      <c r="AP252" s="181"/>
      <c r="AQ252" s="181"/>
      <c r="AR252" s="181"/>
      <c r="AS252" s="181"/>
      <c r="AT252" s="181"/>
      <c r="AU252" s="181"/>
      <c r="AV252" s="181"/>
      <c r="AW252" s="181"/>
      <c r="AX252" s="181"/>
    </row>
    <row r="253" spans="1:50" ht="15" thickBot="1" x14ac:dyDescent="0.35">
      <c r="A253" s="589"/>
      <c r="B253" s="487">
        <v>245</v>
      </c>
      <c r="C253" s="636" t="s">
        <v>247</v>
      </c>
      <c r="D253" s="656" t="s">
        <v>69</v>
      </c>
      <c r="E253" s="743">
        <v>0</v>
      </c>
      <c r="F253" s="744" t="s">
        <v>129</v>
      </c>
      <c r="G253" s="463">
        <v>1</v>
      </c>
      <c r="H253" s="463"/>
      <c r="I253" s="463">
        <v>1</v>
      </c>
      <c r="J253" s="531"/>
      <c r="K253" s="635">
        <v>1</v>
      </c>
      <c r="L253" s="531"/>
      <c r="M253" s="463">
        <v>1</v>
      </c>
      <c r="N253" s="531"/>
      <c r="O253" s="463"/>
      <c r="P253" s="463"/>
      <c r="Q253" s="482"/>
      <c r="R253" s="637">
        <v>1392.65</v>
      </c>
      <c r="S253" s="630"/>
      <c r="T253" s="554"/>
      <c r="U253" s="630"/>
      <c r="V253" s="554"/>
      <c r="W253" s="554"/>
      <c r="X253" s="512">
        <f>(R253+S253+T253+U253+V253+W253)</f>
        <v>1392.65</v>
      </c>
      <c r="Y253" s="532">
        <v>-557.35</v>
      </c>
      <c r="Z253" s="181"/>
      <c r="AA253" s="181"/>
      <c r="AB253" s="181"/>
      <c r="AC253" s="181"/>
      <c r="AD253" s="181"/>
      <c r="AE253" s="181"/>
      <c r="AF253" s="181"/>
      <c r="AG253" s="181"/>
      <c r="AH253" s="181"/>
      <c r="AI253" s="181"/>
      <c r="AJ253" s="181"/>
      <c r="AK253" s="181"/>
      <c r="AL253" s="181"/>
      <c r="AM253" s="181"/>
      <c r="AN253" s="181"/>
      <c r="AO253" s="181"/>
      <c r="AP253" s="181"/>
      <c r="AQ253" s="181"/>
      <c r="AR253" s="181"/>
      <c r="AS253" s="181"/>
      <c r="AT253" s="181"/>
      <c r="AU253" s="181"/>
      <c r="AV253" s="181"/>
      <c r="AW253" s="181"/>
      <c r="AX253" s="181"/>
    </row>
    <row r="254" spans="1:50" s="407" customFormat="1" x14ac:dyDescent="0.3">
      <c r="A254" s="402"/>
      <c r="B254" s="403"/>
      <c r="C254" s="404"/>
      <c r="D254" s="647"/>
      <c r="E254" s="405">
        <f>SUM(E242:E253)</f>
        <v>9</v>
      </c>
      <c r="F254" s="405"/>
      <c r="G254" s="405">
        <f>SUM(G242:G253)</f>
        <v>11</v>
      </c>
      <c r="H254" s="405"/>
      <c r="I254" s="405">
        <f>SUM(I242:I253)</f>
        <v>10</v>
      </c>
      <c r="J254" s="405"/>
      <c r="K254" s="405">
        <f>SUM(K242:K253)</f>
        <v>10</v>
      </c>
      <c r="L254" s="405"/>
      <c r="M254" s="405">
        <f>SUM(M242:M253)</f>
        <v>10</v>
      </c>
      <c r="N254" s="405"/>
      <c r="O254" s="405"/>
      <c r="P254" s="405"/>
      <c r="Q254" s="405"/>
      <c r="R254" s="402"/>
      <c r="S254" s="402">
        <f>SUM(S242:S253)</f>
        <v>850</v>
      </c>
      <c r="T254" s="402">
        <f>SUM(T242:T253)</f>
        <v>0</v>
      </c>
      <c r="U254" s="402">
        <f>SUM(U242:U253)</f>
        <v>0</v>
      </c>
      <c r="V254" s="402">
        <f>SUM(V242:V253)</f>
        <v>0</v>
      </c>
      <c r="W254" s="402">
        <f>SUM(W242:W253)</f>
        <v>278.57</v>
      </c>
      <c r="X254" s="506">
        <f>SUM(X242:X253)-Y253-Y247</f>
        <v>38798.57</v>
      </c>
      <c r="Y254" s="533"/>
    </row>
    <row r="255" spans="1:50" s="410" customFormat="1" ht="15" thickBot="1" x14ac:dyDescent="0.35">
      <c r="A255" s="287"/>
      <c r="B255"/>
      <c r="C255"/>
      <c r="D255" s="390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 s="532"/>
      <c r="Z255"/>
      <c r="AA255"/>
      <c r="AB255"/>
      <c r="AC255"/>
      <c r="AD255"/>
      <c r="AE255"/>
      <c r="AF255"/>
    </row>
    <row r="256" spans="1:50" ht="16.8" x14ac:dyDescent="0.45">
      <c r="A256"/>
      <c r="B256" s="422"/>
      <c r="C256" s="422"/>
      <c r="D256" s="423" t="s">
        <v>14</v>
      </c>
      <c r="E256" s="423" t="s">
        <v>206</v>
      </c>
      <c r="F256" s="423" t="s">
        <v>17</v>
      </c>
      <c r="G256" s="423"/>
      <c r="H256" s="424"/>
      <c r="I256" s="425"/>
      <c r="X256" s="448">
        <f>F273-X254</f>
        <v>0</v>
      </c>
    </row>
    <row r="257" spans="1:25" ht="16.8" thickBot="1" x14ac:dyDescent="0.45">
      <c r="A257"/>
      <c r="B257" s="159">
        <v>0</v>
      </c>
      <c r="C257" s="497" t="s">
        <v>107</v>
      </c>
      <c r="D257" s="427">
        <v>0</v>
      </c>
      <c r="E257" s="150">
        <v>0</v>
      </c>
      <c r="F257" s="150">
        <f>D257*B257</f>
        <v>0</v>
      </c>
      <c r="G257" s="150"/>
      <c r="H257" s="428"/>
      <c r="I257" s="429"/>
      <c r="J257" s="8"/>
      <c r="K257" s="91"/>
      <c r="L257" s="42" t="s">
        <v>8</v>
      </c>
      <c r="M257" s="42"/>
      <c r="N257" s="42" t="s">
        <v>9</v>
      </c>
      <c r="O257" s="42"/>
      <c r="P257" s="42" t="s">
        <v>9</v>
      </c>
      <c r="Q257" s="42"/>
      <c r="R257" s="42" t="s">
        <v>10</v>
      </c>
      <c r="S257" s="42"/>
      <c r="T257" s="42" t="s">
        <v>11</v>
      </c>
      <c r="U257" s="42"/>
      <c r="V257" s="42" t="s">
        <v>12</v>
      </c>
      <c r="W257" s="42"/>
    </row>
    <row r="258" spans="1:25" ht="26.25" customHeight="1" x14ac:dyDescent="0.4">
      <c r="A258"/>
      <c r="B258" s="159">
        <v>0</v>
      </c>
      <c r="C258" s="498" t="s">
        <v>99</v>
      </c>
      <c r="D258" s="427">
        <v>0</v>
      </c>
      <c r="E258" s="150">
        <v>0</v>
      </c>
      <c r="F258" s="427">
        <f>D258*B258</f>
        <v>0</v>
      </c>
      <c r="G258" s="427"/>
      <c r="H258" s="428"/>
      <c r="I258" s="429"/>
      <c r="J258" s="95"/>
      <c r="K258" s="96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8" t="s">
        <v>28</v>
      </c>
    </row>
    <row r="259" spans="1:25" ht="23.25" customHeight="1" x14ac:dyDescent="0.4">
      <c r="A259"/>
      <c r="B259" s="68">
        <v>1</v>
      </c>
      <c r="C259" s="427" t="s">
        <v>65</v>
      </c>
      <c r="D259" s="427">
        <f>7000*B259</f>
        <v>7000</v>
      </c>
      <c r="E259" s="150">
        <v>0</v>
      </c>
      <c r="F259" s="150">
        <f>+(D259*B259)+E259</f>
        <v>7000</v>
      </c>
      <c r="G259" s="150"/>
      <c r="H259" s="431"/>
      <c r="I259" s="429"/>
      <c r="J259" s="514" t="s">
        <v>107</v>
      </c>
      <c r="K259" s="103"/>
      <c r="L259" s="104">
        <v>0</v>
      </c>
      <c r="M259" s="105"/>
      <c r="N259" s="104">
        <v>0</v>
      </c>
      <c r="O259" s="105"/>
      <c r="P259" s="104">
        <v>0</v>
      </c>
      <c r="Q259" s="105"/>
      <c r="R259" s="104">
        <v>0</v>
      </c>
      <c r="S259" s="105"/>
      <c r="T259" s="104">
        <v>0</v>
      </c>
      <c r="U259" s="105"/>
      <c r="V259" s="104">
        <v>0</v>
      </c>
      <c r="W259" s="106">
        <f>AVERAGE(L259,N259,P259,R259,T259)</f>
        <v>0</v>
      </c>
    </row>
    <row r="260" spans="1:25" ht="17.25" customHeight="1" x14ac:dyDescent="0.4">
      <c r="A260"/>
      <c r="B260" s="22">
        <v>1</v>
      </c>
      <c r="C260" s="499" t="s">
        <v>113</v>
      </c>
      <c r="D260" s="427">
        <v>3500</v>
      </c>
      <c r="E260" s="150">
        <v>0</v>
      </c>
      <c r="F260" s="150">
        <f>D260*B260</f>
        <v>3500</v>
      </c>
      <c r="G260" s="150"/>
      <c r="H260" s="431"/>
      <c r="I260" s="429"/>
      <c r="J260" s="515" t="s">
        <v>99</v>
      </c>
      <c r="K260" s="103"/>
      <c r="L260" s="104">
        <v>0</v>
      </c>
      <c r="M260" s="105"/>
      <c r="N260" s="104">
        <v>0</v>
      </c>
      <c r="O260" s="105"/>
      <c r="P260" s="104">
        <v>0</v>
      </c>
      <c r="Q260" s="105"/>
      <c r="R260" s="104">
        <v>0</v>
      </c>
      <c r="S260" s="105"/>
      <c r="T260" s="104">
        <v>0</v>
      </c>
      <c r="U260" s="105"/>
      <c r="V260" s="104">
        <v>0</v>
      </c>
      <c r="W260" s="106">
        <f t="shared" ref="W260:W269" si="62">AVERAGE(L260,N260,P260,R260,T260)</f>
        <v>0</v>
      </c>
    </row>
    <row r="261" spans="1:25" ht="21" customHeight="1" x14ac:dyDescent="0.4">
      <c r="A261"/>
      <c r="B261" s="22">
        <v>2</v>
      </c>
      <c r="C261" s="500" t="s">
        <v>246</v>
      </c>
      <c r="D261" s="427">
        <f>4000+1950</f>
        <v>5950</v>
      </c>
      <c r="E261" s="150">
        <v>0</v>
      </c>
      <c r="F261" s="150">
        <f>D261</f>
        <v>5950</v>
      </c>
      <c r="G261" s="150"/>
      <c r="H261" s="431"/>
      <c r="I261" s="429"/>
      <c r="J261" s="516" t="s">
        <v>65</v>
      </c>
      <c r="K261" s="103"/>
      <c r="L261" s="104">
        <v>1</v>
      </c>
      <c r="M261" s="105"/>
      <c r="N261" s="104">
        <v>1</v>
      </c>
      <c r="O261" s="105"/>
      <c r="P261" s="104">
        <v>1</v>
      </c>
      <c r="Q261" s="105"/>
      <c r="R261" s="104">
        <v>1</v>
      </c>
      <c r="S261" s="105"/>
      <c r="T261" s="104">
        <v>1</v>
      </c>
      <c r="U261" s="105"/>
      <c r="V261" s="104">
        <v>0</v>
      </c>
      <c r="W261" s="106">
        <f t="shared" si="62"/>
        <v>1</v>
      </c>
      <c r="X261" s="530"/>
      <c r="Y261" s="576"/>
    </row>
    <row r="262" spans="1:25" ht="15" customHeight="1" x14ac:dyDescent="0.4">
      <c r="A262"/>
      <c r="B262" s="68">
        <v>1</v>
      </c>
      <c r="C262" s="501" t="s">
        <v>66</v>
      </c>
      <c r="D262" s="427">
        <v>1950</v>
      </c>
      <c r="E262" s="150">
        <v>0</v>
      </c>
      <c r="F262" s="150">
        <f>+B262*(D262+E262)</f>
        <v>1950</v>
      </c>
      <c r="G262" s="150"/>
      <c r="H262" s="431"/>
      <c r="I262" s="429"/>
      <c r="J262" s="517" t="s">
        <v>113</v>
      </c>
      <c r="K262" s="103"/>
      <c r="L262" s="104">
        <v>1</v>
      </c>
      <c r="M262" s="105"/>
      <c r="N262" s="104">
        <v>1</v>
      </c>
      <c r="O262" s="105"/>
      <c r="P262" s="104">
        <v>1</v>
      </c>
      <c r="Q262" s="105"/>
      <c r="R262" s="104">
        <v>1</v>
      </c>
      <c r="S262" s="105"/>
      <c r="T262" s="104">
        <v>1</v>
      </c>
      <c r="U262" s="105"/>
      <c r="V262" s="104">
        <v>0</v>
      </c>
      <c r="W262" s="106">
        <f t="shared" si="62"/>
        <v>1</v>
      </c>
      <c r="X262" s="448"/>
    </row>
    <row r="263" spans="1:25" ht="16.8" x14ac:dyDescent="0.4">
      <c r="A263"/>
      <c r="B263" s="68">
        <v>1</v>
      </c>
      <c r="C263" s="502" t="s">
        <v>67</v>
      </c>
      <c r="D263" s="427">
        <f>2400*B263</f>
        <v>2400</v>
      </c>
      <c r="E263" s="150">
        <v>0</v>
      </c>
      <c r="F263" s="150">
        <f>+B263*D263+E263</f>
        <v>2400</v>
      </c>
      <c r="G263" s="150"/>
      <c r="H263" s="431"/>
      <c r="I263" s="429"/>
      <c r="J263" s="518" t="s">
        <v>179</v>
      </c>
      <c r="K263" s="103"/>
      <c r="L263" s="104">
        <v>2</v>
      </c>
      <c r="M263" s="105"/>
      <c r="N263" s="104">
        <v>2</v>
      </c>
      <c r="O263" s="105"/>
      <c r="P263" s="104">
        <v>2</v>
      </c>
      <c r="Q263" s="105"/>
      <c r="R263" s="104">
        <v>2</v>
      </c>
      <c r="S263" s="105"/>
      <c r="T263" s="104">
        <v>2</v>
      </c>
      <c r="U263" s="105"/>
      <c r="V263" s="104">
        <v>0</v>
      </c>
      <c r="W263" s="106">
        <f t="shared" si="62"/>
        <v>2</v>
      </c>
    </row>
    <row r="264" spans="1:25" ht="24" customHeight="1" x14ac:dyDescent="0.4">
      <c r="A264"/>
      <c r="B264" s="68">
        <v>0</v>
      </c>
      <c r="C264" s="503" t="s">
        <v>33</v>
      </c>
      <c r="D264" s="427">
        <v>1550</v>
      </c>
      <c r="E264" s="150">
        <v>0</v>
      </c>
      <c r="F264" s="427">
        <f>+B264*(D264+E264)</f>
        <v>0</v>
      </c>
      <c r="G264" s="427"/>
      <c r="H264" s="431"/>
      <c r="I264" s="429"/>
      <c r="J264" s="519" t="s">
        <v>66</v>
      </c>
      <c r="K264" s="103"/>
      <c r="L264" s="104">
        <v>1</v>
      </c>
      <c r="M264" s="105"/>
      <c r="N264" s="104">
        <v>1</v>
      </c>
      <c r="O264" s="105"/>
      <c r="P264" s="104">
        <v>1</v>
      </c>
      <c r="Q264" s="105"/>
      <c r="R264" s="104">
        <v>1</v>
      </c>
      <c r="S264" s="105"/>
      <c r="T264" s="104">
        <v>1</v>
      </c>
      <c r="U264" s="105"/>
      <c r="V264" s="104">
        <v>0</v>
      </c>
      <c r="W264" s="106">
        <f t="shared" si="62"/>
        <v>1</v>
      </c>
    </row>
    <row r="265" spans="1:25" ht="16.8" x14ac:dyDescent="0.4">
      <c r="A265"/>
      <c r="B265" s="68">
        <v>1</v>
      </c>
      <c r="C265" s="427" t="s">
        <v>68</v>
      </c>
      <c r="D265" s="449">
        <f>4000</f>
        <v>4000</v>
      </c>
      <c r="E265" s="150"/>
      <c r="F265" s="427">
        <f>D265</f>
        <v>4000</v>
      </c>
      <c r="G265" s="427"/>
      <c r="H265" s="431"/>
      <c r="I265" s="429"/>
      <c r="J265" s="520" t="s">
        <v>67</v>
      </c>
      <c r="K265" s="103"/>
      <c r="L265" s="104">
        <v>0</v>
      </c>
      <c r="M265" s="105"/>
      <c r="N265" s="104">
        <v>1</v>
      </c>
      <c r="O265" s="105"/>
      <c r="P265" s="104">
        <v>1</v>
      </c>
      <c r="Q265" s="105"/>
      <c r="R265" s="104">
        <v>1</v>
      </c>
      <c r="S265" s="105"/>
      <c r="T265" s="104">
        <v>1</v>
      </c>
      <c r="U265" s="105"/>
      <c r="V265" s="104">
        <v>0</v>
      </c>
      <c r="W265" s="106">
        <f t="shared" si="62"/>
        <v>0.8</v>
      </c>
    </row>
    <row r="266" spans="1:25" ht="16.2" x14ac:dyDescent="0.4">
      <c r="A266"/>
      <c r="B266" s="68">
        <v>3</v>
      </c>
      <c r="C266" s="504" t="s">
        <v>69</v>
      </c>
      <c r="D266" s="427">
        <f>1950*3+4000</f>
        <v>9850</v>
      </c>
      <c r="E266" s="150">
        <v>0</v>
      </c>
      <c r="F266" s="427">
        <f>D266</f>
        <v>9850</v>
      </c>
      <c r="G266" s="427"/>
      <c r="H266" s="431"/>
      <c r="I266" s="429"/>
      <c r="J266" s="521" t="s">
        <v>33</v>
      </c>
      <c r="K266" s="103"/>
      <c r="L266" s="104">
        <v>0</v>
      </c>
      <c r="M266" s="105"/>
      <c r="N266" s="104">
        <v>0</v>
      </c>
      <c r="O266" s="105"/>
      <c r="P266" s="104">
        <v>0</v>
      </c>
      <c r="Q266" s="105"/>
      <c r="R266" s="104">
        <v>0</v>
      </c>
      <c r="S266" s="105"/>
      <c r="T266" s="104">
        <v>0</v>
      </c>
      <c r="U266" s="105"/>
      <c r="V266" s="104">
        <v>0</v>
      </c>
      <c r="W266" s="106">
        <f t="shared" si="62"/>
        <v>0</v>
      </c>
    </row>
    <row r="267" spans="1:25" ht="21.75" customHeight="1" x14ac:dyDescent="0.4">
      <c r="A267"/>
      <c r="B267" s="22"/>
      <c r="C267" s="427"/>
      <c r="D267" s="427"/>
      <c r="E267" s="150"/>
      <c r="F267" s="427"/>
      <c r="G267" s="427"/>
      <c r="H267" s="431"/>
      <c r="I267" s="390"/>
      <c r="J267" s="516" t="s">
        <v>68</v>
      </c>
      <c r="K267" s="103"/>
      <c r="L267" s="104">
        <v>1</v>
      </c>
      <c r="M267" s="105"/>
      <c r="N267" s="104">
        <v>1</v>
      </c>
      <c r="O267" s="105"/>
      <c r="P267" s="104">
        <v>1</v>
      </c>
      <c r="Q267" s="105"/>
      <c r="R267" s="104">
        <v>1</v>
      </c>
      <c r="S267" s="105"/>
      <c r="T267" s="104">
        <v>1</v>
      </c>
      <c r="U267" s="105"/>
      <c r="V267" s="104">
        <v>0</v>
      </c>
      <c r="W267" s="106">
        <f t="shared" si="62"/>
        <v>1</v>
      </c>
    </row>
    <row r="268" spans="1:25" ht="20.25" customHeight="1" x14ac:dyDescent="0.45">
      <c r="A268"/>
      <c r="B268" s="433">
        <f>SUM(B257:B267)</f>
        <v>10</v>
      </c>
      <c r="C268" s="150"/>
      <c r="D268" s="434"/>
      <c r="E268" s="434"/>
      <c r="F268" s="435">
        <f>SUM(F257:F267)</f>
        <v>34650</v>
      </c>
      <c r="G268" s="435"/>
      <c r="H268" s="431"/>
      <c r="I268" s="390"/>
      <c r="J268" s="522" t="s">
        <v>84</v>
      </c>
      <c r="K268" s="103"/>
      <c r="L268" s="104">
        <v>0</v>
      </c>
      <c r="M268" s="105"/>
      <c r="N268" s="104">
        <v>0</v>
      </c>
      <c r="O268" s="105"/>
      <c r="P268" s="104">
        <v>0</v>
      </c>
      <c r="Q268" s="105"/>
      <c r="R268" s="104">
        <v>0</v>
      </c>
      <c r="S268" s="105"/>
      <c r="T268" s="104">
        <v>0</v>
      </c>
      <c r="U268" s="105"/>
      <c r="V268" s="104">
        <v>0</v>
      </c>
      <c r="W268" s="106">
        <f t="shared" si="62"/>
        <v>0</v>
      </c>
    </row>
    <row r="269" spans="1:25" ht="16.8" x14ac:dyDescent="0.45">
      <c r="A269"/>
      <c r="B269" s="434"/>
      <c r="C269" s="150"/>
      <c r="D269" s="437"/>
      <c r="E269" s="438" t="s">
        <v>7</v>
      </c>
      <c r="F269" s="435">
        <f>S254</f>
        <v>850</v>
      </c>
      <c r="G269" s="435"/>
      <c r="H269" s="439"/>
      <c r="J269" s="523" t="s">
        <v>69</v>
      </c>
      <c r="K269" s="103"/>
      <c r="L269" s="104">
        <v>3</v>
      </c>
      <c r="M269" s="105"/>
      <c r="N269" s="104">
        <v>4</v>
      </c>
      <c r="O269" s="105"/>
      <c r="P269" s="104">
        <v>3</v>
      </c>
      <c r="Q269" s="105"/>
      <c r="R269" s="104">
        <v>3</v>
      </c>
      <c r="S269" s="105"/>
      <c r="T269" s="104">
        <v>3</v>
      </c>
      <c r="U269" s="105"/>
      <c r="V269" s="104">
        <v>0</v>
      </c>
      <c r="W269" s="106">
        <f t="shared" si="62"/>
        <v>3.2</v>
      </c>
    </row>
    <row r="270" spans="1:25" ht="21.75" customHeight="1" thickBot="1" x14ac:dyDescent="0.5">
      <c r="A270"/>
      <c r="B270" s="434"/>
      <c r="C270" s="150"/>
      <c r="D270" s="434"/>
      <c r="E270" s="438" t="s">
        <v>282</v>
      </c>
      <c r="F270" s="435">
        <f>W246</f>
        <v>278.57</v>
      </c>
      <c r="G270" s="435"/>
      <c r="H270" s="439"/>
      <c r="J270" s="557"/>
      <c r="K270" s="527"/>
      <c r="L270" s="558">
        <f>SUM(L259:L269)</f>
        <v>9</v>
      </c>
      <c r="M270" s="558"/>
      <c r="N270" s="558">
        <f>SUM(N259:N269)</f>
        <v>11</v>
      </c>
      <c r="O270" s="558"/>
      <c r="P270" s="558">
        <f>SUM(P259:P269)</f>
        <v>10</v>
      </c>
      <c r="Q270" s="558"/>
      <c r="R270" s="558">
        <f>SUM(R259:R269)</f>
        <v>10</v>
      </c>
      <c r="S270" s="558"/>
      <c r="T270" s="558">
        <f>SUM(T259:T269)</f>
        <v>10</v>
      </c>
      <c r="U270" s="558"/>
      <c r="V270" s="558">
        <v>0</v>
      </c>
      <c r="W270" s="559">
        <f>AVERAGE(L270,N270,P270,R270,T270)</f>
        <v>10</v>
      </c>
    </row>
    <row r="271" spans="1:25" ht="25.2" x14ac:dyDescent="0.45">
      <c r="A271"/>
      <c r="B271" s="434"/>
      <c r="C271" s="150"/>
      <c r="D271" s="434"/>
      <c r="E271" s="438" t="s">
        <v>540</v>
      </c>
      <c r="F271" s="435">
        <v>3020</v>
      </c>
      <c r="G271" s="435"/>
      <c r="H271" s="439"/>
      <c r="J271" s="390"/>
    </row>
    <row r="272" spans="1:25" ht="16.8" x14ac:dyDescent="0.45">
      <c r="A272"/>
      <c r="B272" s="434"/>
      <c r="C272" s="150"/>
      <c r="D272" s="434"/>
      <c r="E272" s="438"/>
      <c r="F272" s="435"/>
      <c r="G272" s="435"/>
      <c r="H272" s="439"/>
      <c r="J272" s="390"/>
    </row>
    <row r="273" spans="1:32" ht="16.2" x14ac:dyDescent="0.4">
      <c r="A273"/>
      <c r="B273" s="434"/>
      <c r="C273" s="150"/>
      <c r="D273" s="434"/>
      <c r="E273" s="434"/>
      <c r="F273" s="441">
        <f>SUM(F268:F272)</f>
        <v>38798.57</v>
      </c>
      <c r="G273" s="441"/>
      <c r="H273" s="439"/>
      <c r="J273" s="390"/>
    </row>
    <row r="274" spans="1:32" ht="16.8" thickBot="1" x14ac:dyDescent="0.45">
      <c r="A274"/>
      <c r="B274" s="443"/>
      <c r="C274" s="444"/>
      <c r="D274" s="445"/>
      <c r="E274" s="445"/>
      <c r="F274" s="445"/>
      <c r="G274" s="445"/>
      <c r="H274" s="446"/>
    </row>
    <row r="275" spans="1:32" ht="15" thickBot="1" x14ac:dyDescent="0.35"/>
    <row r="276" spans="1:32" ht="36" customHeight="1" thickBot="1" x14ac:dyDescent="0.45">
      <c r="B276" s="861" t="str">
        <f>+B239</f>
        <v>SEMANA DEL 23 AL 29 DE JUNIO DEL 2025</v>
      </c>
      <c r="C276" s="862"/>
      <c r="D276" s="862"/>
      <c r="E276" s="862"/>
      <c r="F276" s="862"/>
      <c r="G276" s="862"/>
      <c r="H276" s="862"/>
      <c r="I276" s="862"/>
      <c r="J276" s="862"/>
      <c r="K276" s="862"/>
      <c r="L276" s="862"/>
      <c r="M276" s="862"/>
      <c r="N276" s="862"/>
      <c r="O276" s="862"/>
      <c r="P276" s="862"/>
      <c r="Q276" s="863"/>
      <c r="X276" s="525"/>
    </row>
    <row r="277" spans="1:32" ht="26.25" customHeight="1" x14ac:dyDescent="0.4">
      <c r="B277" s="892" t="s">
        <v>70</v>
      </c>
      <c r="C277" s="893"/>
      <c r="D277" s="893"/>
      <c r="E277" s="893"/>
      <c r="F277" s="893"/>
      <c r="G277" s="893"/>
      <c r="H277" s="893"/>
      <c r="I277" s="893"/>
      <c r="J277" s="893"/>
      <c r="K277" s="893"/>
      <c r="L277" s="893"/>
      <c r="M277" s="893"/>
      <c r="N277" s="893"/>
      <c r="O277" s="893"/>
      <c r="P277" s="893"/>
      <c r="Q277" s="894"/>
      <c r="R277" s="899" t="s">
        <v>200</v>
      </c>
      <c r="S277" s="895" t="s">
        <v>201</v>
      </c>
      <c r="T277" s="895" t="s">
        <v>202</v>
      </c>
      <c r="U277" s="895" t="s">
        <v>226</v>
      </c>
      <c r="V277" s="895" t="s">
        <v>223</v>
      </c>
      <c r="W277" s="895" t="s">
        <v>210</v>
      </c>
      <c r="X277" s="897" t="s">
        <v>203</v>
      </c>
    </row>
    <row r="278" spans="1:32" ht="14.25" customHeight="1" x14ac:dyDescent="0.3">
      <c r="A278" s="474"/>
      <c r="B278" s="476" t="s">
        <v>185</v>
      </c>
      <c r="C278" s="477" t="s">
        <v>135</v>
      </c>
      <c r="D278" s="477" t="s">
        <v>136</v>
      </c>
      <c r="E278" s="478" t="s">
        <v>8</v>
      </c>
      <c r="F278" s="478"/>
      <c r="G278" s="478" t="s">
        <v>9</v>
      </c>
      <c r="H278" s="478"/>
      <c r="I278" s="478" t="s">
        <v>9</v>
      </c>
      <c r="J278" s="478"/>
      <c r="K278" s="478" t="s">
        <v>10</v>
      </c>
      <c r="L278" s="478"/>
      <c r="M278" s="478" t="s">
        <v>11</v>
      </c>
      <c r="N278" s="478"/>
      <c r="O278" s="478" t="s">
        <v>12</v>
      </c>
      <c r="P278" s="478"/>
      <c r="Q278" s="481" t="s">
        <v>186</v>
      </c>
      <c r="R278" s="900"/>
      <c r="S278" s="896"/>
      <c r="T278" s="896"/>
      <c r="U278" s="896"/>
      <c r="V278" s="896"/>
      <c r="W278" s="896"/>
      <c r="X278" s="898"/>
      <c r="Y278" s="535"/>
      <c r="Z278" s="390"/>
      <c r="AA278" s="390"/>
      <c r="AB278" s="390"/>
      <c r="AC278" s="390"/>
      <c r="AD278" s="390"/>
      <c r="AE278" s="390"/>
      <c r="AF278" s="390"/>
    </row>
    <row r="279" spans="1:32" s="390" customFormat="1" ht="15" thickBot="1" x14ac:dyDescent="0.35">
      <c r="A279" s="397"/>
      <c r="B279" s="470">
        <v>1</v>
      </c>
      <c r="C279" s="471" t="s">
        <v>195</v>
      </c>
      <c r="D279" s="472" t="s">
        <v>196</v>
      </c>
      <c r="E279" s="463">
        <v>1</v>
      </c>
      <c r="F279" s="463"/>
      <c r="G279" s="463">
        <v>1</v>
      </c>
      <c r="H279" s="463"/>
      <c r="I279" s="354">
        <v>1</v>
      </c>
      <c r="J279" s="401"/>
      <c r="K279" s="463">
        <v>1</v>
      </c>
      <c r="L279" s="463"/>
      <c r="M279" s="463">
        <v>1</v>
      </c>
      <c r="N279" s="463"/>
      <c r="O279" s="463">
        <v>1</v>
      </c>
      <c r="P279" s="463"/>
      <c r="Q279" s="482"/>
      <c r="R279" s="465">
        <v>9210</v>
      </c>
      <c r="S279" s="451"/>
      <c r="T279" s="451"/>
      <c r="U279" s="451"/>
      <c r="V279" s="451"/>
      <c r="W279" s="451"/>
      <c r="X279" s="512">
        <f>+R279+S279+T279+U279+V279+W279</f>
        <v>9210</v>
      </c>
      <c r="Y279" s="532"/>
      <c r="Z279"/>
      <c r="AA279"/>
      <c r="AB279"/>
      <c r="AC279"/>
      <c r="AD279"/>
      <c r="AE279"/>
      <c r="AF279"/>
    </row>
    <row r="280" spans="1:32" s="407" customFormat="1" ht="15" thickBot="1" x14ac:dyDescent="0.35">
      <c r="A280" s="402"/>
      <c r="B280" s="403"/>
      <c r="C280" s="404"/>
      <c r="D280" s="647"/>
      <c r="E280" s="405">
        <f>SUM(E279:E279)</f>
        <v>1</v>
      </c>
      <c r="F280" s="405"/>
      <c r="G280" s="405">
        <f>SUM(G279:G279)</f>
        <v>1</v>
      </c>
      <c r="H280" s="405"/>
      <c r="I280" s="405">
        <f>SUM(I279:I279)</f>
        <v>1</v>
      </c>
      <c r="J280" s="405"/>
      <c r="K280" s="405">
        <f>SUM(K279:K279)</f>
        <v>1</v>
      </c>
      <c r="L280" s="405"/>
      <c r="M280" s="405">
        <f>SUM(M279:M279)</f>
        <v>1</v>
      </c>
      <c r="N280" s="405"/>
      <c r="O280" s="405">
        <f>SUM(O279:O279)</f>
        <v>1</v>
      </c>
      <c r="P280" s="405"/>
      <c r="Q280" s="405"/>
      <c r="R280" s="402"/>
      <c r="S280" s="402"/>
      <c r="T280" s="402"/>
      <c r="U280" s="402"/>
      <c r="V280" s="402"/>
      <c r="W280" s="402"/>
      <c r="X280" s="506">
        <f>SUM(X279:X279)</f>
        <v>9210</v>
      </c>
      <c r="Y280" s="533"/>
    </row>
    <row r="281" spans="1:32" s="410" customFormat="1" ht="21.6" thickBot="1" x14ac:dyDescent="0.55000000000000004">
      <c r="A281" s="889"/>
      <c r="B281" s="890"/>
      <c r="C281" s="890"/>
      <c r="D281" s="890"/>
      <c r="E281" s="890"/>
      <c r="F281" s="890"/>
      <c r="G281" s="891"/>
      <c r="H281"/>
      <c r="I281" s="390"/>
      <c r="J281" s="390"/>
      <c r="K281"/>
      <c r="L281"/>
      <c r="M281"/>
      <c r="N281"/>
      <c r="O281"/>
      <c r="P281"/>
      <c r="Q281"/>
      <c r="R281"/>
      <c r="S281"/>
      <c r="V281"/>
      <c r="W281"/>
      <c r="X281" s="448">
        <f>+X280-F287</f>
        <v>0</v>
      </c>
      <c r="Y281" s="532"/>
      <c r="Z281"/>
      <c r="AA281"/>
      <c r="AB281"/>
      <c r="AC281"/>
      <c r="AD281"/>
      <c r="AE281"/>
    </row>
    <row r="282" spans="1:32" ht="17.399999999999999" thickBot="1" x14ac:dyDescent="0.5">
      <c r="A282" s="421"/>
      <c r="B282" s="422"/>
      <c r="C282" s="422"/>
      <c r="D282" s="423" t="s">
        <v>14</v>
      </c>
      <c r="E282" s="423" t="s">
        <v>206</v>
      </c>
      <c r="F282" s="423" t="s">
        <v>17</v>
      </c>
      <c r="G282" s="424"/>
      <c r="I282" s="425"/>
      <c r="J282" s="390"/>
      <c r="K282" s="95" t="s">
        <v>28</v>
      </c>
      <c r="T282" s="410"/>
      <c r="U282" s="410"/>
    </row>
    <row r="283" spans="1:32" ht="18" customHeight="1" thickBot="1" x14ac:dyDescent="0.45">
      <c r="A283" s="426"/>
      <c r="B283" s="159">
        <v>1</v>
      </c>
      <c r="C283" s="427" t="s">
        <v>214</v>
      </c>
      <c r="D283" s="150">
        <v>9210</v>
      </c>
      <c r="E283" s="150">
        <v>0</v>
      </c>
      <c r="F283" s="427">
        <f>D283</f>
        <v>9210</v>
      </c>
      <c r="G283" s="428"/>
      <c r="I283" s="429"/>
      <c r="J283" s="469" t="s">
        <v>224</v>
      </c>
      <c r="K283" s="430">
        <v>1</v>
      </c>
      <c r="T283" s="541"/>
      <c r="U283" s="410"/>
      <c r="V283" s="530"/>
      <c r="W283" s="530"/>
      <c r="X283" s="530"/>
    </row>
    <row r="284" spans="1:32" ht="24" customHeight="1" thickBot="1" x14ac:dyDescent="0.45">
      <c r="A284" s="426"/>
      <c r="B284" s="159">
        <v>0</v>
      </c>
      <c r="C284" s="427" t="s">
        <v>224</v>
      </c>
      <c r="D284" s="150"/>
      <c r="E284" s="150">
        <v>0</v>
      </c>
      <c r="F284" s="427">
        <f>D284</f>
        <v>0</v>
      </c>
      <c r="G284" s="428"/>
      <c r="I284" s="390"/>
      <c r="J284" s="469" t="s">
        <v>196</v>
      </c>
      <c r="K284" s="430">
        <v>0</v>
      </c>
      <c r="T284" s="410"/>
      <c r="U284" s="410"/>
      <c r="X284" s="448"/>
      <c r="Y284" s="634"/>
    </row>
    <row r="285" spans="1:32" ht="16.8" x14ac:dyDescent="0.45">
      <c r="A285" s="432"/>
      <c r="B285" s="433">
        <f>SUM(B283:B284)</f>
        <v>1</v>
      </c>
      <c r="C285" s="150"/>
      <c r="D285" s="434"/>
      <c r="E285" s="434"/>
      <c r="F285" s="435">
        <f>SUM(F283:F284)</f>
        <v>9210</v>
      </c>
      <c r="G285" s="431"/>
      <c r="I285" s="390"/>
      <c r="J285" s="112"/>
      <c r="K285" s="447">
        <f>SUM(K283:K284)</f>
        <v>1</v>
      </c>
      <c r="T285" s="410"/>
      <c r="U285" s="410"/>
    </row>
    <row r="286" spans="1:32" ht="16.8" x14ac:dyDescent="0.45">
      <c r="A286" s="432"/>
      <c r="B286" s="434"/>
      <c r="C286" s="150"/>
      <c r="D286" s="437"/>
      <c r="E286" s="438"/>
      <c r="F286" s="435"/>
      <c r="G286" s="439"/>
      <c r="I286" s="390"/>
      <c r="T286" s="410"/>
      <c r="U286" s="410"/>
      <c r="X286" s="448"/>
      <c r="Y286" s="576"/>
    </row>
    <row r="287" spans="1:32" ht="16.2" x14ac:dyDescent="0.4">
      <c r="A287" s="432"/>
      <c r="B287" s="434"/>
      <c r="C287" s="150"/>
      <c r="D287" s="434"/>
      <c r="E287" s="434"/>
      <c r="F287" s="441">
        <f>SUM(F285:F286)</f>
        <v>9210</v>
      </c>
      <c r="G287" s="431"/>
      <c r="T287" s="410"/>
      <c r="U287" s="410"/>
    </row>
    <row r="288" spans="1:32" ht="16.8" thickBot="1" x14ac:dyDescent="0.45">
      <c r="A288" s="442"/>
      <c r="B288" s="443"/>
      <c r="C288" s="444"/>
      <c r="D288" s="445"/>
      <c r="E288" s="445"/>
      <c r="F288" s="445"/>
      <c r="G288" s="446"/>
    </row>
  </sheetData>
  <sortState ref="A242:AX253">
    <sortCondition ref="C242:C253"/>
  </sortState>
  <mergeCells count="108">
    <mergeCell ref="V277:V278"/>
    <mergeCell ref="W277:W278"/>
    <mergeCell ref="X277:X278"/>
    <mergeCell ref="A281:G281"/>
    <mergeCell ref="B276:Q276"/>
    <mergeCell ref="B277:Q277"/>
    <mergeCell ref="R277:R278"/>
    <mergeCell ref="S277:S278"/>
    <mergeCell ref="T277:T278"/>
    <mergeCell ref="U277:U278"/>
    <mergeCell ref="X217:X218"/>
    <mergeCell ref="B239:Q239"/>
    <mergeCell ref="B240:Q240"/>
    <mergeCell ref="R240:R241"/>
    <mergeCell ref="S240:S241"/>
    <mergeCell ref="T240:T241"/>
    <mergeCell ref="U240:U241"/>
    <mergeCell ref="V240:V241"/>
    <mergeCell ref="W240:W241"/>
    <mergeCell ref="X240:X241"/>
    <mergeCell ref="A200:G200"/>
    <mergeCell ref="B215:Q215"/>
    <mergeCell ref="B216:Q216"/>
    <mergeCell ref="R217:R218"/>
    <mergeCell ref="S217:S218"/>
    <mergeCell ref="T217:T218"/>
    <mergeCell ref="U217:U218"/>
    <mergeCell ref="V217:V218"/>
    <mergeCell ref="W217:W218"/>
    <mergeCell ref="X162:X163"/>
    <mergeCell ref="A188:Q188"/>
    <mergeCell ref="A189:Q189"/>
    <mergeCell ref="A190:Q190"/>
    <mergeCell ref="R191:R192"/>
    <mergeCell ref="S191:S192"/>
    <mergeCell ref="T191:T192"/>
    <mergeCell ref="U191:U192"/>
    <mergeCell ref="V191:V192"/>
    <mergeCell ref="W191:W192"/>
    <mergeCell ref="R162:R163"/>
    <mergeCell ref="S162:S163"/>
    <mergeCell ref="T162:T163"/>
    <mergeCell ref="U162:U163"/>
    <mergeCell ref="V162:V163"/>
    <mergeCell ref="W162:W163"/>
    <mergeCell ref="X191:X192"/>
    <mergeCell ref="V134:V135"/>
    <mergeCell ref="W134:W135"/>
    <mergeCell ref="X134:X135"/>
    <mergeCell ref="B159:Q159"/>
    <mergeCell ref="B160:Q160"/>
    <mergeCell ref="B161:Q161"/>
    <mergeCell ref="B133:Q133"/>
    <mergeCell ref="B134:Q134"/>
    <mergeCell ref="R134:R135"/>
    <mergeCell ref="S134:S135"/>
    <mergeCell ref="T134:T135"/>
    <mergeCell ref="U134:U135"/>
    <mergeCell ref="X87:X88"/>
    <mergeCell ref="B112:Q112"/>
    <mergeCell ref="B113:Q113"/>
    <mergeCell ref="R114:R115"/>
    <mergeCell ref="S114:S115"/>
    <mergeCell ref="T114:T115"/>
    <mergeCell ref="U114:U115"/>
    <mergeCell ref="V114:V115"/>
    <mergeCell ref="W114:W115"/>
    <mergeCell ref="X114:X115"/>
    <mergeCell ref="R87:R88"/>
    <mergeCell ref="S87:S88"/>
    <mergeCell ref="T87:T88"/>
    <mergeCell ref="U87:U88"/>
    <mergeCell ref="V87:V88"/>
    <mergeCell ref="W87:W88"/>
    <mergeCell ref="V56:V58"/>
    <mergeCell ref="W56:W58"/>
    <mergeCell ref="X56:X58"/>
    <mergeCell ref="B84:Q84"/>
    <mergeCell ref="B85:Q85"/>
    <mergeCell ref="B86:Q86"/>
    <mergeCell ref="V34:V35"/>
    <mergeCell ref="W34:W35"/>
    <mergeCell ref="X34:X35"/>
    <mergeCell ref="B54:Q54"/>
    <mergeCell ref="B55:Q55"/>
    <mergeCell ref="B56:Q56"/>
    <mergeCell ref="R56:R58"/>
    <mergeCell ref="S56:S58"/>
    <mergeCell ref="T56:T58"/>
    <mergeCell ref="U56:U58"/>
    <mergeCell ref="B33:Q33"/>
    <mergeCell ref="B34:Q34"/>
    <mergeCell ref="R34:R35"/>
    <mergeCell ref="S34:S35"/>
    <mergeCell ref="T34:T35"/>
    <mergeCell ref="U34:U35"/>
    <mergeCell ref="T4:T5"/>
    <mergeCell ref="U4:U5"/>
    <mergeCell ref="V4:V5"/>
    <mergeCell ref="W4:W5"/>
    <mergeCell ref="X4:X5"/>
    <mergeCell ref="B32:Q32"/>
    <mergeCell ref="B1:Q1"/>
    <mergeCell ref="B2:Q2"/>
    <mergeCell ref="B3:Q3"/>
    <mergeCell ref="B4:Q4"/>
    <mergeCell ref="R4:R5"/>
    <mergeCell ref="S4:S5"/>
  </mergeCells>
  <printOptions horizontalCentered="1"/>
  <pageMargins left="0.23622047244094491" right="0.23622047244094491" top="0.19685039370078741" bottom="0.19685039370078741" header="0.31496062992125984" footer="0.31496062992125984"/>
  <pageSetup scale="55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Q121"/>
  <sheetViews>
    <sheetView workbookViewId="0">
      <selection activeCell="Q121" sqref="Q121"/>
    </sheetView>
  </sheetViews>
  <sheetFormatPr baseColWidth="10" defaultRowHeight="14.4" x14ac:dyDescent="0.3"/>
  <cols>
    <col min="1" max="1" width="3.109375" style="287" customWidth="1"/>
    <col min="2" max="2" width="6.44140625" style="390" customWidth="1"/>
    <col min="3" max="3" width="32.44140625" customWidth="1"/>
    <col min="4" max="4" width="15.5546875" customWidth="1"/>
    <col min="5" max="5" width="4.5546875" customWidth="1"/>
    <col min="6" max="6" width="4.109375" customWidth="1"/>
    <col min="7" max="7" width="3.88671875" customWidth="1"/>
    <col min="8" max="8" width="4.44140625" customWidth="1"/>
    <col min="9" max="9" width="3.88671875" customWidth="1"/>
    <col min="10" max="10" width="4" customWidth="1"/>
    <col min="11" max="11" width="4.33203125" customWidth="1"/>
    <col min="12" max="12" width="6.5546875" customWidth="1"/>
    <col min="13" max="13" width="4.88671875" customWidth="1"/>
    <col min="14" max="14" width="4.5546875" customWidth="1"/>
    <col min="15" max="15" width="4.88671875" customWidth="1"/>
    <col min="16" max="16" width="4.109375" customWidth="1"/>
    <col min="17" max="17" width="9.6640625" customWidth="1"/>
  </cols>
  <sheetData>
    <row r="2" spans="1:17" ht="24.6" x14ac:dyDescent="0.4">
      <c r="B2" s="905" t="s">
        <v>442</v>
      </c>
      <c r="C2" s="905"/>
      <c r="D2" s="905"/>
      <c r="E2" s="905"/>
      <c r="F2" s="905"/>
      <c r="G2" s="905"/>
      <c r="H2" s="905"/>
      <c r="I2" s="905"/>
      <c r="J2" s="905"/>
      <c r="K2" s="905"/>
      <c r="L2" s="909" t="s">
        <v>252</v>
      </c>
      <c r="M2" s="909"/>
      <c r="N2" s="909"/>
      <c r="O2" s="909"/>
      <c r="P2" s="909"/>
      <c r="Q2" s="909"/>
    </row>
    <row r="3" spans="1:17" ht="24.6" x14ac:dyDescent="0.4">
      <c r="B3" s="591"/>
      <c r="C3" s="591"/>
      <c r="D3" s="591"/>
      <c r="E3" s="591"/>
      <c r="F3" s="591"/>
      <c r="G3" s="591"/>
      <c r="H3" s="591"/>
      <c r="I3" s="591"/>
      <c r="J3" s="591"/>
      <c r="K3" s="591"/>
      <c r="L3" s="916" t="s">
        <v>253</v>
      </c>
      <c r="M3" s="916" t="s">
        <v>254</v>
      </c>
      <c r="N3" s="916" t="s">
        <v>255</v>
      </c>
      <c r="O3" s="916" t="s">
        <v>256</v>
      </c>
      <c r="P3" s="916" t="s">
        <v>257</v>
      </c>
      <c r="Q3" s="916" t="s">
        <v>177</v>
      </c>
    </row>
    <row r="4" spans="1:17" ht="24.6" x14ac:dyDescent="0.4">
      <c r="B4" s="592"/>
      <c r="C4" s="905" t="s">
        <v>182</v>
      </c>
      <c r="D4" s="905"/>
      <c r="E4" s="905"/>
      <c r="F4" s="905"/>
      <c r="G4" s="905"/>
      <c r="H4" s="905"/>
      <c r="I4" s="905"/>
      <c r="J4" s="592"/>
      <c r="K4" s="591"/>
      <c r="L4" s="916"/>
      <c r="M4" s="916"/>
      <c r="N4" s="916"/>
      <c r="O4" s="916"/>
      <c r="P4" s="916"/>
      <c r="Q4" s="916"/>
    </row>
    <row r="5" spans="1:17" x14ac:dyDescent="0.3">
      <c r="A5" s="397"/>
      <c r="B5" s="907" t="s">
        <v>183</v>
      </c>
      <c r="C5" s="907"/>
      <c r="D5" s="907"/>
      <c r="E5" s="907"/>
      <c r="F5" s="907"/>
      <c r="G5" s="907"/>
      <c r="H5" s="907"/>
      <c r="I5" s="907"/>
      <c r="J5" s="907"/>
      <c r="K5" s="907"/>
      <c r="L5" s="916"/>
      <c r="M5" s="916"/>
      <c r="N5" s="916"/>
      <c r="O5" s="916"/>
      <c r="P5" s="916"/>
      <c r="Q5" s="916"/>
    </row>
    <row r="6" spans="1:17" x14ac:dyDescent="0.3">
      <c r="A6" s="397"/>
      <c r="B6" s="871" t="s">
        <v>258</v>
      </c>
      <c r="C6" s="871"/>
      <c r="D6" s="871"/>
      <c r="E6" s="871"/>
      <c r="F6" s="871"/>
      <c r="G6" s="871"/>
      <c r="H6" s="871"/>
      <c r="I6" s="871"/>
      <c r="J6" s="871"/>
      <c r="K6" s="871"/>
      <c r="L6" s="916"/>
      <c r="M6" s="916"/>
      <c r="N6" s="916"/>
      <c r="O6" s="916"/>
      <c r="P6" s="916"/>
      <c r="Q6" s="916"/>
    </row>
    <row r="7" spans="1:17" x14ac:dyDescent="0.3">
      <c r="A7" s="397"/>
      <c r="B7" s="593" t="s">
        <v>185</v>
      </c>
      <c r="C7" s="593" t="s">
        <v>135</v>
      </c>
      <c r="D7" s="593" t="s">
        <v>136</v>
      </c>
      <c r="E7" s="594" t="s">
        <v>8</v>
      </c>
      <c r="F7" s="594" t="s">
        <v>9</v>
      </c>
      <c r="G7" s="594" t="s">
        <v>9</v>
      </c>
      <c r="H7" s="594" t="s">
        <v>10</v>
      </c>
      <c r="I7" s="594" t="s">
        <v>11</v>
      </c>
      <c r="J7" s="594" t="s">
        <v>12</v>
      </c>
      <c r="K7" s="594" t="s">
        <v>186</v>
      </c>
      <c r="L7" s="916"/>
      <c r="M7" s="916"/>
      <c r="N7" s="916"/>
      <c r="O7" s="916"/>
      <c r="P7" s="916"/>
      <c r="Q7" s="916"/>
    </row>
    <row r="8" spans="1:17" x14ac:dyDescent="0.3">
      <c r="A8" s="397">
        <v>1</v>
      </c>
      <c r="B8" s="483">
        <v>2</v>
      </c>
      <c r="C8" s="392" t="s">
        <v>23</v>
      </c>
      <c r="D8" s="644" t="s">
        <v>189</v>
      </c>
      <c r="E8" s="354" t="s">
        <v>219</v>
      </c>
      <c r="F8" s="354" t="s">
        <v>219</v>
      </c>
      <c r="G8" s="354" t="s">
        <v>219</v>
      </c>
      <c r="H8" s="354" t="s">
        <v>219</v>
      </c>
      <c r="I8" s="354" t="s">
        <v>219</v>
      </c>
      <c r="J8" s="354"/>
      <c r="K8" s="354"/>
      <c r="L8" s="595"/>
      <c r="M8" s="595"/>
      <c r="N8" s="595"/>
      <c r="O8" s="595"/>
      <c r="P8" s="595"/>
      <c r="Q8" s="595"/>
    </row>
    <row r="9" spans="1:17" x14ac:dyDescent="0.3">
      <c r="A9" s="397">
        <v>2</v>
      </c>
      <c r="B9" s="483">
        <v>6</v>
      </c>
      <c r="C9" s="392" t="s">
        <v>24</v>
      </c>
      <c r="D9" s="645" t="s">
        <v>187</v>
      </c>
      <c r="E9" s="354" t="s">
        <v>219</v>
      </c>
      <c r="F9" s="354" t="s">
        <v>219</v>
      </c>
      <c r="G9" s="354" t="s">
        <v>219</v>
      </c>
      <c r="H9" s="354" t="s">
        <v>219</v>
      </c>
      <c r="I9" s="354" t="s">
        <v>219</v>
      </c>
      <c r="J9" s="354"/>
      <c r="K9" s="354"/>
      <c r="L9" s="595"/>
      <c r="M9" s="595"/>
      <c r="N9" s="595"/>
      <c r="O9" s="595"/>
      <c r="P9" s="595"/>
      <c r="Q9" s="595"/>
    </row>
    <row r="10" spans="1:17" x14ac:dyDescent="0.3">
      <c r="A10" s="397">
        <v>3</v>
      </c>
      <c r="B10" s="483">
        <v>95</v>
      </c>
      <c r="C10" s="392" t="s">
        <v>95</v>
      </c>
      <c r="D10" s="646" t="s">
        <v>190</v>
      </c>
      <c r="E10" s="354">
        <v>1</v>
      </c>
      <c r="F10" s="354">
        <v>1</v>
      </c>
      <c r="G10" s="354">
        <v>1</v>
      </c>
      <c r="H10" s="354">
        <v>1</v>
      </c>
      <c r="I10" s="354">
        <v>1</v>
      </c>
      <c r="J10" s="354"/>
      <c r="K10" s="354"/>
      <c r="L10" s="595"/>
      <c r="M10" s="595"/>
      <c r="N10" s="595"/>
      <c r="O10" s="595"/>
      <c r="P10" s="595"/>
      <c r="Q10" s="595"/>
    </row>
    <row r="11" spans="1:17" x14ac:dyDescent="0.3">
      <c r="A11" s="397">
        <v>4</v>
      </c>
      <c r="B11" s="483">
        <v>222</v>
      </c>
      <c r="C11" s="392" t="s">
        <v>235</v>
      </c>
      <c r="D11" s="646" t="s">
        <v>220</v>
      </c>
      <c r="E11" s="354" t="s">
        <v>219</v>
      </c>
      <c r="F11" s="354">
        <v>1</v>
      </c>
      <c r="G11" s="354" t="s">
        <v>219</v>
      </c>
      <c r="H11" s="354">
        <v>1</v>
      </c>
      <c r="I11" s="354">
        <v>1</v>
      </c>
      <c r="J11" s="354" t="s">
        <v>219</v>
      </c>
      <c r="K11" s="354"/>
      <c r="L11" s="595"/>
      <c r="M11" s="595"/>
      <c r="N11" s="595"/>
      <c r="O11" s="595"/>
      <c r="P11" s="595"/>
      <c r="Q11" s="595"/>
    </row>
    <row r="12" spans="1:17" x14ac:dyDescent="0.3">
      <c r="A12" s="397">
        <v>5</v>
      </c>
      <c r="B12" s="483">
        <v>260</v>
      </c>
      <c r="C12" s="392" t="s">
        <v>279</v>
      </c>
      <c r="D12" s="643" t="s">
        <v>249</v>
      </c>
      <c r="E12" s="354">
        <v>1</v>
      </c>
      <c r="F12" s="354">
        <v>1</v>
      </c>
      <c r="G12" s="354">
        <v>1</v>
      </c>
      <c r="H12" s="354" t="s">
        <v>129</v>
      </c>
      <c r="I12" s="354">
        <v>1</v>
      </c>
      <c r="J12" s="354"/>
      <c r="K12" s="354"/>
      <c r="L12" s="595"/>
      <c r="M12" s="595"/>
      <c r="N12" s="595"/>
      <c r="O12" s="595"/>
      <c r="P12" s="595"/>
      <c r="Q12" s="595"/>
    </row>
    <row r="13" spans="1:17" x14ac:dyDescent="0.3">
      <c r="A13" s="397">
        <v>6</v>
      </c>
      <c r="B13" s="483">
        <v>26</v>
      </c>
      <c r="C13" s="392" t="s">
        <v>25</v>
      </c>
      <c r="D13" s="642" t="s">
        <v>188</v>
      </c>
      <c r="E13" s="354" t="s">
        <v>219</v>
      </c>
      <c r="F13" s="354" t="s">
        <v>219</v>
      </c>
      <c r="G13" s="354" t="s">
        <v>219</v>
      </c>
      <c r="H13" s="354" t="s">
        <v>219</v>
      </c>
      <c r="I13" s="354" t="s">
        <v>219</v>
      </c>
      <c r="J13" s="354"/>
      <c r="K13" s="354"/>
      <c r="L13" s="595"/>
      <c r="M13" s="595"/>
      <c r="N13" s="595"/>
      <c r="O13" s="595"/>
      <c r="P13" s="595"/>
      <c r="Q13" s="595"/>
    </row>
    <row r="14" spans="1:17" x14ac:dyDescent="0.3">
      <c r="A14" s="397">
        <v>7</v>
      </c>
      <c r="B14" s="483">
        <v>28</v>
      </c>
      <c r="C14" s="392" t="s">
        <v>40</v>
      </c>
      <c r="D14" s="642" t="s">
        <v>188</v>
      </c>
      <c r="E14" s="354">
        <v>1</v>
      </c>
      <c r="F14" s="354">
        <v>1</v>
      </c>
      <c r="G14" s="354">
        <v>1</v>
      </c>
      <c r="H14" s="354">
        <v>1</v>
      </c>
      <c r="I14" s="354">
        <v>1</v>
      </c>
      <c r="J14" s="354"/>
      <c r="K14" s="354"/>
      <c r="L14" s="595"/>
      <c r="M14" s="595"/>
      <c r="N14" s="595"/>
      <c r="O14" s="595"/>
      <c r="P14" s="595"/>
      <c r="Q14" s="595"/>
    </row>
    <row r="15" spans="1:17" x14ac:dyDescent="0.3">
      <c r="A15" s="397">
        <v>8</v>
      </c>
      <c r="B15" s="483">
        <v>169</v>
      </c>
      <c r="C15" s="392" t="s">
        <v>147</v>
      </c>
      <c r="D15" s="646" t="s">
        <v>220</v>
      </c>
      <c r="E15" s="354">
        <v>1</v>
      </c>
      <c r="F15" s="354">
        <v>1</v>
      </c>
      <c r="G15" s="354">
        <v>1</v>
      </c>
      <c r="H15" s="354">
        <v>1</v>
      </c>
      <c r="I15" s="354">
        <v>1</v>
      </c>
      <c r="J15" s="354">
        <v>1</v>
      </c>
      <c r="K15" s="354"/>
      <c r="L15" s="595"/>
      <c r="M15" s="595"/>
      <c r="N15" s="595"/>
      <c r="O15" s="595"/>
      <c r="P15" s="595"/>
      <c r="Q15" s="595"/>
    </row>
    <row r="16" spans="1:17" x14ac:dyDescent="0.3">
      <c r="A16" s="397">
        <v>9</v>
      </c>
      <c r="B16" s="483">
        <v>146</v>
      </c>
      <c r="C16" s="392" t="s">
        <v>124</v>
      </c>
      <c r="D16" s="646" t="s">
        <v>190</v>
      </c>
      <c r="E16" s="354">
        <v>1</v>
      </c>
      <c r="F16" s="354">
        <v>1</v>
      </c>
      <c r="G16" s="354">
        <v>1</v>
      </c>
      <c r="H16" s="354">
        <v>1</v>
      </c>
      <c r="I16" s="354">
        <v>1</v>
      </c>
      <c r="J16" s="354"/>
      <c r="K16" s="354"/>
      <c r="L16" s="595"/>
      <c r="M16" s="595"/>
      <c r="N16" s="595"/>
      <c r="O16" s="595"/>
      <c r="P16" s="595"/>
      <c r="Q16" s="595"/>
    </row>
    <row r="17" spans="1:17" ht="16.2" customHeight="1" x14ac:dyDescent="0.3">
      <c r="A17" s="397">
        <v>10</v>
      </c>
      <c r="B17" s="483">
        <v>261</v>
      </c>
      <c r="C17" s="392" t="s">
        <v>280</v>
      </c>
      <c r="D17" s="646" t="s">
        <v>249</v>
      </c>
      <c r="E17" s="354" t="s">
        <v>186</v>
      </c>
      <c r="F17" s="354" t="s">
        <v>186</v>
      </c>
      <c r="G17" s="354" t="s">
        <v>186</v>
      </c>
      <c r="H17" s="354" t="s">
        <v>186</v>
      </c>
      <c r="I17" s="354" t="s">
        <v>186</v>
      </c>
      <c r="J17" s="354"/>
      <c r="K17" s="354"/>
      <c r="L17" s="595"/>
      <c r="M17" s="595"/>
      <c r="N17" s="595"/>
      <c r="O17" s="595"/>
      <c r="P17" s="595"/>
      <c r="Q17" s="595"/>
    </row>
    <row r="18" spans="1:17" x14ac:dyDescent="0.3">
      <c r="A18" s="397">
        <v>11</v>
      </c>
      <c r="B18" s="483">
        <v>51</v>
      </c>
      <c r="C18" s="399" t="s">
        <v>115</v>
      </c>
      <c r="D18" s="642" t="s">
        <v>188</v>
      </c>
      <c r="E18" s="354">
        <v>1</v>
      </c>
      <c r="F18" s="354">
        <v>1</v>
      </c>
      <c r="G18" s="354">
        <v>1</v>
      </c>
      <c r="H18" s="354">
        <v>1</v>
      </c>
      <c r="I18" s="354">
        <v>1</v>
      </c>
      <c r="J18" s="354"/>
      <c r="K18" s="354"/>
      <c r="L18" s="596"/>
      <c r="M18" s="596"/>
      <c r="N18" s="596"/>
      <c r="O18" s="596"/>
      <c r="P18" s="596"/>
      <c r="Q18" s="596"/>
    </row>
    <row r="19" spans="1:17" ht="19.95" customHeight="1" thickBot="1" x14ac:dyDescent="0.35">
      <c r="A19" s="397">
        <v>12</v>
      </c>
      <c r="B19" s="487">
        <v>265</v>
      </c>
      <c r="C19" s="462" t="s">
        <v>284</v>
      </c>
      <c r="D19" s="683" t="s">
        <v>220</v>
      </c>
      <c r="E19" s="354" t="s">
        <v>186</v>
      </c>
      <c r="F19" s="354" t="s">
        <v>186</v>
      </c>
      <c r="G19" s="354" t="s">
        <v>186</v>
      </c>
      <c r="H19" s="354" t="s">
        <v>186</v>
      </c>
      <c r="I19" s="354" t="s">
        <v>186</v>
      </c>
      <c r="J19" s="354"/>
      <c r="K19" s="354"/>
      <c r="L19" s="596"/>
      <c r="M19" s="596"/>
      <c r="N19" s="596"/>
      <c r="O19" s="596"/>
      <c r="P19" s="596"/>
      <c r="Q19" s="596"/>
    </row>
    <row r="20" spans="1:17" x14ac:dyDescent="0.3">
      <c r="A20" s="397"/>
      <c r="B20" s="409"/>
      <c r="C20" s="409"/>
      <c r="D20" s="409"/>
      <c r="E20" s="409"/>
      <c r="F20" s="601"/>
      <c r="G20" s="601"/>
      <c r="H20" s="601"/>
      <c r="I20" s="601"/>
      <c r="J20" s="601"/>
      <c r="K20" s="68"/>
      <c r="L20" s="68"/>
      <c r="M20" s="68"/>
      <c r="N20" s="68"/>
      <c r="O20" s="68"/>
      <c r="P20" s="68"/>
      <c r="Q20" s="68"/>
    </row>
    <row r="21" spans="1:17" ht="24.6" x14ac:dyDescent="0.4">
      <c r="A21" s="397"/>
      <c r="B21" s="905" t="str">
        <f>+B2</f>
        <v>SEMANA DEL 16 AL 22 JUNIO DEL 2025</v>
      </c>
      <c r="C21" s="905"/>
      <c r="D21" s="905"/>
      <c r="E21" s="905"/>
      <c r="F21" s="905"/>
      <c r="G21" s="905"/>
      <c r="H21" s="905"/>
      <c r="I21" s="905"/>
      <c r="J21" s="905"/>
      <c r="K21" s="905"/>
      <c r="L21" s="909" t="s">
        <v>252</v>
      </c>
      <c r="M21" s="909"/>
      <c r="N21" s="909"/>
      <c r="O21" s="909"/>
      <c r="P21" s="909"/>
      <c r="Q21" s="909"/>
    </row>
    <row r="22" spans="1:17" ht="24.6" x14ac:dyDescent="0.4">
      <c r="A22" s="397"/>
      <c r="B22" s="633"/>
      <c r="C22" s="633"/>
      <c r="D22" s="633"/>
      <c r="E22" s="633"/>
      <c r="F22" s="633"/>
      <c r="G22" s="633"/>
      <c r="H22" s="633"/>
      <c r="I22" s="633"/>
      <c r="J22" s="633"/>
      <c r="K22" s="633"/>
      <c r="L22" s="916" t="s">
        <v>253</v>
      </c>
      <c r="M22" s="916" t="s">
        <v>254</v>
      </c>
      <c r="N22" s="916" t="s">
        <v>255</v>
      </c>
      <c r="O22" s="916" t="s">
        <v>256</v>
      </c>
      <c r="P22" s="916" t="s">
        <v>257</v>
      </c>
      <c r="Q22" s="916" t="s">
        <v>177</v>
      </c>
    </row>
    <row r="23" spans="1:17" ht="24.6" x14ac:dyDescent="0.4">
      <c r="A23" s="397"/>
      <c r="B23" s="592"/>
      <c r="C23" s="905" t="s">
        <v>182</v>
      </c>
      <c r="D23" s="905"/>
      <c r="E23" s="905"/>
      <c r="F23" s="905"/>
      <c r="G23" s="905"/>
      <c r="H23" s="905"/>
      <c r="I23" s="905"/>
      <c r="J23" s="592"/>
      <c r="K23" s="633"/>
      <c r="L23" s="916"/>
      <c r="M23" s="916"/>
      <c r="N23" s="916"/>
      <c r="O23" s="916"/>
      <c r="P23" s="916"/>
      <c r="Q23" s="916"/>
    </row>
    <row r="24" spans="1:17" x14ac:dyDescent="0.3">
      <c r="A24" s="397"/>
      <c r="B24" s="907" t="s">
        <v>183</v>
      </c>
      <c r="C24" s="907"/>
      <c r="D24" s="907"/>
      <c r="E24" s="907"/>
      <c r="F24" s="907"/>
      <c r="G24" s="907"/>
      <c r="H24" s="907"/>
      <c r="I24" s="907"/>
      <c r="J24" s="907"/>
      <c r="K24" s="907"/>
      <c r="L24" s="916"/>
      <c r="M24" s="916"/>
      <c r="N24" s="916"/>
      <c r="O24" s="916"/>
      <c r="P24" s="916"/>
      <c r="Q24" s="916"/>
    </row>
    <row r="25" spans="1:17" x14ac:dyDescent="0.3">
      <c r="A25" s="397"/>
      <c r="B25" s="871" t="s">
        <v>258</v>
      </c>
      <c r="C25" s="871"/>
      <c r="D25" s="871"/>
      <c r="E25" s="871"/>
      <c r="F25" s="871"/>
      <c r="G25" s="871"/>
      <c r="H25" s="871"/>
      <c r="I25" s="871"/>
      <c r="J25" s="871"/>
      <c r="K25" s="871"/>
      <c r="L25" s="916"/>
      <c r="M25" s="916"/>
      <c r="N25" s="916"/>
      <c r="O25" s="916"/>
      <c r="P25" s="916"/>
      <c r="Q25" s="916"/>
    </row>
    <row r="26" spans="1:17" x14ac:dyDescent="0.3">
      <c r="A26" s="397"/>
      <c r="B26" s="593" t="s">
        <v>185</v>
      </c>
      <c r="C26" s="593" t="s">
        <v>135</v>
      </c>
      <c r="D26" s="593" t="s">
        <v>136</v>
      </c>
      <c r="E26" s="594" t="s">
        <v>8</v>
      </c>
      <c r="F26" s="594" t="s">
        <v>9</v>
      </c>
      <c r="G26" s="594" t="s">
        <v>9</v>
      </c>
      <c r="H26" s="594" t="s">
        <v>10</v>
      </c>
      <c r="I26" s="594" t="s">
        <v>11</v>
      </c>
      <c r="J26" s="594" t="s">
        <v>12</v>
      </c>
      <c r="K26" s="594" t="s">
        <v>186</v>
      </c>
      <c r="L26" s="916"/>
      <c r="M26" s="916"/>
      <c r="N26" s="916"/>
      <c r="O26" s="916"/>
      <c r="P26" s="916"/>
      <c r="Q26" s="916"/>
    </row>
    <row r="27" spans="1:17" x14ac:dyDescent="0.3">
      <c r="A27" s="397">
        <v>1</v>
      </c>
      <c r="B27" s="483">
        <v>59</v>
      </c>
      <c r="C27" s="392" t="s">
        <v>80</v>
      </c>
      <c r="D27" s="411" t="s">
        <v>188</v>
      </c>
      <c r="E27" s="354" t="s">
        <v>266</v>
      </c>
      <c r="F27" s="354" t="s">
        <v>266</v>
      </c>
      <c r="G27" s="354" t="s">
        <v>266</v>
      </c>
      <c r="H27" s="354" t="s">
        <v>266</v>
      </c>
      <c r="I27" s="354" t="s">
        <v>266</v>
      </c>
      <c r="J27" s="354" t="s">
        <v>266</v>
      </c>
      <c r="K27" s="354"/>
      <c r="L27" s="595"/>
      <c r="M27" s="595"/>
      <c r="N27" s="595"/>
      <c r="O27" s="595"/>
      <c r="P27" s="595"/>
      <c r="Q27" s="595"/>
    </row>
    <row r="28" spans="1:17" x14ac:dyDescent="0.3">
      <c r="A28" s="397">
        <v>2</v>
      </c>
      <c r="B28" s="483">
        <v>12</v>
      </c>
      <c r="C28" s="392" t="s">
        <v>37</v>
      </c>
      <c r="D28" s="355" t="s">
        <v>229</v>
      </c>
      <c r="E28" s="354" t="s">
        <v>266</v>
      </c>
      <c r="F28" s="354" t="s">
        <v>266</v>
      </c>
      <c r="G28" s="354" t="s">
        <v>266</v>
      </c>
      <c r="H28" s="354" t="s">
        <v>266</v>
      </c>
      <c r="I28" s="354" t="s">
        <v>266</v>
      </c>
      <c r="J28" s="354" t="s">
        <v>266</v>
      </c>
      <c r="K28" s="354"/>
      <c r="L28" s="595"/>
      <c r="M28" s="595"/>
      <c r="N28" s="595"/>
      <c r="O28" s="595"/>
      <c r="P28" s="595"/>
      <c r="Q28" s="595"/>
    </row>
    <row r="29" spans="1:17" ht="15" thickBot="1" x14ac:dyDescent="0.35">
      <c r="A29" s="397">
        <v>3</v>
      </c>
      <c r="B29" s="487">
        <v>212</v>
      </c>
      <c r="C29" s="462" t="s">
        <v>232</v>
      </c>
      <c r="D29" s="580" t="s">
        <v>230</v>
      </c>
      <c r="E29" s="354" t="s">
        <v>266</v>
      </c>
      <c r="F29" s="354" t="s">
        <v>266</v>
      </c>
      <c r="G29" s="354" t="s">
        <v>266</v>
      </c>
      <c r="H29" s="354" t="s">
        <v>219</v>
      </c>
      <c r="I29" s="354" t="s">
        <v>266</v>
      </c>
      <c r="J29" s="354" t="s">
        <v>266</v>
      </c>
      <c r="K29" s="354"/>
      <c r="L29" s="595"/>
      <c r="M29" s="595"/>
      <c r="N29" s="595"/>
      <c r="O29" s="595"/>
      <c r="P29" s="595"/>
      <c r="Q29" s="595"/>
    </row>
    <row r="30" spans="1:17" x14ac:dyDescent="0.3">
      <c r="A30"/>
      <c r="B30"/>
    </row>
    <row r="31" spans="1:17" ht="24.6" x14ac:dyDescent="0.4">
      <c r="B31" s="905" t="str">
        <f>+B2</f>
        <v>SEMANA DEL 16 AL 22 JUNIO DEL 2025</v>
      </c>
      <c r="C31" s="905"/>
      <c r="D31" s="905"/>
      <c r="E31" s="905"/>
      <c r="F31" s="905"/>
      <c r="G31" s="905"/>
      <c r="H31" s="905"/>
      <c r="I31" s="905"/>
      <c r="J31" s="905"/>
      <c r="K31" s="905"/>
      <c r="L31" s="914" t="s">
        <v>252</v>
      </c>
      <c r="M31" s="914"/>
      <c r="N31" s="914"/>
      <c r="O31" s="914"/>
      <c r="P31" s="914"/>
      <c r="Q31" s="914"/>
    </row>
    <row r="32" spans="1:17" ht="24.6" x14ac:dyDescent="0.4">
      <c r="B32" s="905" t="s">
        <v>182</v>
      </c>
      <c r="C32" s="905"/>
      <c r="D32" s="905"/>
      <c r="E32" s="905"/>
      <c r="F32" s="905"/>
      <c r="G32" s="905"/>
      <c r="H32" s="905"/>
      <c r="I32" s="905"/>
      <c r="J32" s="905"/>
      <c r="K32" s="905"/>
      <c r="L32" s="901" t="s">
        <v>253</v>
      </c>
      <c r="M32" s="901" t="s">
        <v>254</v>
      </c>
      <c r="N32" s="901" t="s">
        <v>255</v>
      </c>
      <c r="O32" s="901" t="s">
        <v>256</v>
      </c>
      <c r="P32" s="901" t="s">
        <v>257</v>
      </c>
      <c r="Q32" s="901" t="s">
        <v>177</v>
      </c>
    </row>
    <row r="33" spans="1:17" x14ac:dyDescent="0.3">
      <c r="A33" s="397"/>
      <c r="B33" s="907" t="s">
        <v>192</v>
      </c>
      <c r="C33" s="907"/>
      <c r="D33" s="907"/>
      <c r="E33" s="907"/>
      <c r="F33" s="907"/>
      <c r="G33" s="907"/>
      <c r="H33" s="907"/>
      <c r="I33" s="907"/>
      <c r="J33" s="907"/>
      <c r="K33" s="907"/>
      <c r="L33" s="902"/>
      <c r="M33" s="902"/>
      <c r="N33" s="902"/>
      <c r="O33" s="902"/>
      <c r="P33" s="902"/>
      <c r="Q33" s="902"/>
    </row>
    <row r="34" spans="1:17" x14ac:dyDescent="0.3">
      <c r="A34" s="397"/>
      <c r="B34" s="915" t="s">
        <v>259</v>
      </c>
      <c r="C34" s="915"/>
      <c r="D34" s="915"/>
      <c r="E34" s="915"/>
      <c r="F34" s="915"/>
      <c r="G34" s="915"/>
      <c r="H34" s="915"/>
      <c r="I34" s="915"/>
      <c r="J34" s="915"/>
      <c r="K34" s="915"/>
      <c r="L34" s="902"/>
      <c r="M34" s="902"/>
      <c r="N34" s="902"/>
      <c r="O34" s="902"/>
      <c r="P34" s="902"/>
      <c r="Q34" s="902"/>
    </row>
    <row r="35" spans="1:17" x14ac:dyDescent="0.3">
      <c r="A35" s="397"/>
      <c r="B35" s="593" t="s">
        <v>185</v>
      </c>
      <c r="C35" s="593" t="s">
        <v>135</v>
      </c>
      <c r="D35" s="593" t="s">
        <v>136</v>
      </c>
      <c r="E35" s="600" t="s">
        <v>8</v>
      </c>
      <c r="F35" s="600" t="s">
        <v>9</v>
      </c>
      <c r="G35" s="600" t="s">
        <v>9</v>
      </c>
      <c r="H35" s="600" t="s">
        <v>10</v>
      </c>
      <c r="I35" s="600" t="s">
        <v>11</v>
      </c>
      <c r="J35" s="600" t="s">
        <v>12</v>
      </c>
      <c r="K35" s="600" t="s">
        <v>186</v>
      </c>
      <c r="L35" s="903"/>
      <c r="M35" s="903"/>
      <c r="N35" s="903"/>
      <c r="O35" s="903"/>
      <c r="P35" s="903"/>
      <c r="Q35" s="903"/>
    </row>
    <row r="36" spans="1:17" x14ac:dyDescent="0.3">
      <c r="A36" s="397">
        <v>1</v>
      </c>
      <c r="B36" s="483">
        <v>251</v>
      </c>
      <c r="C36" s="392" t="s">
        <v>248</v>
      </c>
      <c r="D36" s="643" t="s">
        <v>220</v>
      </c>
      <c r="E36" s="701" t="s">
        <v>219</v>
      </c>
      <c r="F36" s="701" t="s">
        <v>219</v>
      </c>
      <c r="G36" s="701" t="s">
        <v>219</v>
      </c>
      <c r="H36" s="701" t="s">
        <v>219</v>
      </c>
      <c r="I36" s="701">
        <v>1</v>
      </c>
      <c r="J36" s="600"/>
      <c r="K36" s="600"/>
      <c r="L36" s="393"/>
      <c r="M36" s="393"/>
      <c r="N36" s="393"/>
      <c r="O36" s="393"/>
      <c r="P36" s="393"/>
      <c r="Q36" s="393"/>
    </row>
    <row r="37" spans="1:17" x14ac:dyDescent="0.3">
      <c r="A37" s="397">
        <v>2</v>
      </c>
      <c r="B37" s="483">
        <v>250</v>
      </c>
      <c r="C37" s="392" t="s">
        <v>269</v>
      </c>
      <c r="D37" s="651" t="s">
        <v>189</v>
      </c>
      <c r="E37" s="354">
        <v>1</v>
      </c>
      <c r="F37" s="354">
        <v>1</v>
      </c>
      <c r="G37" s="354">
        <v>1</v>
      </c>
      <c r="H37" s="354">
        <v>1</v>
      </c>
      <c r="I37" s="354">
        <v>1</v>
      </c>
      <c r="J37" s="354"/>
      <c r="K37" s="600"/>
      <c r="L37" s="393"/>
      <c r="M37" s="393"/>
      <c r="N37" s="393"/>
      <c r="O37" s="393"/>
      <c r="P37" s="393"/>
      <c r="Q37" s="393"/>
    </row>
    <row r="38" spans="1:17" x14ac:dyDescent="0.3">
      <c r="A38" s="397">
        <v>4</v>
      </c>
      <c r="B38" s="483">
        <v>214</v>
      </c>
      <c r="C38" s="392" t="s">
        <v>233</v>
      </c>
      <c r="D38" s="643" t="s">
        <v>220</v>
      </c>
      <c r="E38" s="354">
        <v>1</v>
      </c>
      <c r="F38" s="701" t="s">
        <v>219</v>
      </c>
      <c r="G38" s="354">
        <v>1</v>
      </c>
      <c r="H38" s="354">
        <v>1</v>
      </c>
      <c r="I38" s="354">
        <v>1</v>
      </c>
      <c r="J38" s="600"/>
      <c r="K38" s="600"/>
      <c r="L38" s="393"/>
      <c r="M38" s="393"/>
      <c r="N38" s="393"/>
      <c r="O38" s="393"/>
      <c r="P38" s="393"/>
      <c r="Q38" s="393"/>
    </row>
    <row r="39" spans="1:17" x14ac:dyDescent="0.3">
      <c r="A39" s="397">
        <v>6</v>
      </c>
      <c r="B39" s="483">
        <v>215</v>
      </c>
      <c r="C39" s="392" t="s">
        <v>234</v>
      </c>
      <c r="D39" s="643" t="s">
        <v>220</v>
      </c>
      <c r="E39" s="710" t="s">
        <v>219</v>
      </c>
      <c r="F39" s="710" t="s">
        <v>219</v>
      </c>
      <c r="G39" s="395">
        <v>1</v>
      </c>
      <c r="H39" s="395">
        <v>1</v>
      </c>
      <c r="I39" s="395">
        <v>1</v>
      </c>
      <c r="J39" s="600"/>
      <c r="K39" s="600"/>
      <c r="L39" s="393"/>
      <c r="M39" s="393"/>
      <c r="N39" s="393"/>
      <c r="O39" s="393"/>
      <c r="P39" s="393"/>
      <c r="Q39" s="393"/>
    </row>
    <row r="40" spans="1:17" x14ac:dyDescent="0.3">
      <c r="A40" s="397">
        <v>7</v>
      </c>
      <c r="B40" s="483">
        <v>27</v>
      </c>
      <c r="C40" s="392" t="s">
        <v>39</v>
      </c>
      <c r="D40" s="651" t="s">
        <v>189</v>
      </c>
      <c r="E40" s="701" t="s">
        <v>219</v>
      </c>
      <c r="F40" s="701" t="s">
        <v>219</v>
      </c>
      <c r="G40" s="701" t="s">
        <v>219</v>
      </c>
      <c r="H40" s="701" t="s">
        <v>219</v>
      </c>
      <c r="I40" s="701" t="s">
        <v>219</v>
      </c>
      <c r="J40" s="600"/>
      <c r="K40" s="600"/>
      <c r="L40" s="393"/>
      <c r="M40" s="393"/>
      <c r="N40" s="393"/>
      <c r="O40" s="393"/>
      <c r="P40" s="393"/>
      <c r="Q40" s="393"/>
    </row>
    <row r="41" spans="1:17" x14ac:dyDescent="0.3">
      <c r="A41" s="397">
        <v>8</v>
      </c>
      <c r="B41" s="483">
        <v>159</v>
      </c>
      <c r="C41" s="392" t="s">
        <v>139</v>
      </c>
      <c r="D41" s="642" t="s">
        <v>188</v>
      </c>
      <c r="E41" s="395">
        <v>1</v>
      </c>
      <c r="F41" s="400">
        <v>1</v>
      </c>
      <c r="G41" s="354">
        <v>1</v>
      </c>
      <c r="H41" s="354">
        <v>1</v>
      </c>
      <c r="I41" s="354">
        <v>1</v>
      </c>
      <c r="J41" s="600"/>
      <c r="K41" s="354"/>
      <c r="L41" s="393"/>
      <c r="M41" s="393"/>
      <c r="N41" s="393"/>
      <c r="O41" s="393"/>
      <c r="P41" s="393"/>
      <c r="Q41" s="393"/>
    </row>
    <row r="42" spans="1:17" x14ac:dyDescent="0.3">
      <c r="A42" s="397">
        <v>9</v>
      </c>
      <c r="B42" s="483">
        <v>33</v>
      </c>
      <c r="C42" s="392" t="s">
        <v>41</v>
      </c>
      <c r="D42" s="643" t="s">
        <v>190</v>
      </c>
      <c r="E42" s="354">
        <v>1</v>
      </c>
      <c r="F42" s="354">
        <v>1</v>
      </c>
      <c r="G42" s="701" t="s">
        <v>219</v>
      </c>
      <c r="H42" s="701" t="s">
        <v>219</v>
      </c>
      <c r="I42" s="701" t="s">
        <v>219</v>
      </c>
      <c r="J42" s="600"/>
      <c r="K42" s="354"/>
      <c r="L42" s="393"/>
      <c r="M42" s="393"/>
      <c r="N42" s="393"/>
      <c r="O42" s="393"/>
      <c r="P42" s="393"/>
      <c r="Q42" s="393"/>
    </row>
    <row r="43" spans="1:17" x14ac:dyDescent="0.3">
      <c r="A43" s="397"/>
      <c r="B43" s="483">
        <v>266</v>
      </c>
      <c r="C43" s="392" t="s">
        <v>301</v>
      </c>
      <c r="D43" s="643" t="s">
        <v>249</v>
      </c>
      <c r="E43" s="395">
        <v>1</v>
      </c>
      <c r="F43" s="395">
        <v>1</v>
      </c>
      <c r="G43" s="395">
        <v>1</v>
      </c>
      <c r="H43" s="395">
        <v>1</v>
      </c>
      <c r="I43" s="354">
        <v>1</v>
      </c>
      <c r="J43" s="600"/>
      <c r="K43" s="354"/>
      <c r="L43" s="393"/>
      <c r="M43" s="393"/>
      <c r="N43" s="393"/>
      <c r="O43" s="393"/>
      <c r="P43" s="393"/>
      <c r="Q43" s="393"/>
    </row>
    <row r="44" spans="1:17" x14ac:dyDescent="0.3">
      <c r="A44" s="397"/>
      <c r="B44" s="484">
        <v>228</v>
      </c>
      <c r="C44" s="392" t="s">
        <v>239</v>
      </c>
      <c r="D44" s="643" t="s">
        <v>249</v>
      </c>
      <c r="E44" s="354">
        <v>1</v>
      </c>
      <c r="F44" s="354">
        <v>1</v>
      </c>
      <c r="G44" s="354">
        <v>1</v>
      </c>
      <c r="H44" s="354">
        <v>1</v>
      </c>
      <c r="I44" s="354">
        <v>1</v>
      </c>
      <c r="J44" s="600"/>
      <c r="K44" s="354"/>
      <c r="L44" s="393"/>
      <c r="M44" s="393"/>
      <c r="N44" s="393"/>
      <c r="O44" s="393"/>
      <c r="P44" s="393"/>
      <c r="Q44" s="393"/>
    </row>
    <row r="45" spans="1:17" x14ac:dyDescent="0.3">
      <c r="A45" s="397"/>
      <c r="B45" s="483">
        <v>242</v>
      </c>
      <c r="C45" s="392" t="s">
        <v>245</v>
      </c>
      <c r="D45" s="642" t="s">
        <v>188</v>
      </c>
      <c r="E45" s="701" t="s">
        <v>219</v>
      </c>
      <c r="F45" s="701" t="s">
        <v>219</v>
      </c>
      <c r="G45" s="701" t="s">
        <v>219</v>
      </c>
      <c r="H45" s="701" t="s">
        <v>219</v>
      </c>
      <c r="I45" s="701" t="s">
        <v>219</v>
      </c>
      <c r="J45" s="354"/>
      <c r="K45" s="354"/>
      <c r="L45" s="393"/>
      <c r="M45" s="393"/>
      <c r="N45" s="393"/>
      <c r="O45" s="393"/>
      <c r="P45" s="393"/>
      <c r="Q45" s="393"/>
    </row>
    <row r="46" spans="1:17" x14ac:dyDescent="0.3">
      <c r="A46" s="397"/>
      <c r="B46" s="597"/>
      <c r="C46" s="598"/>
      <c r="D46" s="599"/>
      <c r="E46" s="601"/>
      <c r="F46" s="601"/>
      <c r="G46" s="601"/>
      <c r="H46" s="601"/>
      <c r="I46" s="601"/>
      <c r="J46" s="601"/>
      <c r="K46" s="601"/>
      <c r="L46" s="68"/>
      <c r="M46" s="68"/>
      <c r="N46" s="68"/>
      <c r="O46" s="68"/>
      <c r="P46" s="68"/>
      <c r="Q46" s="68"/>
    </row>
    <row r="47" spans="1:17" ht="24.6" x14ac:dyDescent="0.4">
      <c r="B47" s="905" t="str">
        <f>+B2</f>
        <v>SEMANA DEL 16 AL 22 JUNIO DEL 2025</v>
      </c>
      <c r="C47" s="905"/>
      <c r="D47" s="905"/>
      <c r="E47" s="905"/>
      <c r="F47" s="905"/>
      <c r="G47" s="905"/>
      <c r="H47" s="905"/>
      <c r="I47" s="905"/>
      <c r="J47" s="905"/>
      <c r="K47" s="905"/>
      <c r="L47" s="911" t="s">
        <v>252</v>
      </c>
      <c r="M47" s="911"/>
      <c r="N47" s="911"/>
      <c r="O47" s="911"/>
      <c r="P47" s="911"/>
      <c r="Q47" s="911"/>
    </row>
    <row r="48" spans="1:17" ht="24.6" x14ac:dyDescent="0.4">
      <c r="A48" s="397"/>
      <c r="B48" s="913" t="s">
        <v>193</v>
      </c>
      <c r="C48" s="913"/>
      <c r="D48" s="913"/>
      <c r="E48" s="913"/>
      <c r="F48" s="913"/>
      <c r="G48" s="913"/>
      <c r="H48" s="913"/>
      <c r="I48" s="913"/>
      <c r="J48" s="913"/>
      <c r="K48" s="913"/>
      <c r="L48" s="901" t="s">
        <v>253</v>
      </c>
      <c r="M48" s="901" t="s">
        <v>254</v>
      </c>
      <c r="N48" s="901" t="s">
        <v>255</v>
      </c>
      <c r="O48" s="901" t="s">
        <v>256</v>
      </c>
      <c r="P48" s="901" t="s">
        <v>257</v>
      </c>
      <c r="Q48" s="901" t="s">
        <v>177</v>
      </c>
    </row>
    <row r="49" spans="1:17" x14ac:dyDescent="0.3">
      <c r="A49" s="397"/>
      <c r="B49" s="907" t="s">
        <v>194</v>
      </c>
      <c r="C49" s="907"/>
      <c r="D49" s="907"/>
      <c r="E49" s="907"/>
      <c r="F49" s="907"/>
      <c r="G49" s="907"/>
      <c r="H49" s="907"/>
      <c r="I49" s="907"/>
      <c r="J49" s="907"/>
      <c r="K49" s="907"/>
      <c r="L49" s="902"/>
      <c r="M49" s="902"/>
      <c r="N49" s="902"/>
      <c r="O49" s="902"/>
      <c r="P49" s="902"/>
      <c r="Q49" s="902"/>
    </row>
    <row r="50" spans="1:17" x14ac:dyDescent="0.3">
      <c r="A50" s="397"/>
      <c r="B50" s="904" t="s">
        <v>260</v>
      </c>
      <c r="C50" s="904"/>
      <c r="D50" s="904"/>
      <c r="E50" s="904"/>
      <c r="F50" s="904"/>
      <c r="G50" s="904"/>
      <c r="H50" s="904"/>
      <c r="I50" s="904"/>
      <c r="J50" s="904"/>
      <c r="K50" s="904"/>
      <c r="L50" s="903"/>
      <c r="M50" s="903"/>
      <c r="N50" s="903"/>
      <c r="O50" s="903"/>
      <c r="P50" s="903"/>
      <c r="Q50" s="903"/>
    </row>
    <row r="51" spans="1:17" x14ac:dyDescent="0.3">
      <c r="A51" s="397"/>
      <c r="B51" s="593" t="s">
        <v>185</v>
      </c>
      <c r="C51" s="593" t="s">
        <v>135</v>
      </c>
      <c r="D51" s="593" t="s">
        <v>136</v>
      </c>
      <c r="E51" s="602" t="s">
        <v>8</v>
      </c>
      <c r="F51" s="602" t="s">
        <v>9</v>
      </c>
      <c r="G51" s="602" t="s">
        <v>9</v>
      </c>
      <c r="H51" s="602" t="s">
        <v>10</v>
      </c>
      <c r="I51" s="602" t="s">
        <v>11</v>
      </c>
      <c r="J51" s="602" t="s">
        <v>12</v>
      </c>
      <c r="K51" s="602" t="s">
        <v>186</v>
      </c>
      <c r="L51" s="393"/>
      <c r="M51" s="393"/>
      <c r="N51" s="393"/>
      <c r="O51" s="393"/>
      <c r="P51" s="393"/>
      <c r="Q51" s="393"/>
    </row>
    <row r="52" spans="1:17" x14ac:dyDescent="0.3">
      <c r="A52" s="397">
        <v>1</v>
      </c>
      <c r="B52" s="483">
        <v>9</v>
      </c>
      <c r="C52" s="399" t="s">
        <v>36</v>
      </c>
      <c r="D52" s="642" t="s">
        <v>188</v>
      </c>
      <c r="E52" s="354">
        <v>1</v>
      </c>
      <c r="F52" s="354">
        <v>1</v>
      </c>
      <c r="G52" s="395">
        <v>1</v>
      </c>
      <c r="H52" s="354">
        <v>1</v>
      </c>
      <c r="I52" s="354">
        <v>1</v>
      </c>
      <c r="J52" s="568">
        <v>1</v>
      </c>
      <c r="K52" s="354"/>
      <c r="L52" s="393"/>
      <c r="M52" s="393"/>
      <c r="N52" s="393"/>
      <c r="O52" s="393"/>
      <c r="P52" s="393"/>
      <c r="Q52" s="393"/>
    </row>
    <row r="53" spans="1:17" x14ac:dyDescent="0.3">
      <c r="A53" s="397">
        <v>2</v>
      </c>
      <c r="B53" s="483">
        <v>264</v>
      </c>
      <c r="C53" s="392" t="s">
        <v>283</v>
      </c>
      <c r="D53" s="646" t="s">
        <v>190</v>
      </c>
      <c r="E53" s="354">
        <v>1</v>
      </c>
      <c r="F53" s="354">
        <v>1</v>
      </c>
      <c r="G53" s="354">
        <v>1</v>
      </c>
      <c r="H53" s="354">
        <v>1</v>
      </c>
      <c r="I53" s="354">
        <v>1</v>
      </c>
      <c r="J53" s="354">
        <v>1</v>
      </c>
      <c r="K53" s="354"/>
      <c r="L53" s="393"/>
      <c r="M53" s="393"/>
      <c r="N53" s="393"/>
      <c r="O53" s="393"/>
      <c r="P53" s="393"/>
      <c r="Q53" s="393"/>
    </row>
    <row r="54" spans="1:17" x14ac:dyDescent="0.3">
      <c r="A54" s="397">
        <v>3</v>
      </c>
      <c r="B54" s="484">
        <v>166</v>
      </c>
      <c r="C54" s="392" t="s">
        <v>151</v>
      </c>
      <c r="D54" s="653" t="s">
        <v>218</v>
      </c>
      <c r="E54" s="354">
        <v>1</v>
      </c>
      <c r="F54" s="354">
        <v>1</v>
      </c>
      <c r="G54" s="395">
        <v>1</v>
      </c>
      <c r="H54" s="354">
        <v>1</v>
      </c>
      <c r="I54" s="354">
        <v>1</v>
      </c>
      <c r="J54" s="568" t="s">
        <v>219</v>
      </c>
      <c r="K54" s="354"/>
      <c r="L54" s="391"/>
      <c r="M54" s="391"/>
      <c r="N54" s="391"/>
      <c r="O54" s="391"/>
      <c r="P54" s="391"/>
      <c r="Q54" s="391"/>
    </row>
    <row r="55" spans="1:17" x14ac:dyDescent="0.3">
      <c r="A55" s="397">
        <v>4</v>
      </c>
      <c r="B55" s="483">
        <v>19</v>
      </c>
      <c r="C55" s="392" t="s">
        <v>49</v>
      </c>
      <c r="D55" s="654" t="s">
        <v>188</v>
      </c>
      <c r="E55" s="354">
        <v>1</v>
      </c>
      <c r="F55" s="354">
        <v>1</v>
      </c>
      <c r="G55" s="354">
        <v>1</v>
      </c>
      <c r="H55" s="354">
        <v>1</v>
      </c>
      <c r="I55" s="354">
        <v>1</v>
      </c>
      <c r="J55" s="354">
        <v>1</v>
      </c>
      <c r="K55" s="354"/>
      <c r="L55" s="393"/>
      <c r="M55" s="393"/>
      <c r="N55" s="393"/>
      <c r="O55" s="393"/>
      <c r="P55" s="393"/>
      <c r="Q55" s="393"/>
    </row>
    <row r="56" spans="1:17" x14ac:dyDescent="0.3">
      <c r="A56" s="397">
        <v>5</v>
      </c>
      <c r="B56" s="483">
        <v>247</v>
      </c>
      <c r="C56" s="392" t="s">
        <v>281</v>
      </c>
      <c r="D56" s="654" t="s">
        <v>188</v>
      </c>
      <c r="E56" s="354">
        <v>1</v>
      </c>
      <c r="F56" s="354">
        <v>1</v>
      </c>
      <c r="G56" s="395">
        <v>1</v>
      </c>
      <c r="H56" s="354">
        <v>1</v>
      </c>
      <c r="I56" s="354">
        <v>1</v>
      </c>
      <c r="J56" s="568">
        <v>1</v>
      </c>
      <c r="K56" s="354"/>
      <c r="L56" s="393"/>
      <c r="M56" s="393"/>
      <c r="N56" s="393"/>
      <c r="O56" s="393"/>
      <c r="P56" s="393"/>
      <c r="Q56" s="393"/>
    </row>
    <row r="57" spans="1:17" x14ac:dyDescent="0.3">
      <c r="A57" s="397">
        <v>6</v>
      </c>
      <c r="B57" s="551">
        <v>269</v>
      </c>
      <c r="C57" s="392" t="s">
        <v>302</v>
      </c>
      <c r="D57" s="703" t="s">
        <v>220</v>
      </c>
      <c r="E57" s="354" t="s">
        <v>129</v>
      </c>
      <c r="F57" s="354">
        <v>1</v>
      </c>
      <c r="G57" s="395">
        <v>1</v>
      </c>
      <c r="H57" s="354">
        <v>1</v>
      </c>
      <c r="I57" s="720">
        <v>1</v>
      </c>
      <c r="J57" s="568">
        <v>1</v>
      </c>
      <c r="K57" s="354"/>
      <c r="L57" s="393"/>
      <c r="M57" s="393"/>
      <c r="N57" s="393"/>
      <c r="O57" s="393"/>
      <c r="P57" s="393"/>
      <c r="Q57" s="393"/>
    </row>
    <row r="58" spans="1:17" x14ac:dyDescent="0.3">
      <c r="A58" s="397">
        <v>8</v>
      </c>
      <c r="B58" s="484">
        <v>39</v>
      </c>
      <c r="C58" s="392" t="s">
        <v>50</v>
      </c>
      <c r="D58" s="655" t="s">
        <v>227</v>
      </c>
      <c r="E58" s="710" t="s">
        <v>219</v>
      </c>
      <c r="F58" s="710" t="s">
        <v>219</v>
      </c>
      <c r="G58" s="710" t="s">
        <v>219</v>
      </c>
      <c r="H58" s="710" t="s">
        <v>219</v>
      </c>
      <c r="I58" s="710" t="s">
        <v>219</v>
      </c>
      <c r="J58" s="710" t="s">
        <v>219</v>
      </c>
      <c r="K58" s="354"/>
      <c r="L58" s="391"/>
      <c r="M58" s="391"/>
      <c r="N58" s="391"/>
      <c r="O58" s="391"/>
      <c r="P58" s="391"/>
      <c r="Q58" s="391"/>
    </row>
    <row r="59" spans="1:17" x14ac:dyDescent="0.3">
      <c r="A59" s="397"/>
      <c r="B59" s="484">
        <v>141</v>
      </c>
      <c r="C59" s="392" t="s">
        <v>120</v>
      </c>
      <c r="D59" s="653" t="s">
        <v>218</v>
      </c>
      <c r="E59" s="354">
        <v>1</v>
      </c>
      <c r="F59" s="354">
        <v>1</v>
      </c>
      <c r="G59" s="395">
        <v>1</v>
      </c>
      <c r="H59" s="354">
        <v>1</v>
      </c>
      <c r="I59" s="354">
        <v>1</v>
      </c>
      <c r="J59" s="354">
        <v>1</v>
      </c>
      <c r="K59" s="354"/>
      <c r="L59" s="391"/>
      <c r="M59" s="391"/>
      <c r="N59" s="391"/>
      <c r="O59" s="391"/>
      <c r="P59" s="391"/>
      <c r="Q59" s="391"/>
    </row>
    <row r="60" spans="1:17" ht="15" thickBot="1" x14ac:dyDescent="0.35">
      <c r="A60" s="397"/>
      <c r="B60" s="487">
        <v>220</v>
      </c>
      <c r="C60" s="621" t="s">
        <v>236</v>
      </c>
      <c r="D60" s="714" t="s">
        <v>217</v>
      </c>
      <c r="E60" s="463">
        <v>1</v>
      </c>
      <c r="F60" s="463">
        <v>1</v>
      </c>
      <c r="G60" s="463">
        <v>1</v>
      </c>
      <c r="H60" s="463">
        <v>1</v>
      </c>
      <c r="I60" s="463">
        <v>1</v>
      </c>
      <c r="J60" s="463">
        <v>1</v>
      </c>
      <c r="K60" s="354"/>
      <c r="L60" s="391"/>
      <c r="M60" s="391"/>
      <c r="N60" s="391"/>
      <c r="O60" s="391"/>
      <c r="P60" s="391"/>
      <c r="Q60" s="391"/>
    </row>
    <row r="61" spans="1:17" x14ac:dyDescent="0.3">
      <c r="A61" s="397"/>
      <c r="B61" s="730"/>
      <c r="C61" s="598"/>
      <c r="D61" s="731"/>
      <c r="E61" s="601"/>
      <c r="F61" s="405"/>
      <c r="G61" s="405"/>
      <c r="H61" s="405"/>
      <c r="I61" s="601"/>
      <c r="J61" s="405"/>
      <c r="K61" s="601"/>
      <c r="L61" s="287"/>
      <c r="M61" s="287"/>
      <c r="N61" s="287"/>
      <c r="O61" s="287"/>
      <c r="P61" s="287"/>
      <c r="Q61" s="287"/>
    </row>
    <row r="62" spans="1:17" x14ac:dyDescent="0.3">
      <c r="A62" s="397"/>
      <c r="B62" s="604"/>
      <c r="C62" s="598"/>
      <c r="D62" s="598"/>
      <c r="E62" s="605"/>
      <c r="F62" s="605"/>
      <c r="G62" s="605"/>
      <c r="H62" s="605"/>
      <c r="I62" s="605"/>
      <c r="J62" s="605"/>
      <c r="K62" s="605"/>
    </row>
    <row r="63" spans="1:17" ht="24.6" x14ac:dyDescent="0.4">
      <c r="B63" s="905" t="str">
        <f>+B2</f>
        <v>SEMANA DEL 16 AL 22 JUNIO DEL 2025</v>
      </c>
      <c r="C63" s="905"/>
      <c r="D63" s="905"/>
      <c r="E63" s="905"/>
      <c r="F63" s="905"/>
      <c r="G63" s="905"/>
      <c r="H63" s="905"/>
      <c r="I63" s="905"/>
      <c r="J63" s="905"/>
      <c r="K63" s="905"/>
      <c r="L63" s="911" t="s">
        <v>252</v>
      </c>
      <c r="M63" s="911"/>
      <c r="N63" s="911"/>
      <c r="O63" s="911"/>
      <c r="P63" s="911"/>
      <c r="Q63" s="911"/>
    </row>
    <row r="64" spans="1:17" x14ac:dyDescent="0.3">
      <c r="A64" s="397"/>
      <c r="B64" s="907" t="s">
        <v>261</v>
      </c>
      <c r="C64" s="907"/>
      <c r="D64" s="907"/>
      <c r="E64" s="907"/>
      <c r="F64" s="907"/>
      <c r="G64" s="907"/>
      <c r="H64" s="907"/>
      <c r="I64" s="907"/>
      <c r="J64" s="907"/>
      <c r="K64" s="907"/>
      <c r="L64" s="901" t="s">
        <v>253</v>
      </c>
      <c r="M64" s="901" t="s">
        <v>254</v>
      </c>
      <c r="N64" s="901" t="s">
        <v>255</v>
      </c>
      <c r="O64" s="901" t="s">
        <v>256</v>
      </c>
      <c r="P64" s="901" t="s">
        <v>257</v>
      </c>
      <c r="Q64" s="901" t="s">
        <v>177</v>
      </c>
    </row>
    <row r="65" spans="1:17" x14ac:dyDescent="0.3">
      <c r="A65" s="397"/>
      <c r="B65" s="871" t="s">
        <v>262</v>
      </c>
      <c r="C65" s="871"/>
      <c r="D65" s="871"/>
      <c r="E65" s="871"/>
      <c r="F65" s="871"/>
      <c r="G65" s="871"/>
      <c r="H65" s="871"/>
      <c r="I65" s="871"/>
      <c r="J65" s="871"/>
      <c r="K65" s="912"/>
      <c r="L65" s="902"/>
      <c r="M65" s="902"/>
      <c r="N65" s="902"/>
      <c r="O65" s="902"/>
      <c r="P65" s="902"/>
      <c r="Q65" s="902"/>
    </row>
    <row r="66" spans="1:17" x14ac:dyDescent="0.3">
      <c r="A66" s="397"/>
      <c r="B66" s="593" t="s">
        <v>185</v>
      </c>
      <c r="C66" s="606" t="s">
        <v>135</v>
      </c>
      <c r="D66" s="606" t="s">
        <v>136</v>
      </c>
      <c r="E66" s="607" t="s">
        <v>8</v>
      </c>
      <c r="F66" s="607" t="s">
        <v>9</v>
      </c>
      <c r="G66" s="607" t="s">
        <v>9</v>
      </c>
      <c r="H66" s="607" t="s">
        <v>10</v>
      </c>
      <c r="I66" s="607" t="s">
        <v>11</v>
      </c>
      <c r="J66" s="607" t="s">
        <v>12</v>
      </c>
      <c r="K66" s="608" t="s">
        <v>186</v>
      </c>
      <c r="L66" s="903"/>
      <c r="M66" s="903"/>
      <c r="N66" s="903"/>
      <c r="O66" s="903"/>
      <c r="P66" s="903"/>
      <c r="Q66" s="903"/>
    </row>
    <row r="67" spans="1:17" x14ac:dyDescent="0.3">
      <c r="A67" s="603">
        <v>1</v>
      </c>
      <c r="B67" s="483">
        <v>158</v>
      </c>
      <c r="C67" s="394" t="s">
        <v>138</v>
      </c>
      <c r="D67" s="411" t="s">
        <v>188</v>
      </c>
      <c r="E67" s="354" t="s">
        <v>266</v>
      </c>
      <c r="F67" s="354" t="s">
        <v>266</v>
      </c>
      <c r="G67" s="354" t="s">
        <v>266</v>
      </c>
      <c r="H67" s="354" t="s">
        <v>266</v>
      </c>
      <c r="I67" s="354" t="s">
        <v>266</v>
      </c>
      <c r="J67" s="610"/>
      <c r="K67" s="610"/>
      <c r="L67" s="118"/>
      <c r="M67" s="118"/>
      <c r="N67" s="118"/>
      <c r="O67" s="118"/>
      <c r="P67" s="118"/>
      <c r="Q67" s="118"/>
    </row>
    <row r="68" spans="1:17" x14ac:dyDescent="0.3">
      <c r="A68" s="609">
        <v>2</v>
      </c>
      <c r="B68" s="484">
        <v>75</v>
      </c>
      <c r="C68" s="392" t="s">
        <v>91</v>
      </c>
      <c r="D68" s="513" t="s">
        <v>220</v>
      </c>
      <c r="E68" s="354" t="s">
        <v>266</v>
      </c>
      <c r="F68" s="354" t="s">
        <v>266</v>
      </c>
      <c r="G68" s="354" t="s">
        <v>266</v>
      </c>
      <c r="H68" s="354" t="s">
        <v>266</v>
      </c>
      <c r="I68" s="354" t="s">
        <v>266</v>
      </c>
      <c r="J68" s="610"/>
      <c r="K68" s="610"/>
      <c r="L68" s="118"/>
      <c r="M68" s="118"/>
      <c r="N68" s="118"/>
      <c r="O68" s="118"/>
      <c r="P68" s="118"/>
      <c r="Q68" s="118"/>
    </row>
    <row r="69" spans="1:17" x14ac:dyDescent="0.3">
      <c r="A69" s="603">
        <v>3</v>
      </c>
      <c r="B69" s="486">
        <v>74</v>
      </c>
      <c r="C69" s="394" t="s">
        <v>85</v>
      </c>
      <c r="D69" s="513" t="s">
        <v>220</v>
      </c>
      <c r="E69" s="354" t="s">
        <v>219</v>
      </c>
      <c r="F69" s="354" t="s">
        <v>219</v>
      </c>
      <c r="G69" s="354" t="s">
        <v>266</v>
      </c>
      <c r="H69" s="354" t="s">
        <v>266</v>
      </c>
      <c r="I69" s="354" t="s">
        <v>266</v>
      </c>
      <c r="J69" s="610"/>
      <c r="K69" s="610"/>
      <c r="L69" s="118"/>
      <c r="M69" s="118"/>
      <c r="N69" s="118"/>
      <c r="O69" s="118"/>
      <c r="P69" s="118"/>
      <c r="Q69" s="118"/>
    </row>
    <row r="70" spans="1:17" x14ac:dyDescent="0.3">
      <c r="A70" s="609">
        <v>4</v>
      </c>
      <c r="B70" s="486">
        <v>29</v>
      </c>
      <c r="C70" s="394" t="s">
        <v>53</v>
      </c>
      <c r="D70" s="513" t="s">
        <v>220</v>
      </c>
      <c r="E70" s="354" t="s">
        <v>266</v>
      </c>
      <c r="F70" s="354" t="s">
        <v>266</v>
      </c>
      <c r="G70" s="354" t="s">
        <v>266</v>
      </c>
      <c r="H70" s="354" t="s">
        <v>266</v>
      </c>
      <c r="I70" s="354" t="s">
        <v>266</v>
      </c>
      <c r="J70" s="610"/>
      <c r="K70" s="610"/>
      <c r="L70" s="118"/>
      <c r="M70" s="118"/>
      <c r="N70" s="118"/>
      <c r="O70" s="118"/>
      <c r="P70" s="118"/>
      <c r="Q70" s="118"/>
    </row>
    <row r="71" spans="1:17" ht="15" thickBot="1" x14ac:dyDescent="0.35">
      <c r="A71" s="609">
        <v>6</v>
      </c>
      <c r="B71" s="485">
        <v>37</v>
      </c>
      <c r="C71" s="462" t="s">
        <v>55</v>
      </c>
      <c r="D71" s="575" t="s">
        <v>188</v>
      </c>
      <c r="E71" s="354" t="s">
        <v>219</v>
      </c>
      <c r="F71" s="354" t="s">
        <v>219</v>
      </c>
      <c r="G71" s="354" t="s">
        <v>219</v>
      </c>
      <c r="H71" s="354" t="s">
        <v>219</v>
      </c>
      <c r="I71" s="354" t="s">
        <v>219</v>
      </c>
      <c r="J71" s="610"/>
      <c r="K71" s="610"/>
      <c r="L71" s="118"/>
      <c r="M71" s="118"/>
      <c r="N71" s="118"/>
      <c r="O71" s="118"/>
      <c r="P71" s="118"/>
      <c r="Q71" s="118"/>
    </row>
    <row r="72" spans="1:17" ht="24.6" x14ac:dyDescent="0.4">
      <c r="B72" s="905" t="str">
        <f>+B2</f>
        <v>SEMANA DEL 16 AL 22 JUNIO DEL 2025</v>
      </c>
      <c r="C72" s="905"/>
      <c r="D72" s="905"/>
      <c r="E72" s="905"/>
      <c r="F72" s="905"/>
      <c r="G72" s="905"/>
      <c r="H72" s="905"/>
      <c r="I72" s="905"/>
      <c r="J72" s="905"/>
      <c r="K72" s="905"/>
      <c r="L72" s="911" t="s">
        <v>252</v>
      </c>
      <c r="M72" s="911"/>
      <c r="N72" s="911"/>
      <c r="O72" s="911"/>
      <c r="P72" s="911"/>
      <c r="Q72" s="911"/>
    </row>
    <row r="73" spans="1:17" ht="24.6" x14ac:dyDescent="0.4">
      <c r="B73" s="910" t="s">
        <v>44</v>
      </c>
      <c r="C73" s="910"/>
      <c r="D73" s="910"/>
      <c r="E73" s="910"/>
      <c r="F73" s="910"/>
      <c r="G73" s="910"/>
      <c r="H73" s="910"/>
      <c r="I73" s="910"/>
      <c r="J73" s="910"/>
      <c r="K73" s="910"/>
      <c r="L73" s="901" t="s">
        <v>253</v>
      </c>
      <c r="M73" s="901" t="s">
        <v>254</v>
      </c>
      <c r="N73" s="901" t="s">
        <v>255</v>
      </c>
      <c r="O73" s="901" t="s">
        <v>256</v>
      </c>
      <c r="P73" s="901" t="s">
        <v>257</v>
      </c>
      <c r="Q73" s="901" t="s">
        <v>177</v>
      </c>
    </row>
    <row r="74" spans="1:17" x14ac:dyDescent="0.3">
      <c r="B74" s="908" t="s">
        <v>194</v>
      </c>
      <c r="C74" s="908"/>
      <c r="D74" s="908"/>
      <c r="E74" s="908"/>
      <c r="F74" s="908"/>
      <c r="G74" s="908"/>
      <c r="H74" s="908"/>
      <c r="I74" s="908"/>
      <c r="J74" s="908"/>
      <c r="K74" s="908"/>
      <c r="L74" s="902"/>
      <c r="M74" s="902"/>
      <c r="N74" s="902"/>
      <c r="O74" s="902"/>
      <c r="P74" s="902"/>
      <c r="Q74" s="902"/>
    </row>
    <row r="75" spans="1:17" x14ac:dyDescent="0.3">
      <c r="B75" s="871" t="s">
        <v>263</v>
      </c>
      <c r="C75" s="871"/>
      <c r="D75" s="871"/>
      <c r="E75" s="871"/>
      <c r="F75" s="871"/>
      <c r="G75" s="871"/>
      <c r="H75" s="871"/>
      <c r="I75" s="871"/>
      <c r="J75" s="871"/>
      <c r="K75" s="871"/>
      <c r="L75" s="902"/>
      <c r="M75" s="902"/>
      <c r="N75" s="902"/>
      <c r="O75" s="902"/>
      <c r="P75" s="902"/>
      <c r="Q75" s="902"/>
    </row>
    <row r="76" spans="1:17" x14ac:dyDescent="0.3">
      <c r="B76" s="593" t="s">
        <v>185</v>
      </c>
      <c r="C76" s="606" t="s">
        <v>135</v>
      </c>
      <c r="D76" s="606" t="s">
        <v>136</v>
      </c>
      <c r="E76" s="607" t="s">
        <v>8</v>
      </c>
      <c r="F76" s="607" t="s">
        <v>9</v>
      </c>
      <c r="G76" s="607" t="s">
        <v>9</v>
      </c>
      <c r="H76" s="607" t="s">
        <v>10</v>
      </c>
      <c r="I76" s="607" t="s">
        <v>11</v>
      </c>
      <c r="J76" s="607" t="s">
        <v>12</v>
      </c>
      <c r="K76" s="607" t="s">
        <v>186</v>
      </c>
      <c r="L76" s="903"/>
      <c r="M76" s="903"/>
      <c r="N76" s="903"/>
      <c r="O76" s="903"/>
      <c r="P76" s="903"/>
      <c r="Q76" s="903"/>
    </row>
    <row r="77" spans="1:17" x14ac:dyDescent="0.3">
      <c r="A77" s="287">
        <v>1</v>
      </c>
      <c r="B77" s="484">
        <v>239</v>
      </c>
      <c r="C77" s="392" t="s">
        <v>268</v>
      </c>
      <c r="D77" s="659" t="s">
        <v>220</v>
      </c>
      <c r="E77" s="354" t="s">
        <v>266</v>
      </c>
      <c r="F77" s="354" t="s">
        <v>266</v>
      </c>
      <c r="G77" s="354" t="s">
        <v>266</v>
      </c>
      <c r="H77" s="354" t="s">
        <v>266</v>
      </c>
      <c r="I77" s="354" t="s">
        <v>266</v>
      </c>
      <c r="J77" s="354" t="s">
        <v>266</v>
      </c>
      <c r="K77" s="354" t="s">
        <v>266</v>
      </c>
      <c r="L77" s="393"/>
      <c r="M77" s="393"/>
      <c r="N77" s="393"/>
      <c r="O77" s="393"/>
      <c r="P77" s="393"/>
      <c r="Q77" s="393"/>
    </row>
    <row r="78" spans="1:17" x14ac:dyDescent="0.3">
      <c r="A78" s="287">
        <v>2</v>
      </c>
      <c r="B78" s="484">
        <v>63</v>
      </c>
      <c r="C78" s="392" t="s">
        <v>45</v>
      </c>
      <c r="D78" s="660" t="s">
        <v>140</v>
      </c>
      <c r="E78" s="354" t="s">
        <v>266</v>
      </c>
      <c r="F78" s="354" t="s">
        <v>266</v>
      </c>
      <c r="G78" s="354" t="s">
        <v>266</v>
      </c>
      <c r="H78" s="354" t="s">
        <v>266</v>
      </c>
      <c r="I78" s="354" t="s">
        <v>266</v>
      </c>
      <c r="J78" s="354" t="s">
        <v>266</v>
      </c>
      <c r="K78" s="354"/>
      <c r="L78" s="393"/>
      <c r="M78" s="393"/>
      <c r="N78" s="393"/>
      <c r="O78" s="393"/>
      <c r="P78" s="393"/>
      <c r="Q78" s="393"/>
    </row>
    <row r="79" spans="1:17" x14ac:dyDescent="0.3">
      <c r="A79" s="287">
        <v>3</v>
      </c>
      <c r="B79" s="483">
        <v>73</v>
      </c>
      <c r="C79" s="392" t="s">
        <v>102</v>
      </c>
      <c r="D79" s="640" t="s">
        <v>275</v>
      </c>
      <c r="E79" s="354" t="s">
        <v>266</v>
      </c>
      <c r="F79" s="354" t="s">
        <v>266</v>
      </c>
      <c r="G79" s="354" t="s">
        <v>266</v>
      </c>
      <c r="H79" s="354" t="s">
        <v>266</v>
      </c>
      <c r="I79" s="354" t="s">
        <v>266</v>
      </c>
      <c r="J79" s="354" t="s">
        <v>266</v>
      </c>
      <c r="K79" s="354" t="s">
        <v>266</v>
      </c>
      <c r="L79" s="393"/>
      <c r="M79" s="393"/>
      <c r="N79" s="393"/>
      <c r="O79" s="393"/>
      <c r="P79" s="393"/>
      <c r="Q79" s="393"/>
    </row>
    <row r="80" spans="1:17" x14ac:dyDescent="0.3">
      <c r="A80" s="287">
        <v>4</v>
      </c>
      <c r="B80" s="483">
        <v>230</v>
      </c>
      <c r="C80" s="392" t="s">
        <v>240</v>
      </c>
      <c r="D80" s="657" t="s">
        <v>243</v>
      </c>
      <c r="E80" s="354" t="s">
        <v>266</v>
      </c>
      <c r="F80" s="354" t="s">
        <v>266</v>
      </c>
      <c r="G80" s="354" t="s">
        <v>266</v>
      </c>
      <c r="H80" s="354" t="s">
        <v>266</v>
      </c>
      <c r="I80" s="354" t="s">
        <v>266</v>
      </c>
      <c r="J80" s="354" t="s">
        <v>266</v>
      </c>
      <c r="K80" s="354" t="s">
        <v>266</v>
      </c>
      <c r="L80" s="393"/>
      <c r="M80" s="393"/>
      <c r="N80" s="393"/>
      <c r="O80" s="393"/>
      <c r="P80" s="393"/>
      <c r="Q80" s="393"/>
    </row>
    <row r="81" spans="1:17" x14ac:dyDescent="0.3">
      <c r="A81" s="287">
        <v>5</v>
      </c>
      <c r="B81" s="484">
        <v>241</v>
      </c>
      <c r="C81" s="392" t="s">
        <v>242</v>
      </c>
      <c r="D81" s="641" t="s">
        <v>220</v>
      </c>
      <c r="E81" s="354" t="s">
        <v>266</v>
      </c>
      <c r="F81" s="354" t="s">
        <v>266</v>
      </c>
      <c r="G81" s="354" t="s">
        <v>266</v>
      </c>
      <c r="H81" s="354" t="s">
        <v>266</v>
      </c>
      <c r="I81" s="354" t="s">
        <v>266</v>
      </c>
      <c r="J81" s="354" t="s">
        <v>266</v>
      </c>
      <c r="K81" s="354"/>
      <c r="L81" s="393"/>
      <c r="M81" s="393"/>
      <c r="N81" s="393"/>
      <c r="O81" s="393"/>
      <c r="P81" s="393"/>
      <c r="Q81" s="393"/>
    </row>
    <row r="82" spans="1:17" x14ac:dyDescent="0.3">
      <c r="A82" s="287">
        <v>6</v>
      </c>
      <c r="B82" s="484">
        <v>226</v>
      </c>
      <c r="C82" s="392" t="s">
        <v>237</v>
      </c>
      <c r="D82" s="660" t="s">
        <v>244</v>
      </c>
      <c r="E82" s="354" t="s">
        <v>266</v>
      </c>
      <c r="F82" s="354" t="s">
        <v>266</v>
      </c>
      <c r="G82" s="354" t="s">
        <v>266</v>
      </c>
      <c r="H82" s="354" t="s">
        <v>266</v>
      </c>
      <c r="I82" s="354" t="s">
        <v>266</v>
      </c>
      <c r="J82" s="354" t="s">
        <v>266</v>
      </c>
      <c r="K82" s="354"/>
      <c r="L82" s="393"/>
      <c r="M82" s="393"/>
      <c r="N82" s="393"/>
      <c r="O82" s="393"/>
      <c r="P82" s="393"/>
      <c r="Q82" s="393"/>
    </row>
    <row r="83" spans="1:17" ht="15" thickBot="1" x14ac:dyDescent="0.35">
      <c r="A83" s="287">
        <v>7</v>
      </c>
      <c r="B83" s="485">
        <v>262</v>
      </c>
      <c r="C83" s="462" t="s">
        <v>285</v>
      </c>
      <c r="D83" s="693" t="s">
        <v>286</v>
      </c>
      <c r="E83" s="354" t="s">
        <v>266</v>
      </c>
      <c r="F83" s="354" t="s">
        <v>266</v>
      </c>
      <c r="G83" s="354" t="s">
        <v>266</v>
      </c>
      <c r="H83" s="354" t="s">
        <v>266</v>
      </c>
      <c r="I83" s="354" t="s">
        <v>266</v>
      </c>
      <c r="J83" s="354" t="s">
        <v>266</v>
      </c>
      <c r="K83" s="354"/>
      <c r="L83" s="393"/>
      <c r="M83" s="393"/>
      <c r="N83" s="393"/>
      <c r="O83" s="393"/>
      <c r="P83" s="393"/>
      <c r="Q83" s="393"/>
    </row>
    <row r="84" spans="1:17" x14ac:dyDescent="0.3">
      <c r="B84" s="604"/>
      <c r="C84" s="598"/>
      <c r="D84" s="611"/>
      <c r="E84" s="601"/>
      <c r="F84" s="601"/>
      <c r="G84" s="601"/>
      <c r="H84" s="601"/>
      <c r="I84" s="601"/>
      <c r="J84" s="601"/>
      <c r="K84" s="601"/>
      <c r="L84" s="68"/>
      <c r="M84" s="68"/>
      <c r="N84" s="68"/>
      <c r="O84" s="68"/>
      <c r="P84" s="68"/>
      <c r="Q84" s="68"/>
    </row>
    <row r="85" spans="1:17" x14ac:dyDescent="0.3">
      <c r="B85" s="604"/>
      <c r="C85" s="598"/>
      <c r="D85" s="611"/>
      <c r="E85" s="601"/>
      <c r="F85" s="601"/>
      <c r="G85" s="601"/>
      <c r="H85" s="601"/>
      <c r="I85" s="601"/>
      <c r="J85" s="601"/>
      <c r="K85" s="601"/>
      <c r="L85" s="68"/>
      <c r="M85" s="68"/>
      <c r="N85" s="68"/>
      <c r="O85" s="68"/>
      <c r="P85" s="68"/>
      <c r="Q85" s="68"/>
    </row>
    <row r="86" spans="1:17" x14ac:dyDescent="0.3">
      <c r="B86" s="604"/>
      <c r="C86" s="598"/>
      <c r="D86" s="611"/>
      <c r="E86" s="601"/>
      <c r="F86" s="601"/>
      <c r="G86" s="601"/>
      <c r="H86" s="601"/>
      <c r="I86" s="601"/>
      <c r="J86" s="601"/>
      <c r="K86" s="601"/>
      <c r="L86" s="68"/>
      <c r="M86" s="68"/>
      <c r="N86" s="68"/>
      <c r="O86" s="68"/>
      <c r="P86" s="68"/>
      <c r="Q86" s="68"/>
    </row>
    <row r="87" spans="1:17" x14ac:dyDescent="0.3">
      <c r="B87" s="604"/>
      <c r="C87" s="598"/>
      <c r="D87" s="611"/>
      <c r="E87" s="601"/>
      <c r="F87" s="601"/>
      <c r="G87" s="601"/>
      <c r="H87" s="601"/>
      <c r="I87" s="601"/>
      <c r="J87" s="601"/>
      <c r="K87" s="601"/>
    </row>
    <row r="88" spans="1:17" ht="24.6" x14ac:dyDescent="0.4">
      <c r="B88" s="905" t="str">
        <f>+B72</f>
        <v>SEMANA DEL 16 AL 22 JUNIO DEL 2025</v>
      </c>
      <c r="C88" s="905"/>
      <c r="D88" s="905"/>
      <c r="E88" s="905"/>
      <c r="F88" s="905"/>
      <c r="G88" s="905"/>
      <c r="H88" s="905"/>
      <c r="I88" s="905"/>
      <c r="J88" s="905"/>
      <c r="K88" s="905"/>
      <c r="L88" s="911" t="s">
        <v>252</v>
      </c>
      <c r="M88" s="911"/>
      <c r="N88" s="911"/>
      <c r="O88" s="911"/>
      <c r="P88" s="911"/>
      <c r="Q88" s="911"/>
    </row>
    <row r="89" spans="1:17" ht="24.6" x14ac:dyDescent="0.4">
      <c r="B89" s="910" t="s">
        <v>44</v>
      </c>
      <c r="C89" s="910"/>
      <c r="D89" s="910"/>
      <c r="E89" s="910"/>
      <c r="F89" s="910"/>
      <c r="G89" s="910"/>
      <c r="H89" s="910"/>
      <c r="I89" s="910"/>
      <c r="J89" s="910"/>
      <c r="K89" s="910"/>
      <c r="L89" s="901" t="s">
        <v>253</v>
      </c>
      <c r="M89" s="901" t="s">
        <v>254</v>
      </c>
      <c r="N89" s="901" t="s">
        <v>255</v>
      </c>
      <c r="O89" s="901" t="s">
        <v>256</v>
      </c>
      <c r="P89" s="901" t="s">
        <v>257</v>
      </c>
      <c r="Q89" s="901" t="s">
        <v>177</v>
      </c>
    </row>
    <row r="90" spans="1:17" x14ac:dyDescent="0.3">
      <c r="B90" s="908" t="s">
        <v>194</v>
      </c>
      <c r="C90" s="908"/>
      <c r="D90" s="908"/>
      <c r="E90" s="908"/>
      <c r="F90" s="908"/>
      <c r="G90" s="908"/>
      <c r="H90" s="908"/>
      <c r="I90" s="908"/>
      <c r="J90" s="908"/>
      <c r="K90" s="908"/>
      <c r="L90" s="902"/>
      <c r="M90" s="902"/>
      <c r="N90" s="902"/>
      <c r="O90" s="902"/>
      <c r="P90" s="902"/>
      <c r="Q90" s="902"/>
    </row>
    <row r="91" spans="1:17" x14ac:dyDescent="0.3">
      <c r="B91" s="871" t="s">
        <v>264</v>
      </c>
      <c r="C91" s="871"/>
      <c r="D91" s="871"/>
      <c r="E91" s="871"/>
      <c r="F91" s="871"/>
      <c r="G91" s="871"/>
      <c r="H91" s="871"/>
      <c r="I91" s="871"/>
      <c r="J91" s="871"/>
      <c r="K91" s="871"/>
      <c r="L91" s="902"/>
      <c r="M91" s="902"/>
      <c r="N91" s="902"/>
      <c r="O91" s="902"/>
      <c r="P91" s="902"/>
      <c r="Q91" s="902"/>
    </row>
    <row r="92" spans="1:17" x14ac:dyDescent="0.3">
      <c r="B92" s="593" t="s">
        <v>185</v>
      </c>
      <c r="C92" s="606" t="s">
        <v>135</v>
      </c>
      <c r="D92" s="606" t="s">
        <v>136</v>
      </c>
      <c r="E92" s="607" t="s">
        <v>8</v>
      </c>
      <c r="F92" s="607" t="s">
        <v>9</v>
      </c>
      <c r="G92" s="607" t="s">
        <v>9</v>
      </c>
      <c r="H92" s="607" t="s">
        <v>10</v>
      </c>
      <c r="I92" s="607" t="s">
        <v>11</v>
      </c>
      <c r="J92" s="607" t="s">
        <v>12</v>
      </c>
      <c r="K92" s="607" t="s">
        <v>186</v>
      </c>
      <c r="L92" s="903"/>
      <c r="M92" s="903"/>
      <c r="N92" s="903"/>
      <c r="O92" s="903"/>
      <c r="P92" s="903"/>
      <c r="Q92" s="903"/>
    </row>
    <row r="93" spans="1:17" x14ac:dyDescent="0.3">
      <c r="A93" s="287">
        <v>1</v>
      </c>
      <c r="B93" s="571">
        <v>107</v>
      </c>
      <c r="C93" s="392" t="s">
        <v>103</v>
      </c>
      <c r="D93" s="660" t="s">
        <v>272</v>
      </c>
      <c r="E93" s="612" t="s">
        <v>266</v>
      </c>
      <c r="F93" s="612" t="s">
        <v>266</v>
      </c>
      <c r="G93" s="612" t="s">
        <v>266</v>
      </c>
      <c r="H93" s="612" t="s">
        <v>266</v>
      </c>
      <c r="I93" s="612" t="s">
        <v>266</v>
      </c>
      <c r="J93" s="612" t="s">
        <v>266</v>
      </c>
      <c r="K93" s="612"/>
      <c r="L93" s="613"/>
      <c r="M93" s="613"/>
      <c r="N93" s="613"/>
      <c r="O93" s="613"/>
      <c r="P93" s="613"/>
      <c r="Q93" s="613"/>
    </row>
    <row r="94" spans="1:17" x14ac:dyDescent="0.3">
      <c r="A94" s="287">
        <v>2</v>
      </c>
      <c r="B94" s="571">
        <v>271</v>
      </c>
      <c r="C94" s="392" t="s">
        <v>304</v>
      </c>
      <c r="D94" s="659" t="s">
        <v>220</v>
      </c>
      <c r="E94" s="612" t="s">
        <v>266</v>
      </c>
      <c r="F94" s="612" t="s">
        <v>266</v>
      </c>
      <c r="G94" s="612" t="s">
        <v>266</v>
      </c>
      <c r="H94" s="612" t="s">
        <v>266</v>
      </c>
      <c r="I94" s="612" t="s">
        <v>266</v>
      </c>
      <c r="J94" s="612" t="s">
        <v>266</v>
      </c>
      <c r="K94" s="612"/>
      <c r="L94" s="613"/>
      <c r="M94" s="613"/>
      <c r="N94" s="613"/>
      <c r="O94" s="613"/>
      <c r="P94" s="613"/>
      <c r="Q94" s="613"/>
    </row>
    <row r="95" spans="1:17" x14ac:dyDescent="0.3">
      <c r="A95" s="287">
        <v>3</v>
      </c>
      <c r="B95" s="571">
        <v>70</v>
      </c>
      <c r="C95" s="392" t="s">
        <v>228</v>
      </c>
      <c r="D95" s="661" t="s">
        <v>273</v>
      </c>
      <c r="E95" s="612" t="s">
        <v>266</v>
      </c>
      <c r="F95" s="787" t="s">
        <v>219</v>
      </c>
      <c r="G95" s="612" t="s">
        <v>266</v>
      </c>
      <c r="H95" s="612" t="s">
        <v>266</v>
      </c>
      <c r="I95" s="612" t="s">
        <v>266</v>
      </c>
      <c r="J95" s="612" t="s">
        <v>266</v>
      </c>
      <c r="K95" s="612"/>
      <c r="L95" s="393"/>
      <c r="M95" s="393"/>
      <c r="N95" s="393"/>
      <c r="O95" s="393"/>
      <c r="P95" s="393"/>
      <c r="Q95" s="393"/>
    </row>
    <row r="96" spans="1:17" x14ac:dyDescent="0.3">
      <c r="B96" s="571">
        <v>235</v>
      </c>
      <c r="C96" s="392" t="s">
        <v>241</v>
      </c>
      <c r="D96" s="660" t="s">
        <v>274</v>
      </c>
      <c r="E96" s="612" t="s">
        <v>266</v>
      </c>
      <c r="F96" s="612" t="s">
        <v>266</v>
      </c>
      <c r="G96" s="612" t="s">
        <v>266</v>
      </c>
      <c r="H96" s="612" t="s">
        <v>266</v>
      </c>
      <c r="I96" s="612" t="s">
        <v>266</v>
      </c>
      <c r="J96" s="612" t="s">
        <v>266</v>
      </c>
      <c r="K96" s="612"/>
      <c r="L96" s="393"/>
      <c r="M96" s="393"/>
      <c r="N96" s="393"/>
      <c r="O96" s="393"/>
      <c r="P96" s="393"/>
      <c r="Q96" s="393"/>
    </row>
    <row r="97" spans="1:17" ht="15" thickBot="1" x14ac:dyDescent="0.35">
      <c r="B97" s="678">
        <v>30</v>
      </c>
      <c r="C97" s="679" t="s">
        <v>204</v>
      </c>
      <c r="D97" s="658" t="s">
        <v>188</v>
      </c>
      <c r="E97" s="612" t="s">
        <v>266</v>
      </c>
      <c r="F97" s="612" t="s">
        <v>266</v>
      </c>
      <c r="G97" s="612" t="s">
        <v>266</v>
      </c>
      <c r="H97" s="612" t="s">
        <v>266</v>
      </c>
      <c r="I97" s="612" t="s">
        <v>266</v>
      </c>
      <c r="J97" s="612" t="s">
        <v>266</v>
      </c>
      <c r="K97" s="612"/>
      <c r="L97" s="393"/>
      <c r="M97" s="393"/>
      <c r="N97" s="393"/>
      <c r="O97" s="393"/>
      <c r="P97" s="393"/>
      <c r="Q97" s="393"/>
    </row>
    <row r="98" spans="1:17" x14ac:dyDescent="0.3">
      <c r="B98" s="604"/>
      <c r="C98" s="598"/>
      <c r="D98" s="614"/>
      <c r="E98" s="601"/>
      <c r="F98" s="601"/>
      <c r="G98" s="601"/>
      <c r="H98" s="601"/>
      <c r="I98" s="601"/>
      <c r="J98" s="601"/>
      <c r="K98" s="601"/>
    </row>
    <row r="99" spans="1:17" ht="24.6" x14ac:dyDescent="0.4">
      <c r="B99" s="905" t="str">
        <f>+B2</f>
        <v>SEMANA DEL 16 AL 22 JUNIO DEL 2025</v>
      </c>
      <c r="C99" s="905"/>
      <c r="D99" s="905"/>
      <c r="E99" s="905"/>
      <c r="F99" s="905"/>
      <c r="G99" s="905"/>
      <c r="H99" s="905"/>
      <c r="I99" s="905"/>
      <c r="J99" s="905"/>
      <c r="K99" s="905"/>
      <c r="L99" s="909" t="s">
        <v>252</v>
      </c>
      <c r="M99" s="909"/>
      <c r="N99" s="909"/>
      <c r="O99" s="909"/>
      <c r="P99" s="909"/>
      <c r="Q99" s="909"/>
    </row>
    <row r="100" spans="1:17" x14ac:dyDescent="0.3">
      <c r="B100" s="907" t="s">
        <v>192</v>
      </c>
      <c r="C100" s="907"/>
      <c r="D100" s="907"/>
      <c r="E100" s="907"/>
      <c r="F100" s="907"/>
      <c r="G100" s="907"/>
      <c r="H100" s="907"/>
      <c r="I100" s="907"/>
      <c r="J100" s="907"/>
      <c r="K100" s="907"/>
      <c r="L100" s="901" t="s">
        <v>253</v>
      </c>
      <c r="M100" s="901" t="s">
        <v>254</v>
      </c>
      <c r="N100" s="901" t="s">
        <v>255</v>
      </c>
      <c r="O100" s="901" t="s">
        <v>256</v>
      </c>
      <c r="P100" s="901" t="s">
        <v>257</v>
      </c>
      <c r="Q100" s="901" t="s">
        <v>177</v>
      </c>
    </row>
    <row r="101" spans="1:17" x14ac:dyDescent="0.3">
      <c r="B101" s="904" t="s">
        <v>265</v>
      </c>
      <c r="C101" s="904"/>
      <c r="D101" s="904"/>
      <c r="E101" s="904"/>
      <c r="F101" s="904"/>
      <c r="G101" s="904"/>
      <c r="H101" s="904"/>
      <c r="I101" s="904"/>
      <c r="J101" s="904"/>
      <c r="K101" s="904"/>
      <c r="L101" s="902"/>
      <c r="M101" s="902"/>
      <c r="N101" s="902"/>
      <c r="O101" s="902"/>
      <c r="P101" s="902"/>
      <c r="Q101" s="902"/>
    </row>
    <row r="102" spans="1:17" x14ac:dyDescent="0.3">
      <c r="B102" s="593" t="s">
        <v>185</v>
      </c>
      <c r="C102" s="606" t="s">
        <v>135</v>
      </c>
      <c r="D102" s="606" t="s">
        <v>136</v>
      </c>
      <c r="E102" s="607" t="s">
        <v>8</v>
      </c>
      <c r="F102" s="607" t="s">
        <v>9</v>
      </c>
      <c r="G102" s="607" t="s">
        <v>9</v>
      </c>
      <c r="H102" s="607" t="s">
        <v>10</v>
      </c>
      <c r="I102" s="607" t="s">
        <v>11</v>
      </c>
      <c r="J102" s="607" t="s">
        <v>12</v>
      </c>
      <c r="K102" s="607" t="s">
        <v>186</v>
      </c>
      <c r="L102" s="903"/>
      <c r="M102" s="903"/>
      <c r="N102" s="903"/>
      <c r="O102" s="903"/>
      <c r="P102" s="903"/>
      <c r="Q102" s="903"/>
    </row>
    <row r="103" spans="1:17" x14ac:dyDescent="0.3">
      <c r="A103" s="287">
        <v>1</v>
      </c>
      <c r="B103" s="484">
        <v>94</v>
      </c>
      <c r="C103" s="392" t="s">
        <v>96</v>
      </c>
      <c r="D103" s="543" t="s">
        <v>140</v>
      </c>
      <c r="E103" s="354" t="s">
        <v>266</v>
      </c>
      <c r="F103" s="354" t="s">
        <v>266</v>
      </c>
      <c r="G103" s="354" t="s">
        <v>266</v>
      </c>
      <c r="H103" s="354" t="s">
        <v>266</v>
      </c>
      <c r="I103" s="354" t="s">
        <v>266</v>
      </c>
      <c r="J103" s="354" t="s">
        <v>266</v>
      </c>
      <c r="K103" s="354" t="s">
        <v>266</v>
      </c>
      <c r="L103" s="393"/>
      <c r="M103" s="393"/>
      <c r="N103" s="393"/>
      <c r="O103" s="393"/>
      <c r="P103" s="393"/>
      <c r="Q103" s="393"/>
    </row>
    <row r="104" spans="1:17" x14ac:dyDescent="0.3">
      <c r="A104" s="287">
        <v>2</v>
      </c>
      <c r="B104" s="484">
        <v>227</v>
      </c>
      <c r="C104" s="392" t="s">
        <v>238</v>
      </c>
      <c r="D104" s="570" t="s">
        <v>230</v>
      </c>
      <c r="E104" s="354" t="s">
        <v>266</v>
      </c>
      <c r="F104" s="354" t="s">
        <v>266</v>
      </c>
      <c r="G104" s="354" t="s">
        <v>266</v>
      </c>
      <c r="H104" s="354" t="s">
        <v>266</v>
      </c>
      <c r="I104" s="354" t="s">
        <v>266</v>
      </c>
      <c r="J104" s="354"/>
      <c r="K104" s="354"/>
      <c r="L104" s="615"/>
      <c r="M104" s="615"/>
      <c r="N104" s="393"/>
      <c r="O104" s="393"/>
      <c r="P104" s="393"/>
      <c r="Q104" s="393"/>
    </row>
    <row r="105" spans="1:17" x14ac:dyDescent="0.3">
      <c r="A105" s="287">
        <v>3</v>
      </c>
      <c r="B105" s="484">
        <v>135</v>
      </c>
      <c r="C105" s="392" t="s">
        <v>116</v>
      </c>
      <c r="D105" s="544" t="s">
        <v>22</v>
      </c>
      <c r="E105" s="354" t="s">
        <v>266</v>
      </c>
      <c r="F105" s="354" t="s">
        <v>266</v>
      </c>
      <c r="G105" s="354" t="s">
        <v>266</v>
      </c>
      <c r="H105" s="354" t="s">
        <v>266</v>
      </c>
      <c r="I105" s="354" t="s">
        <v>219</v>
      </c>
      <c r="J105" s="354"/>
      <c r="K105" s="354"/>
      <c r="L105" s="615"/>
      <c r="M105" s="615"/>
      <c r="N105" s="393"/>
      <c r="O105" s="393"/>
      <c r="P105" s="393"/>
      <c r="Q105" s="393"/>
    </row>
    <row r="106" spans="1:17" x14ac:dyDescent="0.3">
      <c r="A106" s="287">
        <v>4</v>
      </c>
      <c r="B106" s="590">
        <v>254</v>
      </c>
      <c r="C106" s="392" t="s">
        <v>251</v>
      </c>
      <c r="D106" s="570" t="s">
        <v>230</v>
      </c>
      <c r="E106" s="354" t="s">
        <v>266</v>
      </c>
      <c r="F106" s="354" t="s">
        <v>266</v>
      </c>
      <c r="G106" s="354" t="s">
        <v>266</v>
      </c>
      <c r="H106" s="354" t="s">
        <v>266</v>
      </c>
      <c r="I106" s="354" t="s">
        <v>266</v>
      </c>
      <c r="J106" s="354"/>
      <c r="K106" s="354"/>
      <c r="L106" s="615"/>
      <c r="M106" s="615"/>
      <c r="N106" s="393"/>
      <c r="O106" s="393"/>
      <c r="P106" s="393"/>
      <c r="Q106" s="393"/>
    </row>
    <row r="107" spans="1:17" x14ac:dyDescent="0.3">
      <c r="B107" s="604"/>
      <c r="C107" s="598"/>
      <c r="D107" s="616"/>
      <c r="E107" s="601"/>
      <c r="F107" s="601"/>
      <c r="G107" s="601"/>
      <c r="H107" s="601"/>
      <c r="I107" s="601"/>
      <c r="J107" s="601"/>
      <c r="K107" s="601"/>
      <c r="L107" s="617"/>
      <c r="M107" s="617"/>
    </row>
    <row r="108" spans="1:17" ht="24.6" x14ac:dyDescent="0.4">
      <c r="B108" s="905" t="str">
        <f>+B2</f>
        <v>SEMANA DEL 16 AL 22 JUNIO DEL 2025</v>
      </c>
      <c r="C108" s="905"/>
      <c r="D108" s="905"/>
      <c r="E108" s="905"/>
      <c r="F108" s="905"/>
      <c r="G108" s="905"/>
      <c r="H108" s="905"/>
      <c r="I108" s="905"/>
      <c r="J108" s="905"/>
      <c r="K108" s="905"/>
      <c r="L108" s="617"/>
      <c r="M108" s="617"/>
    </row>
    <row r="109" spans="1:17" ht="24.6" x14ac:dyDescent="0.4">
      <c r="B109" s="906" t="s">
        <v>141</v>
      </c>
      <c r="C109" s="906"/>
      <c r="D109" s="906"/>
      <c r="E109" s="906"/>
      <c r="F109" s="906"/>
      <c r="G109" s="906"/>
      <c r="H109" s="906"/>
      <c r="I109" s="906"/>
      <c r="J109" s="906"/>
      <c r="K109" s="906"/>
    </row>
    <row r="110" spans="1:17" x14ac:dyDescent="0.3">
      <c r="A110" s="397"/>
      <c r="B110" s="618" t="s">
        <v>185</v>
      </c>
      <c r="C110" s="619" t="s">
        <v>135</v>
      </c>
      <c r="D110" s="619" t="s">
        <v>136</v>
      </c>
      <c r="E110" s="620" t="s">
        <v>8</v>
      </c>
      <c r="F110" s="620" t="s">
        <v>9</v>
      </c>
      <c r="G110" s="620" t="s">
        <v>9</v>
      </c>
      <c r="H110" s="620" t="s">
        <v>10</v>
      </c>
      <c r="I110" s="620" t="s">
        <v>11</v>
      </c>
      <c r="J110" s="620" t="s">
        <v>12</v>
      </c>
      <c r="K110" s="620" t="s">
        <v>186</v>
      </c>
    </row>
    <row r="111" spans="1:17" x14ac:dyDescent="0.3">
      <c r="A111" s="397">
        <v>1</v>
      </c>
      <c r="B111" s="483">
        <v>97</v>
      </c>
      <c r="C111" s="396" t="s">
        <v>101</v>
      </c>
      <c r="D111" s="546" t="s">
        <v>142</v>
      </c>
      <c r="E111" s="395" t="s">
        <v>266</v>
      </c>
      <c r="F111" s="395" t="s">
        <v>266</v>
      </c>
      <c r="G111" s="395" t="s">
        <v>266</v>
      </c>
      <c r="H111" s="395" t="s">
        <v>266</v>
      </c>
      <c r="I111" s="395" t="s">
        <v>266</v>
      </c>
      <c r="J111" s="395"/>
      <c r="K111" s="395"/>
    </row>
    <row r="112" spans="1:17" x14ac:dyDescent="0.3">
      <c r="A112" s="397">
        <v>2</v>
      </c>
      <c r="B112" s="551">
        <v>172</v>
      </c>
      <c r="C112" s="396" t="s">
        <v>167</v>
      </c>
      <c r="D112" s="547" t="s">
        <v>199</v>
      </c>
      <c r="E112" s="395" t="s">
        <v>266</v>
      </c>
      <c r="F112" s="395" t="s">
        <v>266</v>
      </c>
      <c r="G112" s="395" t="s">
        <v>266</v>
      </c>
      <c r="H112" s="395" t="s">
        <v>266</v>
      </c>
      <c r="I112" s="395" t="s">
        <v>266</v>
      </c>
      <c r="J112" s="395"/>
      <c r="K112" s="395"/>
    </row>
    <row r="113" spans="1:11" x14ac:dyDescent="0.3">
      <c r="A113" s="397">
        <v>3</v>
      </c>
      <c r="B113" s="488">
        <v>165</v>
      </c>
      <c r="C113" s="396" t="s">
        <v>150</v>
      </c>
      <c r="D113" s="548" t="s">
        <v>197</v>
      </c>
      <c r="E113" s="395" t="s">
        <v>266</v>
      </c>
      <c r="F113" s="395" t="s">
        <v>266</v>
      </c>
      <c r="G113" s="395" t="s">
        <v>266</v>
      </c>
      <c r="H113" s="395" t="s">
        <v>266</v>
      </c>
      <c r="I113" s="395" t="s">
        <v>266</v>
      </c>
      <c r="J113" s="395"/>
      <c r="K113" s="395"/>
    </row>
    <row r="114" spans="1:11" x14ac:dyDescent="0.3">
      <c r="A114" s="397">
        <v>4</v>
      </c>
      <c r="B114" s="488">
        <v>256</v>
      </c>
      <c r="C114" s="396" t="s">
        <v>267</v>
      </c>
      <c r="D114" s="545" t="s">
        <v>198</v>
      </c>
      <c r="E114" s="395" t="s">
        <v>266</v>
      </c>
      <c r="F114" s="395" t="s">
        <v>266</v>
      </c>
      <c r="G114" s="395" t="s">
        <v>266</v>
      </c>
      <c r="H114" s="395" t="s">
        <v>266</v>
      </c>
      <c r="I114" s="395" t="s">
        <v>266</v>
      </c>
      <c r="J114" s="395"/>
      <c r="K114" s="395"/>
    </row>
    <row r="115" spans="1:11" x14ac:dyDescent="0.3">
      <c r="A115" s="397">
        <v>5</v>
      </c>
      <c r="B115" s="483">
        <v>89</v>
      </c>
      <c r="C115" s="396" t="s">
        <v>97</v>
      </c>
      <c r="D115" s="549" t="s">
        <v>66</v>
      </c>
      <c r="E115" s="395" t="s">
        <v>266</v>
      </c>
      <c r="F115" s="395" t="s">
        <v>266</v>
      </c>
      <c r="G115" s="395" t="s">
        <v>266</v>
      </c>
      <c r="H115" s="395" t="s">
        <v>266</v>
      </c>
      <c r="I115" s="395" t="s">
        <v>266</v>
      </c>
      <c r="J115" s="395"/>
      <c r="K115" s="395"/>
    </row>
    <row r="116" spans="1:11" x14ac:dyDescent="0.3">
      <c r="A116" s="397">
        <v>6</v>
      </c>
      <c r="B116" s="483">
        <v>32</v>
      </c>
      <c r="C116" s="396" t="s">
        <v>54</v>
      </c>
      <c r="D116" s="545" t="s">
        <v>69</v>
      </c>
      <c r="E116" s="729" t="s">
        <v>166</v>
      </c>
      <c r="F116" s="729" t="s">
        <v>166</v>
      </c>
      <c r="G116" s="729" t="s">
        <v>166</v>
      </c>
      <c r="H116" s="729" t="s">
        <v>166</v>
      </c>
      <c r="I116" s="729" t="s">
        <v>166</v>
      </c>
      <c r="J116" s="395"/>
      <c r="K116" s="395"/>
    </row>
    <row r="117" spans="1:11" x14ac:dyDescent="0.3">
      <c r="A117" s="397">
        <v>7</v>
      </c>
      <c r="B117" s="483">
        <v>34</v>
      </c>
      <c r="C117" s="396" t="s">
        <v>62</v>
      </c>
      <c r="D117" s="545" t="s">
        <v>198</v>
      </c>
      <c r="E117" s="395" t="s">
        <v>266</v>
      </c>
      <c r="F117" s="395" t="s">
        <v>266</v>
      </c>
      <c r="G117" s="395" t="s">
        <v>266</v>
      </c>
      <c r="H117" s="395" t="s">
        <v>266</v>
      </c>
      <c r="I117" s="395" t="s">
        <v>266</v>
      </c>
      <c r="J117" s="395" t="s">
        <v>219</v>
      </c>
      <c r="K117" s="395"/>
    </row>
    <row r="118" spans="1:11" x14ac:dyDescent="0.3">
      <c r="A118" s="397">
        <v>8</v>
      </c>
      <c r="B118" s="483">
        <v>35</v>
      </c>
      <c r="C118" s="396" t="s">
        <v>63</v>
      </c>
      <c r="D118" s="547" t="s">
        <v>67</v>
      </c>
      <c r="E118" s="395" t="s">
        <v>186</v>
      </c>
      <c r="F118" s="395" t="s">
        <v>266</v>
      </c>
      <c r="G118" s="395" t="s">
        <v>266</v>
      </c>
      <c r="H118" s="395" t="s">
        <v>266</v>
      </c>
      <c r="I118" s="395" t="s">
        <v>266</v>
      </c>
      <c r="J118" s="395" t="s">
        <v>266</v>
      </c>
      <c r="K118" s="395" t="s">
        <v>266</v>
      </c>
    </row>
    <row r="119" spans="1:11" x14ac:dyDescent="0.3">
      <c r="A119" s="397">
        <v>9</v>
      </c>
      <c r="B119" s="483">
        <v>118</v>
      </c>
      <c r="C119" s="396" t="s">
        <v>250</v>
      </c>
      <c r="D119" s="627" t="s">
        <v>179</v>
      </c>
      <c r="E119" s="395" t="s">
        <v>266</v>
      </c>
      <c r="F119" s="395" t="s">
        <v>266</v>
      </c>
      <c r="G119" s="395" t="s">
        <v>266</v>
      </c>
      <c r="H119" s="395" t="s">
        <v>266</v>
      </c>
      <c r="I119" s="395" t="s">
        <v>266</v>
      </c>
      <c r="J119" s="395"/>
      <c r="K119" s="395"/>
    </row>
    <row r="120" spans="1:11" x14ac:dyDescent="0.3">
      <c r="A120" s="397">
        <v>10</v>
      </c>
      <c r="B120" s="483">
        <v>41</v>
      </c>
      <c r="C120" s="456" t="s">
        <v>64</v>
      </c>
      <c r="D120" s="560" t="s">
        <v>68</v>
      </c>
      <c r="E120" s="395" t="s">
        <v>266</v>
      </c>
      <c r="F120" s="395" t="s">
        <v>266</v>
      </c>
      <c r="G120" s="395" t="s">
        <v>266</v>
      </c>
      <c r="H120" s="395" t="s">
        <v>266</v>
      </c>
      <c r="I120" s="395" t="s">
        <v>266</v>
      </c>
      <c r="J120" s="393"/>
      <c r="K120" s="393"/>
    </row>
    <row r="121" spans="1:11" x14ac:dyDescent="0.3">
      <c r="A121" s="397">
        <v>11</v>
      </c>
      <c r="B121" s="483">
        <v>245</v>
      </c>
      <c r="C121" s="396" t="s">
        <v>247</v>
      </c>
      <c r="D121" s="545" t="s">
        <v>69</v>
      </c>
      <c r="E121" s="354" t="s">
        <v>129</v>
      </c>
      <c r="F121" s="354" t="s">
        <v>266</v>
      </c>
      <c r="G121" s="354" t="s">
        <v>266</v>
      </c>
      <c r="H121" s="354" t="s">
        <v>266</v>
      </c>
      <c r="I121" s="354" t="s">
        <v>266</v>
      </c>
      <c r="J121" s="393"/>
      <c r="K121" s="393"/>
    </row>
  </sheetData>
  <mergeCells count="88">
    <mergeCell ref="B21:K21"/>
    <mergeCell ref="L21:Q21"/>
    <mergeCell ref="L22:L26"/>
    <mergeCell ref="M22:M26"/>
    <mergeCell ref="N22:N26"/>
    <mergeCell ref="O22:O26"/>
    <mergeCell ref="P22:P26"/>
    <mergeCell ref="Q22:Q26"/>
    <mergeCell ref="C23:I23"/>
    <mergeCell ref="B24:K24"/>
    <mergeCell ref="B25:K25"/>
    <mergeCell ref="B2:K2"/>
    <mergeCell ref="L2:Q2"/>
    <mergeCell ref="L3:L7"/>
    <mergeCell ref="M3:M7"/>
    <mergeCell ref="N3:N7"/>
    <mergeCell ref="O3:O7"/>
    <mergeCell ref="P3:P7"/>
    <mergeCell ref="Q3:Q7"/>
    <mergeCell ref="C4:I4"/>
    <mergeCell ref="B5:K5"/>
    <mergeCell ref="B6:K6"/>
    <mergeCell ref="B31:K31"/>
    <mergeCell ref="L31:Q31"/>
    <mergeCell ref="B32:K32"/>
    <mergeCell ref="L32:L35"/>
    <mergeCell ref="M32:M35"/>
    <mergeCell ref="N32:N35"/>
    <mergeCell ref="O32:O35"/>
    <mergeCell ref="P32:P35"/>
    <mergeCell ref="Q32:Q35"/>
    <mergeCell ref="B33:K33"/>
    <mergeCell ref="B34:K34"/>
    <mergeCell ref="B47:K47"/>
    <mergeCell ref="L47:Q47"/>
    <mergeCell ref="B48:K48"/>
    <mergeCell ref="L48:L50"/>
    <mergeCell ref="M48:M50"/>
    <mergeCell ref="N48:N50"/>
    <mergeCell ref="O48:O50"/>
    <mergeCell ref="P48:P50"/>
    <mergeCell ref="Q48:Q50"/>
    <mergeCell ref="B49:K49"/>
    <mergeCell ref="B50:K50"/>
    <mergeCell ref="B63:K63"/>
    <mergeCell ref="L63:Q63"/>
    <mergeCell ref="P64:P66"/>
    <mergeCell ref="Q64:Q66"/>
    <mergeCell ref="B65:K65"/>
    <mergeCell ref="B72:K72"/>
    <mergeCell ref="L72:Q72"/>
    <mergeCell ref="B64:K64"/>
    <mergeCell ref="L64:L66"/>
    <mergeCell ref="M64:M66"/>
    <mergeCell ref="N64:N66"/>
    <mergeCell ref="O64:O66"/>
    <mergeCell ref="P73:P76"/>
    <mergeCell ref="Q73:Q76"/>
    <mergeCell ref="B74:K74"/>
    <mergeCell ref="B75:K75"/>
    <mergeCell ref="B88:K88"/>
    <mergeCell ref="L88:Q88"/>
    <mergeCell ref="B73:K73"/>
    <mergeCell ref="L73:L76"/>
    <mergeCell ref="M73:M76"/>
    <mergeCell ref="N73:N76"/>
    <mergeCell ref="O73:O76"/>
    <mergeCell ref="Q89:Q92"/>
    <mergeCell ref="B90:K90"/>
    <mergeCell ref="B91:K91"/>
    <mergeCell ref="B99:K99"/>
    <mergeCell ref="L99:Q99"/>
    <mergeCell ref="B89:K89"/>
    <mergeCell ref="L89:L92"/>
    <mergeCell ref="M89:M92"/>
    <mergeCell ref="N89:N92"/>
    <mergeCell ref="O89:O92"/>
    <mergeCell ref="P89:P92"/>
    <mergeCell ref="P100:P102"/>
    <mergeCell ref="Q100:Q102"/>
    <mergeCell ref="B101:K101"/>
    <mergeCell ref="B108:K108"/>
    <mergeCell ref="B109:K109"/>
    <mergeCell ref="B100:K100"/>
    <mergeCell ref="L100:L102"/>
    <mergeCell ref="M100:M102"/>
    <mergeCell ref="N100:N102"/>
    <mergeCell ref="O100:O102"/>
  </mergeCells>
  <conditionalFormatting sqref="E98:K98 E62:K62 D113:D118 J8:K18 E52:K53 E103:K107 K41:K44 F20:J20 J67:K71 E54:J57 E8:I19 K54:K61 E59:J61 E77:K87">
    <cfRule type="containsText" dxfId="41" priority="64" operator="containsText" text="CO">
      <formula>NOT(ISERROR(SEARCH("CO",D8)))</formula>
    </cfRule>
    <cfRule type="containsText" dxfId="40" priority="65" operator="containsText" text="CT">
      <formula>NOT(ISERROR(SEARCH("CT",D8)))</formula>
    </cfRule>
    <cfRule type="containsText" dxfId="39" priority="66" operator="containsText" text="PCG">
      <formula>NOT(ISERROR(SEARCH("PCG",D8)))</formula>
    </cfRule>
    <cfRule type="containsText" dxfId="38" priority="67" operator="containsText" text="B">
      <formula>NOT(ISERROR(SEARCH("B",D8)))</formula>
    </cfRule>
    <cfRule type="containsText" dxfId="37" priority="68" operator="containsText" text="PSG">
      <formula>NOT(ISERROR(SEARCH("PSG",D8)))</formula>
    </cfRule>
    <cfRule type="containsText" dxfId="36" priority="69" operator="containsText" text="VAC">
      <formula>NOT(ISERROR(SEARCH("VAC",D8)))</formula>
    </cfRule>
    <cfRule type="containsText" dxfId="35" priority="70" operator="containsText" text="F">
      <formula>NOT(ISERROR(SEARCH("F",D8)))</formula>
    </cfRule>
  </conditionalFormatting>
  <conditionalFormatting sqref="E46:K46 J45:K45">
    <cfRule type="containsText" dxfId="34" priority="57" operator="containsText" text="CO">
      <formula>NOT(ISERROR(SEARCH("CO",E45)))</formula>
    </cfRule>
    <cfRule type="containsText" dxfId="33" priority="58" operator="containsText" text="CT">
      <formula>NOT(ISERROR(SEARCH("CT",E45)))</formula>
    </cfRule>
    <cfRule type="containsText" dxfId="32" priority="59" operator="containsText" text="PCG">
      <formula>NOT(ISERROR(SEARCH("PCG",E45)))</formula>
    </cfRule>
    <cfRule type="containsText" dxfId="31" priority="60" operator="containsText" text="B">
      <formula>NOT(ISERROR(SEARCH("B",E45)))</formula>
    </cfRule>
    <cfRule type="containsText" dxfId="30" priority="61" operator="containsText" text="PSG">
      <formula>NOT(ISERROR(SEARCH("PSG",E45)))</formula>
    </cfRule>
    <cfRule type="containsText" dxfId="29" priority="62" operator="containsText" text="VAC">
      <formula>NOT(ISERROR(SEARCH("VAC",E45)))</formula>
    </cfRule>
    <cfRule type="containsText" dxfId="28" priority="63" operator="containsText" text="F">
      <formula>NOT(ISERROR(SEARCH("F",E45)))</formula>
    </cfRule>
  </conditionalFormatting>
  <conditionalFormatting sqref="J37">
    <cfRule type="containsText" dxfId="27" priority="29" operator="containsText" text="CO">
      <formula>NOT(ISERROR(SEARCH("CO",J37)))</formula>
    </cfRule>
    <cfRule type="containsText" dxfId="26" priority="30" operator="containsText" text="CT">
      <formula>NOT(ISERROR(SEARCH("CT",J37)))</formula>
    </cfRule>
    <cfRule type="containsText" dxfId="25" priority="31" operator="containsText" text="PCG">
      <formula>NOT(ISERROR(SEARCH("PCG",J37)))</formula>
    </cfRule>
    <cfRule type="containsText" dxfId="24" priority="32" operator="containsText" text="B">
      <formula>NOT(ISERROR(SEARCH("B",J37)))</formula>
    </cfRule>
    <cfRule type="containsText" dxfId="23" priority="33" operator="containsText" text="PSG">
      <formula>NOT(ISERROR(SEARCH("PSG",J37)))</formula>
    </cfRule>
    <cfRule type="containsText" dxfId="22" priority="34" operator="containsText" text="VAC">
      <formula>NOT(ISERROR(SEARCH("VAC",J37)))</formula>
    </cfRule>
    <cfRule type="containsText" dxfId="21" priority="35" operator="containsText" text="F">
      <formula>NOT(ISERROR(SEARCH("F",J37)))</formula>
    </cfRule>
  </conditionalFormatting>
  <conditionalFormatting sqref="J19:K19">
    <cfRule type="containsText" dxfId="20" priority="22" operator="containsText" text="CO">
      <formula>NOT(ISERROR(SEARCH("CO",J19)))</formula>
    </cfRule>
    <cfRule type="containsText" dxfId="19" priority="23" operator="containsText" text="CT">
      <formula>NOT(ISERROR(SEARCH("CT",J19)))</formula>
    </cfRule>
    <cfRule type="containsText" dxfId="18" priority="24" operator="containsText" text="PCG">
      <formula>NOT(ISERROR(SEARCH("PCG",J19)))</formula>
    </cfRule>
    <cfRule type="containsText" dxfId="17" priority="25" operator="containsText" text="B">
      <formula>NOT(ISERROR(SEARCH("B",J19)))</formula>
    </cfRule>
    <cfRule type="containsText" dxfId="16" priority="26" operator="containsText" text="PSG">
      <formula>NOT(ISERROR(SEARCH("PSG",J19)))</formula>
    </cfRule>
    <cfRule type="containsText" dxfId="15" priority="27" operator="containsText" text="VAC">
      <formula>NOT(ISERROR(SEARCH("VAC",J19)))</formula>
    </cfRule>
    <cfRule type="containsText" dxfId="14" priority="28" operator="containsText" text="F">
      <formula>NOT(ISERROR(SEARCH("F",J19)))</formula>
    </cfRule>
  </conditionalFormatting>
  <conditionalFormatting sqref="E27:K29">
    <cfRule type="containsText" dxfId="13" priority="15" operator="containsText" text="CO">
      <formula>NOT(ISERROR(SEARCH("CO",E27)))</formula>
    </cfRule>
    <cfRule type="containsText" dxfId="12" priority="16" operator="containsText" text="CT">
      <formula>NOT(ISERROR(SEARCH("CT",E27)))</formula>
    </cfRule>
    <cfRule type="containsText" dxfId="11" priority="17" operator="containsText" text="PCG">
      <formula>NOT(ISERROR(SEARCH("PCG",E27)))</formula>
    </cfRule>
    <cfRule type="containsText" dxfId="10" priority="18" operator="containsText" text="B">
      <formula>NOT(ISERROR(SEARCH("B",E27)))</formula>
    </cfRule>
    <cfRule type="containsText" dxfId="9" priority="19" operator="containsText" text="PSG">
      <formula>NOT(ISERROR(SEARCH("PSG",E27)))</formula>
    </cfRule>
    <cfRule type="containsText" dxfId="8" priority="20" operator="containsText" text="VAC">
      <formula>NOT(ISERROR(SEARCH("VAC",E27)))</formula>
    </cfRule>
    <cfRule type="containsText" dxfId="7" priority="21" operator="containsText" text="F">
      <formula>NOT(ISERROR(SEARCH("F",E27)))</formula>
    </cfRule>
  </conditionalFormatting>
  <conditionalFormatting sqref="E121:I121">
    <cfRule type="containsText" dxfId="6" priority="1" operator="containsText" text="CO">
      <formula>NOT(ISERROR(SEARCH("CO",E121)))</formula>
    </cfRule>
    <cfRule type="containsText" dxfId="5" priority="2" operator="containsText" text="CT">
      <formula>NOT(ISERROR(SEARCH("CT",E121)))</formula>
    </cfRule>
    <cfRule type="containsText" dxfId="4" priority="3" operator="containsText" text="PCG">
      <formula>NOT(ISERROR(SEARCH("PCG",E121)))</formula>
    </cfRule>
    <cfRule type="containsText" dxfId="3" priority="4" operator="containsText" text="B">
      <formula>NOT(ISERROR(SEARCH("B",E121)))</formula>
    </cfRule>
    <cfRule type="containsText" dxfId="2" priority="5" operator="containsText" text="PSG">
      <formula>NOT(ISERROR(SEARCH("PSG",E121)))</formula>
    </cfRule>
    <cfRule type="containsText" dxfId="1" priority="6" operator="containsText" text="VAC">
      <formula>NOT(ISERROR(SEARCH("VAC",E121)))</formula>
    </cfRule>
    <cfRule type="containsText" dxfId="0" priority="7" operator="containsText" text="F">
      <formula>NOT(ISERROR(SEARCH("F",E121)))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9"/>
  <sheetViews>
    <sheetView workbookViewId="0">
      <selection activeCell="I22" sqref="I22"/>
    </sheetView>
  </sheetViews>
  <sheetFormatPr baseColWidth="10" defaultRowHeight="14.4" x14ac:dyDescent="0.3"/>
  <cols>
    <col min="1" max="1" width="7" bestFit="1" customWidth="1"/>
    <col min="2" max="2" width="6.33203125" customWidth="1"/>
    <col min="3" max="3" width="4.44140625" bestFit="1" customWidth="1"/>
    <col min="4" max="4" width="7.5546875" customWidth="1"/>
    <col min="5" max="5" width="4.44140625" bestFit="1" customWidth="1"/>
    <col min="6" max="6" width="5.109375" customWidth="1"/>
    <col min="7" max="7" width="4.44140625" bestFit="1" customWidth="1"/>
    <col min="8" max="8" width="6.109375" customWidth="1"/>
    <col min="9" max="9" width="10.33203125" customWidth="1"/>
    <col min="10" max="10" width="7" customWidth="1"/>
    <col min="11" max="11" width="4.44140625" bestFit="1" customWidth="1"/>
    <col min="12" max="12" width="6.109375" customWidth="1"/>
    <col min="13" max="13" width="5.109375" customWidth="1"/>
    <col min="14" max="14" width="15.44140625" bestFit="1" customWidth="1"/>
  </cols>
  <sheetData>
    <row r="2" spans="1:14" ht="30.75" customHeight="1" x14ac:dyDescent="0.3"/>
    <row r="4" spans="1:14" ht="15" thickBot="1" x14ac:dyDescent="0.35"/>
    <row r="5" spans="1:14" ht="15" thickBot="1" x14ac:dyDescent="0.35">
      <c r="A5" s="920"/>
      <c r="B5" s="921"/>
      <c r="C5" s="921"/>
      <c r="D5" s="921"/>
      <c r="E5" s="921"/>
      <c r="F5" s="921"/>
      <c r="G5" s="921"/>
      <c r="H5" s="921"/>
      <c r="I5" s="921"/>
      <c r="J5" s="921"/>
      <c r="K5" s="921"/>
      <c r="L5" s="921"/>
      <c r="M5" s="922"/>
      <c r="N5" s="412"/>
    </row>
    <row r="6" spans="1:14" ht="17.399999999999999" thickBot="1" x14ac:dyDescent="0.5">
      <c r="A6" s="917" t="s">
        <v>278</v>
      </c>
      <c r="B6" s="918"/>
      <c r="C6" s="918"/>
      <c r="D6" s="918"/>
      <c r="E6" s="918"/>
      <c r="F6" s="918"/>
      <c r="G6" s="918"/>
      <c r="H6" s="918"/>
      <c r="I6" s="918"/>
      <c r="J6" s="918"/>
      <c r="K6" s="918"/>
      <c r="L6" s="918"/>
      <c r="M6" s="919"/>
      <c r="N6" s="413"/>
    </row>
    <row r="7" spans="1:14" ht="18" thickBot="1" x14ac:dyDescent="0.35">
      <c r="A7" s="235">
        <f>+AVERAGE(C7,E7,G7,I7,K7)</f>
        <v>10</v>
      </c>
      <c r="B7" s="673"/>
      <c r="C7" s="237">
        <f>NOM!K24</f>
        <v>10</v>
      </c>
      <c r="D7" s="237"/>
      <c r="E7" s="237">
        <f>NOM!M24</f>
        <v>10</v>
      </c>
      <c r="F7" s="237"/>
      <c r="G7" s="237">
        <f>NOM!O24</f>
        <v>10</v>
      </c>
      <c r="H7" s="237"/>
      <c r="I7" s="237">
        <f>NOM!Q24</f>
        <v>10</v>
      </c>
      <c r="J7" s="237"/>
      <c r="K7" s="237">
        <f>NOM!S24</f>
        <v>10</v>
      </c>
      <c r="L7" s="237"/>
      <c r="M7" s="239">
        <f>NOM!U24</f>
        <v>0</v>
      </c>
      <c r="N7" s="414" t="s">
        <v>5</v>
      </c>
    </row>
    <row r="8" spans="1:14" ht="18" thickBot="1" x14ac:dyDescent="0.35">
      <c r="A8" s="235">
        <f>+AVERAGE(C8,E8,G8,I8,K8,M8)</f>
        <v>3</v>
      </c>
      <c r="B8" s="415"/>
      <c r="C8" s="237">
        <f>NOM!E39</f>
        <v>3</v>
      </c>
      <c r="D8" s="237"/>
      <c r="E8" s="237">
        <f>NOM!G39</f>
        <v>3</v>
      </c>
      <c r="F8" s="237"/>
      <c r="G8" s="237">
        <f>NOM!I39</f>
        <v>3</v>
      </c>
      <c r="H8" s="237"/>
      <c r="I8" s="237">
        <f>NOM!K39</f>
        <v>3</v>
      </c>
      <c r="J8" s="237"/>
      <c r="K8" s="237">
        <f>NOM!M39</f>
        <v>3</v>
      </c>
      <c r="L8" s="237"/>
      <c r="M8" s="239">
        <f>NOM!O39</f>
        <v>3</v>
      </c>
      <c r="N8" s="414" t="s">
        <v>34</v>
      </c>
    </row>
    <row r="9" spans="1:14" ht="18" thickBot="1" x14ac:dyDescent="0.35">
      <c r="A9" s="235">
        <f>+AVERAGE(C9,E9,G9,I9,K9)</f>
        <v>10</v>
      </c>
      <c r="B9" s="673"/>
      <c r="C9" s="237">
        <f>NOM!K77</f>
        <v>10</v>
      </c>
      <c r="D9" s="237"/>
      <c r="E9" s="237">
        <f>NOM!M77</f>
        <v>10</v>
      </c>
      <c r="F9" s="237"/>
      <c r="G9" s="237">
        <f>NOM!O77</f>
        <v>10</v>
      </c>
      <c r="H9" s="237"/>
      <c r="I9" s="237">
        <f>NOM!Q77</f>
        <v>10</v>
      </c>
      <c r="J9" s="237"/>
      <c r="K9" s="237">
        <f>NOM!S77</f>
        <v>10</v>
      </c>
      <c r="L9" s="237"/>
      <c r="M9" s="239">
        <f>NOM!U77</f>
        <v>0</v>
      </c>
      <c r="N9" s="414" t="s">
        <v>42</v>
      </c>
    </row>
    <row r="10" spans="1:14" ht="18" thickBot="1" x14ac:dyDescent="0.35">
      <c r="A10" s="235">
        <f>+AVERAGE(C10,E10,G10,I10,K10,M10)</f>
        <v>7</v>
      </c>
      <c r="B10" s="673"/>
      <c r="C10" s="237">
        <f>NOM!K179</f>
        <v>7</v>
      </c>
      <c r="D10" s="237"/>
      <c r="E10" s="237">
        <f>NOM!M179</f>
        <v>7</v>
      </c>
      <c r="F10" s="237"/>
      <c r="G10" s="237">
        <f>NOM!O179</f>
        <v>7</v>
      </c>
      <c r="H10" s="237"/>
      <c r="I10" s="237">
        <f>NOM!Q179</f>
        <v>7</v>
      </c>
      <c r="J10" s="237"/>
      <c r="K10" s="237">
        <f>NOM!S179</f>
        <v>7</v>
      </c>
      <c r="L10" s="237"/>
      <c r="M10" s="239">
        <f>NOM!U179</f>
        <v>7</v>
      </c>
      <c r="N10" s="414" t="s">
        <v>44</v>
      </c>
    </row>
    <row r="11" spans="1:14" ht="18" thickBot="1" x14ac:dyDescent="0.35">
      <c r="A11" s="235">
        <f>+AVERAGE(C11,E11,G11,I11,K11,M11)</f>
        <v>5</v>
      </c>
      <c r="B11" s="673"/>
      <c r="C11" s="237">
        <f>NOM!K207</f>
        <v>5</v>
      </c>
      <c r="D11" s="237"/>
      <c r="E11" s="237">
        <f>NOM!M207</f>
        <v>5</v>
      </c>
      <c r="F11" s="237"/>
      <c r="G11" s="237">
        <f>NOM!O207</f>
        <v>5</v>
      </c>
      <c r="H11" s="237"/>
      <c r="I11" s="237">
        <f>NOM!Q207</f>
        <v>5</v>
      </c>
      <c r="J11" s="237"/>
      <c r="K11" s="237">
        <f>NOM!S207</f>
        <v>5</v>
      </c>
      <c r="L11" s="237"/>
      <c r="M11" s="239">
        <f>NOM!U207</f>
        <v>5</v>
      </c>
      <c r="N11" s="414" t="s">
        <v>215</v>
      </c>
    </row>
    <row r="12" spans="1:14" ht="18" thickBot="1" x14ac:dyDescent="0.35">
      <c r="A12" s="235">
        <f>+AVERAGE(C12,E12,G12,I12,K12)</f>
        <v>5</v>
      </c>
      <c r="B12" s="673"/>
      <c r="C12" s="237">
        <f>NOM!K232</f>
        <v>5</v>
      </c>
      <c r="D12" s="237"/>
      <c r="E12" s="237">
        <f>NOM!M232</f>
        <v>5</v>
      </c>
      <c r="F12" s="237"/>
      <c r="G12" s="237">
        <f>NOM!O232</f>
        <v>5</v>
      </c>
      <c r="H12" s="237"/>
      <c r="I12" s="237">
        <f>NOM!Q232</f>
        <v>5</v>
      </c>
      <c r="J12" s="237"/>
      <c r="K12" s="237">
        <f>NOM!S232</f>
        <v>5</v>
      </c>
      <c r="L12" s="237"/>
      <c r="M12" s="239">
        <f>NOM!U232</f>
        <v>0</v>
      </c>
      <c r="N12" s="414" t="s">
        <v>216</v>
      </c>
    </row>
    <row r="13" spans="1:14" ht="18" thickBot="1" x14ac:dyDescent="0.35">
      <c r="A13" s="235">
        <f>+AVERAGE(C13,E13,G13,I13,K13,M13)</f>
        <v>7.333333333333333</v>
      </c>
      <c r="B13" s="673"/>
      <c r="C13" s="237">
        <f>NOM!K106</f>
        <v>8</v>
      </c>
      <c r="D13" s="237"/>
      <c r="E13" s="237">
        <f>NOM!M106</f>
        <v>9</v>
      </c>
      <c r="F13" s="237"/>
      <c r="G13" s="237">
        <f>NOM!O106</f>
        <v>9</v>
      </c>
      <c r="H13" s="237"/>
      <c r="I13" s="237">
        <f>NOM!Q106</f>
        <v>9</v>
      </c>
      <c r="J13" s="237"/>
      <c r="K13" s="237">
        <f>NOM!S106</f>
        <v>9</v>
      </c>
      <c r="L13" s="237"/>
      <c r="M13" s="239">
        <f>NOM!U106</f>
        <v>0</v>
      </c>
      <c r="N13" s="414" t="s">
        <v>47</v>
      </c>
    </row>
    <row r="14" spans="1:14" ht="18" thickBot="1" x14ac:dyDescent="0.35">
      <c r="A14" s="235">
        <f>+AVERAGE(C14,E14,G14,I14,K14)</f>
        <v>0</v>
      </c>
      <c r="B14" s="673"/>
      <c r="C14" s="237">
        <v>0</v>
      </c>
      <c r="D14" s="237"/>
      <c r="E14" s="237">
        <v>0</v>
      </c>
      <c r="F14" s="237"/>
      <c r="G14" s="237">
        <v>0</v>
      </c>
      <c r="H14" s="237"/>
      <c r="I14" s="237">
        <v>0</v>
      </c>
      <c r="J14" s="237"/>
      <c r="K14" s="237">
        <v>0</v>
      </c>
      <c r="L14" s="237"/>
      <c r="M14" s="239">
        <v>0</v>
      </c>
      <c r="N14" s="414" t="s">
        <v>51</v>
      </c>
    </row>
    <row r="15" spans="1:14" ht="18" thickBot="1" x14ac:dyDescent="0.35">
      <c r="A15" s="235">
        <f>+AVERAGE(C15,E15,G15,I15,K15)</f>
        <v>8</v>
      </c>
      <c r="B15" s="673"/>
      <c r="C15" s="237">
        <f>NOM!K154</f>
        <v>8</v>
      </c>
      <c r="D15" s="237"/>
      <c r="E15" s="237">
        <f>NOM!M154</f>
        <v>8</v>
      </c>
      <c r="F15" s="237"/>
      <c r="G15" s="237">
        <f>NOM!O154</f>
        <v>8</v>
      </c>
      <c r="H15" s="237"/>
      <c r="I15" s="237">
        <f>NOM!Q154</f>
        <v>8</v>
      </c>
      <c r="J15" s="237"/>
      <c r="K15" s="237">
        <f>NOM!S154</f>
        <v>8</v>
      </c>
      <c r="L15" s="237"/>
      <c r="M15" s="239">
        <f>NOM!U154</f>
        <v>0</v>
      </c>
      <c r="N15" s="414" t="s">
        <v>56</v>
      </c>
    </row>
    <row r="16" spans="1:14" ht="18" thickBot="1" x14ac:dyDescent="0.35">
      <c r="A16" s="235">
        <f>+AVERAGE(C16,E16,G16,I16,K16)</f>
        <v>10</v>
      </c>
      <c r="B16" s="673"/>
      <c r="C16" s="237">
        <f>NOM!L270</f>
        <v>9</v>
      </c>
      <c r="D16" s="237"/>
      <c r="E16" s="237">
        <f>NOM!N270</f>
        <v>11</v>
      </c>
      <c r="F16" s="237"/>
      <c r="G16" s="237">
        <f>NOM!P270</f>
        <v>10</v>
      </c>
      <c r="H16" s="237"/>
      <c r="I16" s="237">
        <f>NOM!R270</f>
        <v>10</v>
      </c>
      <c r="J16" s="237"/>
      <c r="K16" s="237">
        <f>NOM!T270</f>
        <v>10</v>
      </c>
      <c r="L16" s="237"/>
      <c r="M16" s="239">
        <f>NOM!V270</f>
        <v>0</v>
      </c>
      <c r="N16" s="414" t="s">
        <v>60</v>
      </c>
    </row>
    <row r="17" spans="1:14" ht="18" thickBot="1" x14ac:dyDescent="0.35">
      <c r="A17" s="235">
        <f>+AVERAGE(C17,E17,G17,I17,K17)</f>
        <v>1</v>
      </c>
      <c r="B17" s="673"/>
      <c r="C17" s="237">
        <f>NOM!E280</f>
        <v>1</v>
      </c>
      <c r="D17" s="237"/>
      <c r="E17" s="237">
        <f>NOM!G280</f>
        <v>1</v>
      </c>
      <c r="F17" s="237"/>
      <c r="G17" s="237">
        <f>NOM!I280</f>
        <v>1</v>
      </c>
      <c r="H17" s="237"/>
      <c r="I17" s="237">
        <f>NOM!K280</f>
        <v>1</v>
      </c>
      <c r="J17" s="237"/>
      <c r="K17" s="237">
        <f>NOM!M280</f>
        <v>1</v>
      </c>
      <c r="L17" s="237"/>
      <c r="M17" s="239">
        <f>NOM!O280</f>
        <v>1</v>
      </c>
      <c r="N17" s="414" t="s">
        <v>70</v>
      </c>
    </row>
    <row r="18" spans="1:14" ht="15" customHeight="1" thickBot="1" x14ac:dyDescent="0.35">
      <c r="A18" s="235"/>
      <c r="B18" s="673"/>
      <c r="C18" s="237"/>
      <c r="D18" s="238"/>
      <c r="E18" s="237"/>
      <c r="F18" s="238"/>
      <c r="G18" s="237"/>
      <c r="H18" s="238"/>
      <c r="I18" s="237"/>
      <c r="J18" s="238"/>
      <c r="K18" s="237"/>
      <c r="L18" s="238"/>
      <c r="M18" s="239"/>
      <c r="N18" s="414"/>
    </row>
    <row r="19" spans="1:14" ht="16.2" thickBot="1" x14ac:dyDescent="0.35">
      <c r="A19" s="418">
        <f>+AVERAGE(C19,E19,G19,I19,K19)</f>
        <v>67.8</v>
      </c>
      <c r="B19" s="416"/>
      <c r="C19" s="417">
        <f>SUM(C7:C18)</f>
        <v>66</v>
      </c>
      <c r="D19" s="417"/>
      <c r="E19" s="417">
        <f>SUM(E7:E18)</f>
        <v>69</v>
      </c>
      <c r="F19" s="417"/>
      <c r="G19" s="417">
        <f>SUM(G7:G18)</f>
        <v>68</v>
      </c>
      <c r="H19" s="417"/>
      <c r="I19" s="417">
        <f>SUM(I7:I18)</f>
        <v>68</v>
      </c>
      <c r="J19" s="417"/>
      <c r="K19" s="417">
        <f>SUM(K7:K18)</f>
        <v>68</v>
      </c>
      <c r="L19" s="417"/>
      <c r="M19" s="419">
        <f>SUM(M7:M18)</f>
        <v>16</v>
      </c>
      <c r="N19" s="420" t="s">
        <v>205</v>
      </c>
    </row>
  </sheetData>
  <mergeCells count="2">
    <mergeCell ref="A6:M6"/>
    <mergeCell ref="A5:M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workbookViewId="0">
      <selection activeCell="G9" sqref="G9"/>
    </sheetView>
  </sheetViews>
  <sheetFormatPr baseColWidth="10" defaultRowHeight="14.4" x14ac:dyDescent="0.3"/>
  <cols>
    <col min="1" max="1" width="3.88671875" style="742" customWidth="1"/>
    <col min="2" max="2" width="12.33203125" style="742" customWidth="1"/>
    <col min="3" max="3" width="2.6640625" style="742" customWidth="1"/>
    <col min="4" max="4" width="2.33203125" style="742" customWidth="1"/>
    <col min="5" max="5" width="9.33203125" style="736" customWidth="1"/>
    <col min="6" max="6" width="9.5546875" style="736" customWidth="1"/>
    <col min="7" max="7" width="9.33203125" style="736" customWidth="1"/>
    <col min="8" max="8" width="10.33203125" style="736" customWidth="1"/>
    <col min="9" max="9" width="10" style="736" customWidth="1"/>
    <col min="10" max="10" width="10.33203125" style="736" customWidth="1"/>
    <col min="11" max="11" width="10.109375" style="736" customWidth="1"/>
    <col min="12" max="12" width="10" style="736" customWidth="1"/>
    <col min="13" max="13" width="9.33203125" style="736" customWidth="1"/>
    <col min="14" max="14" width="9.44140625" style="736" customWidth="1"/>
    <col min="15" max="15" width="9.33203125" style="736" customWidth="1"/>
    <col min="16" max="16" width="9.44140625" style="736" customWidth="1"/>
    <col min="17" max="17" width="11.33203125" style="742" customWidth="1"/>
    <col min="18" max="18" width="10.44140625" style="742" customWidth="1"/>
    <col min="19" max="19" width="11.5546875" style="742"/>
  </cols>
  <sheetData>
    <row r="1" spans="1:18" x14ac:dyDescent="0.3">
      <c r="A1" s="931" t="s">
        <v>307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</row>
    <row r="2" spans="1:18" x14ac:dyDescent="0.3">
      <c r="A2" s="750" t="s">
        <v>308</v>
      </c>
      <c r="B2" s="751" t="s">
        <v>309</v>
      </c>
      <c r="C2" s="751" t="s">
        <v>310</v>
      </c>
      <c r="D2" s="751" t="s">
        <v>311</v>
      </c>
      <c r="E2" s="770" t="s">
        <v>312</v>
      </c>
      <c r="F2" s="771" t="s">
        <v>313</v>
      </c>
      <c r="G2" s="772" t="s">
        <v>314</v>
      </c>
      <c r="H2" s="771" t="s">
        <v>315</v>
      </c>
      <c r="I2" s="772" t="s">
        <v>316</v>
      </c>
      <c r="J2" s="771" t="s">
        <v>317</v>
      </c>
      <c r="K2" s="772" t="s">
        <v>318</v>
      </c>
      <c r="L2" s="771" t="s">
        <v>319</v>
      </c>
      <c r="M2" s="772" t="s">
        <v>320</v>
      </c>
      <c r="N2" s="771" t="s">
        <v>321</v>
      </c>
      <c r="O2" s="772" t="s">
        <v>322</v>
      </c>
      <c r="P2" s="771" t="s">
        <v>323</v>
      </c>
      <c r="Q2" s="750" t="s">
        <v>324</v>
      </c>
      <c r="R2" s="761" t="s">
        <v>325</v>
      </c>
    </row>
    <row r="3" spans="1:18" x14ac:dyDescent="0.3">
      <c r="A3" s="752">
        <v>107</v>
      </c>
      <c r="B3" s="748" t="s">
        <v>326</v>
      </c>
      <c r="C3" s="748" t="s">
        <v>446</v>
      </c>
      <c r="D3" s="748" t="s">
        <v>447</v>
      </c>
      <c r="E3" s="736" t="s">
        <v>448</v>
      </c>
      <c r="F3" s="767">
        <v>0.98495370370370372</v>
      </c>
      <c r="G3" s="773"/>
      <c r="H3" s="767"/>
      <c r="I3" s="773" t="s">
        <v>471</v>
      </c>
      <c r="J3" s="767">
        <v>0.98461805555555559</v>
      </c>
      <c r="K3" s="773" t="s">
        <v>363</v>
      </c>
      <c r="L3" s="767">
        <v>0.98501157407407414</v>
      </c>
      <c r="M3" s="773" t="s">
        <v>505</v>
      </c>
      <c r="N3" s="767">
        <v>0.98204861111111119</v>
      </c>
      <c r="O3" s="766">
        <v>0.64471064814814816</v>
      </c>
      <c r="P3" s="767">
        <v>0.77542824074074079</v>
      </c>
      <c r="Q3" s="762"/>
      <c r="R3" s="763"/>
    </row>
    <row r="4" spans="1:18" x14ac:dyDescent="0.3">
      <c r="A4" s="752">
        <v>118</v>
      </c>
      <c r="B4" s="748" t="s">
        <v>328</v>
      </c>
      <c r="C4" s="748" t="s">
        <v>446</v>
      </c>
      <c r="D4" s="748" t="s">
        <v>447</v>
      </c>
      <c r="E4" s="735">
        <v>0.98761574074074077</v>
      </c>
      <c r="F4" s="767">
        <v>0.31275462962962963</v>
      </c>
      <c r="G4" s="766">
        <v>0.98093750000000002</v>
      </c>
      <c r="H4" s="767">
        <v>0.31299768518518517</v>
      </c>
      <c r="I4" s="766">
        <v>0.98175925925925922</v>
      </c>
      <c r="J4" s="767">
        <v>0.3133333333333333</v>
      </c>
      <c r="K4" s="766">
        <v>0.98085648148148152</v>
      </c>
      <c r="L4" s="767">
        <v>0.31296296296296294</v>
      </c>
      <c r="M4" s="766">
        <v>0.97664351851851849</v>
      </c>
      <c r="N4" s="774" t="s">
        <v>506</v>
      </c>
      <c r="O4" s="773"/>
      <c r="P4" s="774"/>
      <c r="Q4" s="762"/>
      <c r="R4" s="763"/>
    </row>
    <row r="5" spans="1:18" x14ac:dyDescent="0.3">
      <c r="A5" s="752">
        <v>12</v>
      </c>
      <c r="B5" s="748" t="s">
        <v>329</v>
      </c>
      <c r="C5" s="748" t="s">
        <v>446</v>
      </c>
      <c r="D5" s="748" t="s">
        <v>447</v>
      </c>
      <c r="E5" s="736" t="s">
        <v>333</v>
      </c>
      <c r="F5" s="774" t="s">
        <v>424</v>
      </c>
      <c r="G5" s="773" t="s">
        <v>333</v>
      </c>
      <c r="H5" s="767">
        <v>0.97995370370370372</v>
      </c>
      <c r="I5" s="773" t="s">
        <v>449</v>
      </c>
      <c r="J5" s="774" t="s">
        <v>386</v>
      </c>
      <c r="K5" s="773" t="s">
        <v>330</v>
      </c>
      <c r="L5" s="774" t="s">
        <v>331</v>
      </c>
      <c r="M5" s="766">
        <v>0.65690972222222221</v>
      </c>
      <c r="N5" s="767">
        <v>0.85211805555555553</v>
      </c>
      <c r="O5" s="773"/>
      <c r="P5" s="774"/>
      <c r="Q5" s="762"/>
      <c r="R5" s="763"/>
    </row>
    <row r="6" spans="1:18" x14ac:dyDescent="0.3">
      <c r="A6" s="752">
        <v>135</v>
      </c>
      <c r="B6" s="748" t="s">
        <v>334</v>
      </c>
      <c r="C6" s="748" t="s">
        <v>446</v>
      </c>
      <c r="D6" s="748" t="s">
        <v>447</v>
      </c>
      <c r="F6" s="767">
        <v>0.31328703703703703</v>
      </c>
      <c r="G6" s="766">
        <v>0.98099537037037043</v>
      </c>
      <c r="H6" s="767">
        <v>0.31305555555555559</v>
      </c>
      <c r="I6" s="766">
        <v>0.98181712962962964</v>
      </c>
      <c r="J6" s="767">
        <v>0.31715277777777778</v>
      </c>
      <c r="K6" s="766">
        <v>0.98093750000000002</v>
      </c>
      <c r="L6" s="774" t="s">
        <v>472</v>
      </c>
      <c r="M6" s="927" t="s">
        <v>535</v>
      </c>
      <c r="N6" s="926"/>
      <c r="O6" s="773"/>
      <c r="P6" s="774"/>
      <c r="Q6" s="762"/>
      <c r="R6" s="763"/>
    </row>
    <row r="7" spans="1:18" x14ac:dyDescent="0.3">
      <c r="A7" s="752">
        <v>141</v>
      </c>
      <c r="B7" s="748" t="s">
        <v>337</v>
      </c>
      <c r="C7" s="748" t="s">
        <v>446</v>
      </c>
      <c r="D7" s="748" t="s">
        <v>447</v>
      </c>
      <c r="E7" s="736" t="s">
        <v>339</v>
      </c>
      <c r="F7" s="774" t="s">
        <v>332</v>
      </c>
      <c r="G7" s="773" t="s">
        <v>338</v>
      </c>
      <c r="H7" s="774" t="s">
        <v>332</v>
      </c>
      <c r="I7" s="773" t="s">
        <v>450</v>
      </c>
      <c r="J7" s="774" t="s">
        <v>332</v>
      </c>
      <c r="K7" s="773" t="s">
        <v>338</v>
      </c>
      <c r="L7" s="774" t="s">
        <v>421</v>
      </c>
      <c r="M7" s="773" t="s">
        <v>338</v>
      </c>
      <c r="N7" s="774" t="s">
        <v>507</v>
      </c>
      <c r="O7" s="766">
        <v>0.30895833333333333</v>
      </c>
      <c r="P7" s="767">
        <v>0.64754629629629623</v>
      </c>
      <c r="Q7" s="762"/>
      <c r="R7" s="763"/>
    </row>
    <row r="8" spans="1:18" x14ac:dyDescent="0.3">
      <c r="A8" s="754">
        <v>1446</v>
      </c>
      <c r="B8" s="748" t="s">
        <v>340</v>
      </c>
      <c r="C8" s="748" t="s">
        <v>446</v>
      </c>
      <c r="D8" s="748" t="s">
        <v>447</v>
      </c>
      <c r="F8" s="774"/>
      <c r="G8" s="773"/>
      <c r="H8" s="774"/>
      <c r="I8" s="773"/>
      <c r="J8" s="774"/>
      <c r="K8" s="773"/>
      <c r="L8" s="774"/>
      <c r="M8" s="773"/>
      <c r="N8" s="774"/>
      <c r="O8" s="773"/>
      <c r="P8" s="774"/>
      <c r="Q8" s="762"/>
      <c r="R8" s="763"/>
    </row>
    <row r="9" spans="1:18" x14ac:dyDescent="0.3">
      <c r="A9" s="752">
        <v>146</v>
      </c>
      <c r="B9" s="748" t="s">
        <v>341</v>
      </c>
      <c r="C9" s="748" t="s">
        <v>446</v>
      </c>
      <c r="D9" s="748" t="s">
        <v>447</v>
      </c>
      <c r="E9" s="736" t="s">
        <v>451</v>
      </c>
      <c r="F9" s="767">
        <v>0.64829861111111109</v>
      </c>
      <c r="G9" s="773" t="s">
        <v>396</v>
      </c>
      <c r="H9" s="774" t="s">
        <v>473</v>
      </c>
      <c r="I9" s="927" t="s">
        <v>219</v>
      </c>
      <c r="J9" s="926"/>
      <c r="K9" s="773" t="s">
        <v>452</v>
      </c>
      <c r="L9" s="774" t="s">
        <v>474</v>
      </c>
      <c r="M9" s="773" t="s">
        <v>508</v>
      </c>
      <c r="N9" s="767">
        <v>0.64673611111111107</v>
      </c>
      <c r="O9" s="927" t="s">
        <v>219</v>
      </c>
      <c r="P9" s="926"/>
      <c r="Q9" s="762"/>
      <c r="R9" s="763"/>
    </row>
    <row r="10" spans="1:18" x14ac:dyDescent="0.3">
      <c r="A10" s="752">
        <v>158</v>
      </c>
      <c r="B10" s="748" t="s">
        <v>342</v>
      </c>
      <c r="C10" s="748" t="s">
        <v>446</v>
      </c>
      <c r="D10" s="748" t="s">
        <v>447</v>
      </c>
      <c r="E10" s="735">
        <v>0.64917824074074071</v>
      </c>
      <c r="F10" s="767">
        <v>0.98047453703703702</v>
      </c>
      <c r="G10" s="766">
        <v>0.64214120370370364</v>
      </c>
      <c r="H10" s="767">
        <v>0.98077546296296303</v>
      </c>
      <c r="I10" s="766">
        <v>0.65003472222222225</v>
      </c>
      <c r="J10" s="774" t="s">
        <v>475</v>
      </c>
      <c r="K10" s="766">
        <v>0.6482175925925926</v>
      </c>
      <c r="L10" s="767">
        <v>0.98600694444444448</v>
      </c>
      <c r="M10" s="773" t="s">
        <v>509</v>
      </c>
      <c r="N10" s="774" t="s">
        <v>510</v>
      </c>
      <c r="O10" s="766">
        <v>0.65156249999999993</v>
      </c>
      <c r="P10" s="767">
        <v>0.85554398148148147</v>
      </c>
      <c r="Q10" s="762"/>
      <c r="R10" s="763"/>
    </row>
    <row r="11" spans="1:18" x14ac:dyDescent="0.3">
      <c r="A11" s="752">
        <v>159</v>
      </c>
      <c r="B11" s="748" t="s">
        <v>343</v>
      </c>
      <c r="C11" s="748" t="s">
        <v>446</v>
      </c>
      <c r="D11" s="748" t="s">
        <v>447</v>
      </c>
      <c r="E11" s="735">
        <v>0.97439814814814818</v>
      </c>
      <c r="F11" s="774" t="s">
        <v>401</v>
      </c>
      <c r="G11" s="773" t="s">
        <v>476</v>
      </c>
      <c r="H11" s="774" t="s">
        <v>344</v>
      </c>
      <c r="I11" s="766">
        <v>0.98068287037037039</v>
      </c>
      <c r="J11" s="774" t="s">
        <v>345</v>
      </c>
      <c r="K11" s="766">
        <v>0.97409722222222228</v>
      </c>
      <c r="L11" s="774" t="s">
        <v>401</v>
      </c>
      <c r="M11" s="773" t="s">
        <v>511</v>
      </c>
      <c r="N11" s="767">
        <v>0.31988425925925928</v>
      </c>
      <c r="O11" s="773"/>
      <c r="P11" s="774"/>
      <c r="Q11" s="762"/>
      <c r="R11" s="763"/>
    </row>
    <row r="12" spans="1:18" x14ac:dyDescent="0.3">
      <c r="A12" s="754">
        <v>165</v>
      </c>
      <c r="B12" s="748" t="s">
        <v>346</v>
      </c>
      <c r="C12" s="748" t="s">
        <v>446</v>
      </c>
      <c r="D12" s="748" t="s">
        <v>447</v>
      </c>
      <c r="F12" s="774"/>
      <c r="G12" s="773"/>
      <c r="H12" s="774"/>
      <c r="I12" s="773"/>
      <c r="J12" s="774"/>
      <c r="K12" s="773"/>
      <c r="L12" s="774"/>
      <c r="M12" s="773"/>
      <c r="N12" s="774"/>
      <c r="O12" s="773"/>
      <c r="P12" s="774"/>
      <c r="Q12" s="762"/>
      <c r="R12" s="763"/>
    </row>
    <row r="13" spans="1:18" x14ac:dyDescent="0.3">
      <c r="A13" s="752">
        <v>166</v>
      </c>
      <c r="B13" s="748" t="s">
        <v>347</v>
      </c>
      <c r="C13" s="748" t="s">
        <v>446</v>
      </c>
      <c r="D13" s="748" t="s">
        <v>447</v>
      </c>
      <c r="E13" s="736" t="s">
        <v>339</v>
      </c>
      <c r="F13" s="774" t="s">
        <v>332</v>
      </c>
      <c r="G13" s="773" t="s">
        <v>338</v>
      </c>
      <c r="H13" s="774" t="s">
        <v>332</v>
      </c>
      <c r="I13" s="773" t="s">
        <v>450</v>
      </c>
      <c r="J13" s="774" t="s">
        <v>332</v>
      </c>
      <c r="K13" s="773" t="s">
        <v>450</v>
      </c>
      <c r="L13" s="774" t="s">
        <v>421</v>
      </c>
      <c r="M13" s="773" t="s">
        <v>338</v>
      </c>
      <c r="N13" s="767">
        <v>0.64849537037037031</v>
      </c>
      <c r="O13" s="929" t="s">
        <v>219</v>
      </c>
      <c r="P13" s="930"/>
      <c r="Q13" s="762"/>
      <c r="R13" s="763"/>
    </row>
    <row r="14" spans="1:18" x14ac:dyDescent="0.3">
      <c r="A14" s="752">
        <v>169</v>
      </c>
      <c r="B14" s="748" t="s">
        <v>348</v>
      </c>
      <c r="C14" s="748" t="s">
        <v>446</v>
      </c>
      <c r="D14" s="748" t="s">
        <v>447</v>
      </c>
      <c r="E14" s="735">
        <v>0.64372685185185186</v>
      </c>
      <c r="F14" s="767">
        <v>0.9809606481481481</v>
      </c>
      <c r="G14" s="773" t="s">
        <v>477</v>
      </c>
      <c r="H14" s="767">
        <v>0.97938657407407403</v>
      </c>
      <c r="I14" s="766">
        <v>0.64682870370370371</v>
      </c>
      <c r="J14" s="767">
        <v>0.97927083333333342</v>
      </c>
      <c r="K14" s="766">
        <v>0.64704861111111112</v>
      </c>
      <c r="L14" s="774" t="s">
        <v>478</v>
      </c>
      <c r="M14" s="766">
        <v>0.64355324074074072</v>
      </c>
      <c r="N14" s="767">
        <v>0.98238425925925921</v>
      </c>
      <c r="O14" s="766">
        <v>0.64370370370370367</v>
      </c>
      <c r="P14" s="767">
        <v>0.85217592592592595</v>
      </c>
      <c r="Q14" s="762"/>
      <c r="R14" s="763"/>
    </row>
    <row r="15" spans="1:18" x14ac:dyDescent="0.3">
      <c r="A15" s="752">
        <v>172</v>
      </c>
      <c r="B15" s="748" t="s">
        <v>353</v>
      </c>
      <c r="C15" s="748" t="s">
        <v>446</v>
      </c>
      <c r="D15" s="748" t="s">
        <v>447</v>
      </c>
      <c r="E15" s="735">
        <v>0.28488425925925925</v>
      </c>
      <c r="F15" s="767">
        <v>0.68074074074074076</v>
      </c>
      <c r="G15" s="766">
        <v>0.28447916666666667</v>
      </c>
      <c r="H15" s="767">
        <v>0.68084490740740744</v>
      </c>
      <c r="I15" s="766">
        <v>0.28356481481481483</v>
      </c>
      <c r="J15" s="767">
        <v>0.68059027777777781</v>
      </c>
      <c r="K15" s="766">
        <v>0.28458333333333335</v>
      </c>
      <c r="L15" s="767">
        <v>0.68062500000000004</v>
      </c>
      <c r="M15" s="766">
        <v>0.28325231481481478</v>
      </c>
      <c r="N15" s="767">
        <v>0.68131944444444448</v>
      </c>
      <c r="O15" s="773"/>
      <c r="P15" s="774"/>
      <c r="Q15" s="762"/>
      <c r="R15" s="763"/>
    </row>
    <row r="16" spans="1:18" x14ac:dyDescent="0.3">
      <c r="A16" s="752">
        <v>19</v>
      </c>
      <c r="B16" s="748" t="s">
        <v>354</v>
      </c>
      <c r="C16" s="748" t="s">
        <v>446</v>
      </c>
      <c r="D16" s="748" t="s">
        <v>447</v>
      </c>
      <c r="E16" s="736" t="s">
        <v>356</v>
      </c>
      <c r="F16" s="774" t="s">
        <v>357</v>
      </c>
      <c r="G16" s="773" t="s">
        <v>349</v>
      </c>
      <c r="H16" s="774" t="s">
        <v>422</v>
      </c>
      <c r="I16" s="773" t="s">
        <v>349</v>
      </c>
      <c r="J16" s="774" t="s">
        <v>327</v>
      </c>
      <c r="K16" s="773" t="s">
        <v>371</v>
      </c>
      <c r="L16" s="774" t="s">
        <v>448</v>
      </c>
      <c r="M16" s="773" t="s">
        <v>371</v>
      </c>
      <c r="N16" s="767">
        <v>0.65541666666666665</v>
      </c>
      <c r="O16" s="766">
        <v>0.32449074074074075</v>
      </c>
      <c r="P16" s="767" t="s">
        <v>512</v>
      </c>
      <c r="Q16" s="762"/>
      <c r="R16" s="763"/>
    </row>
    <row r="17" spans="1:18" x14ac:dyDescent="0.3">
      <c r="A17" s="752">
        <v>2</v>
      </c>
      <c r="B17" s="748" t="s">
        <v>359</v>
      </c>
      <c r="C17" s="748" t="s">
        <v>446</v>
      </c>
      <c r="D17" s="748" t="s">
        <v>447</v>
      </c>
      <c r="E17" s="925" t="s">
        <v>219</v>
      </c>
      <c r="F17" s="926"/>
      <c r="G17" s="927" t="s">
        <v>219</v>
      </c>
      <c r="H17" s="926"/>
      <c r="I17" s="927" t="s">
        <v>219</v>
      </c>
      <c r="J17" s="926"/>
      <c r="K17" s="927" t="s">
        <v>219</v>
      </c>
      <c r="L17" s="926"/>
      <c r="M17" s="927" t="s">
        <v>219</v>
      </c>
      <c r="N17" s="926"/>
      <c r="O17" s="773"/>
      <c r="P17" s="774"/>
      <c r="Q17" s="762"/>
      <c r="R17" s="763"/>
    </row>
    <row r="18" spans="1:18" x14ac:dyDescent="0.3">
      <c r="A18" s="752">
        <v>210</v>
      </c>
      <c r="B18" s="748" t="s">
        <v>361</v>
      </c>
      <c r="C18" s="748" t="s">
        <v>446</v>
      </c>
      <c r="D18" s="748" t="s">
        <v>447</v>
      </c>
      <c r="E18" s="735">
        <v>0.98518518518518527</v>
      </c>
      <c r="F18" s="767">
        <v>0.31322916666666667</v>
      </c>
      <c r="G18" s="766">
        <v>0.98642361111111121</v>
      </c>
      <c r="H18" s="767">
        <v>0.31356481481481485</v>
      </c>
      <c r="I18" s="766">
        <v>0.98189814814814813</v>
      </c>
      <c r="J18" s="767">
        <v>0.31388888888888888</v>
      </c>
      <c r="K18" s="766">
        <v>0.9845949074074074</v>
      </c>
      <c r="L18" s="767">
        <v>0.31425925925925924</v>
      </c>
      <c r="M18" s="773" t="s">
        <v>513</v>
      </c>
      <c r="N18" s="774" t="s">
        <v>514</v>
      </c>
      <c r="O18" s="773"/>
      <c r="P18" s="774"/>
      <c r="Q18" s="762"/>
      <c r="R18" s="763"/>
    </row>
    <row r="19" spans="1:18" x14ac:dyDescent="0.3">
      <c r="A19" s="752">
        <v>212</v>
      </c>
      <c r="B19" s="748" t="s">
        <v>362</v>
      </c>
      <c r="C19" s="748" t="s">
        <v>446</v>
      </c>
      <c r="D19" s="748" t="s">
        <v>447</v>
      </c>
      <c r="E19" s="736" t="s">
        <v>333</v>
      </c>
      <c r="F19" s="767">
        <v>0.98119212962962965</v>
      </c>
      <c r="G19" s="773" t="s">
        <v>363</v>
      </c>
      <c r="H19" s="767">
        <v>0.97995370370370372</v>
      </c>
      <c r="I19" s="773" t="s">
        <v>449</v>
      </c>
      <c r="J19" s="767">
        <v>0.97994212962962957</v>
      </c>
      <c r="K19" s="927" t="s">
        <v>219</v>
      </c>
      <c r="L19" s="926"/>
      <c r="M19" s="773" t="s">
        <v>515</v>
      </c>
      <c r="N19" s="767">
        <v>0.97939814814814818</v>
      </c>
      <c r="O19" s="773" t="s">
        <v>516</v>
      </c>
      <c r="P19" s="774" t="s">
        <v>517</v>
      </c>
      <c r="Q19" s="762"/>
      <c r="R19" s="763"/>
    </row>
    <row r="20" spans="1:18" x14ac:dyDescent="0.3">
      <c r="A20" s="753">
        <v>214</v>
      </c>
      <c r="B20" s="748" t="s">
        <v>364</v>
      </c>
      <c r="C20" s="748" t="s">
        <v>446</v>
      </c>
      <c r="D20" s="748" t="s">
        <v>447</v>
      </c>
      <c r="E20" s="736" t="s">
        <v>479</v>
      </c>
      <c r="F20" s="774" t="s">
        <v>336</v>
      </c>
      <c r="G20" s="773"/>
      <c r="H20" s="767"/>
      <c r="I20" s="773" t="s">
        <v>480</v>
      </c>
      <c r="J20" s="767">
        <v>0.31288194444444445</v>
      </c>
      <c r="K20" s="766">
        <v>0.97017361111111111</v>
      </c>
      <c r="L20" s="774" t="s">
        <v>336</v>
      </c>
      <c r="M20" s="766">
        <v>0.966863425925926</v>
      </c>
      <c r="N20" s="767">
        <v>0.31263888888888886</v>
      </c>
      <c r="O20" s="773"/>
      <c r="P20" s="774"/>
      <c r="Q20" s="762"/>
      <c r="R20" s="763"/>
    </row>
    <row r="21" spans="1:18" x14ac:dyDescent="0.3">
      <c r="A21" s="752">
        <v>215</v>
      </c>
      <c r="B21" s="748" t="s">
        <v>365</v>
      </c>
      <c r="C21" s="748" t="s">
        <v>446</v>
      </c>
      <c r="D21" s="748" t="s">
        <v>447</v>
      </c>
      <c r="E21" s="925" t="s">
        <v>219</v>
      </c>
      <c r="F21" s="926"/>
      <c r="G21" s="927" t="s">
        <v>219</v>
      </c>
      <c r="H21" s="926"/>
      <c r="I21" s="766">
        <v>0.96733796296296293</v>
      </c>
      <c r="J21" s="774" t="s">
        <v>336</v>
      </c>
      <c r="K21" s="773" t="s">
        <v>481</v>
      </c>
      <c r="L21" s="774" t="s">
        <v>336</v>
      </c>
      <c r="M21" s="766">
        <v>0.94515046296296301</v>
      </c>
      <c r="N21" s="774" t="s">
        <v>518</v>
      </c>
      <c r="O21" s="773"/>
      <c r="P21" s="774"/>
      <c r="Q21" s="762"/>
      <c r="R21" s="763"/>
    </row>
    <row r="22" spans="1:18" x14ac:dyDescent="0.3">
      <c r="A22" s="752">
        <v>220</v>
      </c>
      <c r="B22" s="748" t="s">
        <v>366</v>
      </c>
      <c r="C22" s="748" t="s">
        <v>446</v>
      </c>
      <c r="D22" s="748" t="s">
        <v>447</v>
      </c>
      <c r="E22" s="736" t="s">
        <v>352</v>
      </c>
      <c r="F22" s="767">
        <v>0.6470717592592593</v>
      </c>
      <c r="G22" s="773" t="s">
        <v>360</v>
      </c>
      <c r="H22" s="767">
        <v>0.64732638888888883</v>
      </c>
      <c r="I22" s="773" t="s">
        <v>438</v>
      </c>
      <c r="J22" s="774" t="s">
        <v>482</v>
      </c>
      <c r="K22" s="773" t="s">
        <v>360</v>
      </c>
      <c r="L22" s="774"/>
      <c r="M22" s="773" t="s">
        <v>438</v>
      </c>
      <c r="N22" s="767">
        <v>0.6486574074074074</v>
      </c>
      <c r="O22" s="773" t="s">
        <v>519</v>
      </c>
      <c r="P22" s="774" t="s">
        <v>520</v>
      </c>
      <c r="Q22" s="762"/>
      <c r="R22" s="763"/>
    </row>
    <row r="23" spans="1:18" x14ac:dyDescent="0.3">
      <c r="A23" s="753">
        <v>222</v>
      </c>
      <c r="B23" s="748" t="s">
        <v>368</v>
      </c>
      <c r="C23" s="748" t="s">
        <v>446</v>
      </c>
      <c r="D23" s="748" t="s">
        <v>447</v>
      </c>
      <c r="E23" s="925" t="s">
        <v>219</v>
      </c>
      <c r="F23" s="926"/>
      <c r="G23" s="773" t="s">
        <v>360</v>
      </c>
      <c r="H23" s="767">
        <v>0.6466319444444445</v>
      </c>
      <c r="I23" s="766">
        <v>0.30542824074074076</v>
      </c>
      <c r="J23" s="767">
        <v>0.64642361111111113</v>
      </c>
      <c r="K23" s="927" t="s">
        <v>219</v>
      </c>
      <c r="L23" s="926"/>
      <c r="M23" s="773" t="s">
        <v>454</v>
      </c>
      <c r="N23" s="775"/>
      <c r="O23" s="927" t="s">
        <v>219</v>
      </c>
      <c r="P23" s="926"/>
      <c r="Q23" s="762"/>
      <c r="R23" s="763"/>
    </row>
    <row r="24" spans="1:18" x14ac:dyDescent="0.3">
      <c r="A24" s="752">
        <v>226</v>
      </c>
      <c r="B24" s="748" t="s">
        <v>372</v>
      </c>
      <c r="C24" s="748" t="s">
        <v>446</v>
      </c>
      <c r="D24" s="748" t="s">
        <v>447</v>
      </c>
      <c r="E24" s="736" t="s">
        <v>483</v>
      </c>
      <c r="F24" s="767">
        <v>0.64662037037037035</v>
      </c>
      <c r="G24" s="773" t="s">
        <v>484</v>
      </c>
      <c r="H24" s="767">
        <v>0.64869212962962963</v>
      </c>
      <c r="I24" s="766">
        <v>0.31890046296296298</v>
      </c>
      <c r="J24" s="767">
        <v>0.64717592592592588</v>
      </c>
      <c r="K24" s="773" t="s">
        <v>485</v>
      </c>
      <c r="L24" s="767">
        <v>0.64601851851851855</v>
      </c>
      <c r="M24" s="766">
        <v>0.31357638888888889</v>
      </c>
      <c r="N24" s="767">
        <v>0.64641203703703709</v>
      </c>
      <c r="O24" s="766">
        <v>0.31680555555555556</v>
      </c>
      <c r="P24" s="774"/>
      <c r="Q24" s="762"/>
      <c r="R24" s="763"/>
    </row>
    <row r="25" spans="1:18" x14ac:dyDescent="0.3">
      <c r="A25" s="755">
        <v>227</v>
      </c>
      <c r="B25" s="748" t="s">
        <v>373</v>
      </c>
      <c r="C25" s="748" t="s">
        <v>446</v>
      </c>
      <c r="D25" s="748" t="s">
        <v>447</v>
      </c>
      <c r="E25" s="735">
        <v>0.95601851851851849</v>
      </c>
      <c r="F25" s="774" t="s">
        <v>336</v>
      </c>
      <c r="G25" s="766">
        <v>0.95192129629629629</v>
      </c>
      <c r="H25" s="774" t="s">
        <v>336</v>
      </c>
      <c r="I25" s="773" t="s">
        <v>486</v>
      </c>
      <c r="J25" s="774" t="s">
        <v>336</v>
      </c>
      <c r="K25" s="773" t="s">
        <v>487</v>
      </c>
      <c r="L25" s="774" t="s">
        <v>335</v>
      </c>
      <c r="M25" s="766">
        <v>0.98649305555555555</v>
      </c>
      <c r="N25" s="767">
        <v>0.31375000000000003</v>
      </c>
      <c r="O25" s="773"/>
      <c r="P25" s="774"/>
      <c r="Q25" s="762"/>
      <c r="R25" s="763"/>
    </row>
    <row r="26" spans="1:18" x14ac:dyDescent="0.3">
      <c r="A26" s="752">
        <v>228</v>
      </c>
      <c r="B26" s="748" t="s">
        <v>374</v>
      </c>
      <c r="C26" s="748" t="s">
        <v>446</v>
      </c>
      <c r="D26" s="748" t="s">
        <v>447</v>
      </c>
      <c r="E26" s="735">
        <v>0.98127314814814814</v>
      </c>
      <c r="F26" s="767">
        <v>0.31263888888888886</v>
      </c>
      <c r="G26" s="766">
        <v>0.98263888888888884</v>
      </c>
      <c r="H26" s="767">
        <v>0.31280092592592595</v>
      </c>
      <c r="I26" s="766">
        <v>0.98269675925925926</v>
      </c>
      <c r="J26" s="767">
        <v>0.31311342592592589</v>
      </c>
      <c r="K26" s="766">
        <v>0.98208333333333331</v>
      </c>
      <c r="L26" s="767">
        <v>0.31276620370370373</v>
      </c>
      <c r="M26" s="773" t="s">
        <v>521</v>
      </c>
      <c r="N26" s="774" t="s">
        <v>522</v>
      </c>
      <c r="O26" s="773"/>
      <c r="P26" s="774"/>
      <c r="Q26" s="762"/>
      <c r="R26" s="763"/>
    </row>
    <row r="27" spans="1:18" x14ac:dyDescent="0.3">
      <c r="A27" s="755">
        <v>230</v>
      </c>
      <c r="B27" s="748" t="s">
        <v>375</v>
      </c>
      <c r="C27" s="748" t="s">
        <v>446</v>
      </c>
      <c r="D27" s="748" t="s">
        <v>447</v>
      </c>
      <c r="E27" s="736" t="s">
        <v>451</v>
      </c>
      <c r="F27" s="767">
        <v>0.7933217592592593</v>
      </c>
      <c r="G27" s="773" t="s">
        <v>488</v>
      </c>
      <c r="H27" s="767">
        <v>0.64652777777777781</v>
      </c>
      <c r="I27" s="773" t="s">
        <v>376</v>
      </c>
      <c r="J27" s="767">
        <v>0.64605324074074078</v>
      </c>
      <c r="K27" s="766">
        <v>0.30059027777777775</v>
      </c>
      <c r="L27" s="767">
        <v>0.64615740740740735</v>
      </c>
      <c r="M27" s="773" t="s">
        <v>451</v>
      </c>
      <c r="N27" s="767">
        <v>0.64628472222222222</v>
      </c>
      <c r="O27" s="766">
        <v>0.31861111111111112</v>
      </c>
      <c r="P27" s="767">
        <v>0.64677083333333341</v>
      </c>
      <c r="Q27" s="764">
        <v>0.35207175925925926</v>
      </c>
      <c r="R27" s="765">
        <v>0.64725694444444437</v>
      </c>
    </row>
    <row r="28" spans="1:18" x14ac:dyDescent="0.3">
      <c r="A28" s="752">
        <v>235</v>
      </c>
      <c r="B28" s="748" t="s">
        <v>377</v>
      </c>
      <c r="C28" s="748" t="s">
        <v>446</v>
      </c>
      <c r="D28" s="748" t="s">
        <v>447</v>
      </c>
      <c r="E28" s="736" t="s">
        <v>523</v>
      </c>
      <c r="F28" s="774" t="s">
        <v>523</v>
      </c>
      <c r="G28" s="773" t="s">
        <v>523</v>
      </c>
      <c r="H28" s="774" t="s">
        <v>523</v>
      </c>
      <c r="I28" s="773" t="s">
        <v>523</v>
      </c>
      <c r="J28" s="774" t="s">
        <v>523</v>
      </c>
      <c r="K28" s="773" t="s">
        <v>523</v>
      </c>
      <c r="L28" s="774" t="s">
        <v>523</v>
      </c>
      <c r="M28" s="773" t="s">
        <v>523</v>
      </c>
      <c r="N28" s="774" t="s">
        <v>523</v>
      </c>
      <c r="O28" s="773" t="s">
        <v>523</v>
      </c>
      <c r="P28" s="774" t="s">
        <v>523</v>
      </c>
      <c r="Q28" s="760" t="s">
        <v>523</v>
      </c>
      <c r="R28" s="763"/>
    </row>
    <row r="29" spans="1:18" x14ac:dyDescent="0.3">
      <c r="A29" s="756">
        <v>239</v>
      </c>
      <c r="B29" s="748" t="s">
        <v>378</v>
      </c>
      <c r="C29" s="748" t="s">
        <v>446</v>
      </c>
      <c r="D29" s="748" t="s">
        <v>447</v>
      </c>
      <c r="E29" s="735">
        <v>0.30309027777777781</v>
      </c>
      <c r="F29" s="767">
        <v>0.79320601851851846</v>
      </c>
      <c r="G29" s="773" t="s">
        <v>489</v>
      </c>
      <c r="H29" s="767">
        <v>0.79491898148148143</v>
      </c>
      <c r="I29" s="773" t="s">
        <v>490</v>
      </c>
      <c r="J29" s="767">
        <v>0.7085069444444444</v>
      </c>
      <c r="K29" s="766">
        <v>0.3006712962962963</v>
      </c>
      <c r="L29" s="767">
        <v>0.79312499999999997</v>
      </c>
      <c r="M29" s="773" t="s">
        <v>491</v>
      </c>
      <c r="N29" s="767">
        <v>0.64618055555555554</v>
      </c>
      <c r="O29" s="766">
        <v>0.64672453703703703</v>
      </c>
      <c r="P29" s="767">
        <v>0.35211805555555559</v>
      </c>
      <c r="Q29" s="762" t="s">
        <v>524</v>
      </c>
      <c r="R29" s="763"/>
    </row>
    <row r="30" spans="1:18" x14ac:dyDescent="0.3">
      <c r="A30" s="752">
        <v>241</v>
      </c>
      <c r="B30" s="748" t="s">
        <v>379</v>
      </c>
      <c r="C30" s="748" t="s">
        <v>446</v>
      </c>
      <c r="D30" s="748" t="s">
        <v>447</v>
      </c>
      <c r="E30" s="735">
        <v>0.2938425925925926</v>
      </c>
      <c r="F30" s="767">
        <v>0.64629629629629626</v>
      </c>
      <c r="G30" s="766">
        <v>0.29850694444444442</v>
      </c>
      <c r="H30" s="767">
        <v>0.64659722222222216</v>
      </c>
      <c r="I30" s="766">
        <v>0.29415509259259259</v>
      </c>
      <c r="J30" s="774" t="s">
        <v>492</v>
      </c>
      <c r="K30" s="766">
        <v>0.29313657407407406</v>
      </c>
      <c r="L30" s="767">
        <v>0.64623842592592595</v>
      </c>
      <c r="M30" s="766">
        <v>0.29640046296296296</v>
      </c>
      <c r="N30" s="767">
        <v>0.6462268518518518</v>
      </c>
      <c r="O30" s="766">
        <v>0.29138888888888886</v>
      </c>
      <c r="P30" s="767">
        <v>0.64666666666666661</v>
      </c>
      <c r="Q30" s="762"/>
      <c r="R30" s="763"/>
    </row>
    <row r="31" spans="1:18" x14ac:dyDescent="0.3">
      <c r="A31" s="754">
        <v>242</v>
      </c>
      <c r="B31" s="748" t="s">
        <v>380</v>
      </c>
      <c r="C31" s="748" t="s">
        <v>446</v>
      </c>
      <c r="D31" s="748" t="s">
        <v>447</v>
      </c>
      <c r="E31" s="925" t="s">
        <v>219</v>
      </c>
      <c r="F31" s="926"/>
      <c r="G31" s="927" t="s">
        <v>219</v>
      </c>
      <c r="H31" s="926"/>
      <c r="I31" s="927" t="s">
        <v>219</v>
      </c>
      <c r="J31" s="926"/>
      <c r="K31" s="927" t="s">
        <v>219</v>
      </c>
      <c r="L31" s="926"/>
      <c r="M31" s="927" t="s">
        <v>219</v>
      </c>
      <c r="N31" s="926"/>
      <c r="O31" s="773"/>
      <c r="P31" s="774"/>
      <c r="Q31" s="762"/>
      <c r="R31" s="763"/>
    </row>
    <row r="32" spans="1:18" x14ac:dyDescent="0.3">
      <c r="A32" s="753">
        <v>245</v>
      </c>
      <c r="B32" s="748" t="s">
        <v>381</v>
      </c>
      <c r="C32" s="748" t="s">
        <v>446</v>
      </c>
      <c r="D32" s="748" t="s">
        <v>447</v>
      </c>
      <c r="E32" s="923" t="s">
        <v>525</v>
      </c>
      <c r="F32" s="924"/>
      <c r="G32" s="773" t="s">
        <v>453</v>
      </c>
      <c r="H32" s="767">
        <v>0.70807870370370374</v>
      </c>
      <c r="I32" s="766">
        <v>0.30152777777777778</v>
      </c>
      <c r="J32" s="767">
        <v>0.70599537037037041</v>
      </c>
      <c r="K32" s="773" t="s">
        <v>452</v>
      </c>
      <c r="L32" s="767">
        <v>0.7055324074074073</v>
      </c>
      <c r="M32" s="773" t="s">
        <v>451</v>
      </c>
      <c r="N32" s="767">
        <v>0.70624999999999993</v>
      </c>
      <c r="O32" s="773"/>
      <c r="P32" s="774"/>
      <c r="Q32" s="762"/>
      <c r="R32" s="763"/>
    </row>
    <row r="33" spans="1:18" x14ac:dyDescent="0.3">
      <c r="A33" s="752">
        <v>251</v>
      </c>
      <c r="B33" s="748" t="s">
        <v>382</v>
      </c>
      <c r="C33" s="748" t="s">
        <v>446</v>
      </c>
      <c r="D33" s="748" t="s">
        <v>447</v>
      </c>
      <c r="E33" s="925" t="s">
        <v>219</v>
      </c>
      <c r="F33" s="926"/>
      <c r="G33" s="927" t="s">
        <v>219</v>
      </c>
      <c r="H33" s="926"/>
      <c r="I33" s="927" t="s">
        <v>219</v>
      </c>
      <c r="J33" s="926"/>
      <c r="K33" s="927" t="s">
        <v>219</v>
      </c>
      <c r="L33" s="926"/>
      <c r="M33" s="766">
        <v>0.94510416666666675</v>
      </c>
      <c r="N33" s="767">
        <v>0.31254629629629632</v>
      </c>
      <c r="O33" s="773"/>
      <c r="P33" s="774"/>
      <c r="Q33" s="762"/>
      <c r="R33" s="763"/>
    </row>
    <row r="34" spans="1:18" x14ac:dyDescent="0.3">
      <c r="A34" s="752">
        <v>254</v>
      </c>
      <c r="B34" s="748" t="s">
        <v>383</v>
      </c>
      <c r="C34" s="748" t="s">
        <v>446</v>
      </c>
      <c r="D34" s="748" t="s">
        <v>447</v>
      </c>
      <c r="E34" s="736" t="s">
        <v>455</v>
      </c>
      <c r="F34" s="774" t="s">
        <v>336</v>
      </c>
      <c r="G34" s="773" t="s">
        <v>384</v>
      </c>
      <c r="H34" s="774" t="s">
        <v>336</v>
      </c>
      <c r="I34" s="773" t="s">
        <v>435</v>
      </c>
      <c r="J34" s="774" t="s">
        <v>335</v>
      </c>
      <c r="K34" s="773" t="s">
        <v>456</v>
      </c>
      <c r="L34" s="774" t="s">
        <v>336</v>
      </c>
      <c r="M34" s="766">
        <v>0.96942129629629636</v>
      </c>
      <c r="N34" s="767">
        <v>0.3135532407407407</v>
      </c>
      <c r="O34" s="773"/>
      <c r="P34" s="774"/>
      <c r="Q34" s="762"/>
      <c r="R34" s="763"/>
    </row>
    <row r="35" spans="1:18" x14ac:dyDescent="0.3">
      <c r="A35" s="752">
        <v>256</v>
      </c>
      <c r="B35" s="748" t="s">
        <v>387</v>
      </c>
      <c r="C35" s="748" t="s">
        <v>446</v>
      </c>
      <c r="D35" s="748" t="s">
        <v>447</v>
      </c>
      <c r="E35" s="736" t="s">
        <v>457</v>
      </c>
      <c r="F35" s="774" t="s">
        <v>370</v>
      </c>
      <c r="G35" s="773" t="s">
        <v>458</v>
      </c>
      <c r="H35" s="774" t="s">
        <v>350</v>
      </c>
      <c r="I35" s="773" t="s">
        <v>458</v>
      </c>
      <c r="J35" s="774" t="s">
        <v>493</v>
      </c>
      <c r="K35" s="773" t="s">
        <v>458</v>
      </c>
      <c r="L35" s="767">
        <v>0.70562499999999995</v>
      </c>
      <c r="M35" s="773" t="s">
        <v>388</v>
      </c>
      <c r="N35" s="767">
        <v>0.70628472222222216</v>
      </c>
      <c r="O35" s="766">
        <v>0.32936342592592593</v>
      </c>
      <c r="P35" s="767">
        <v>0.52968749999999998</v>
      </c>
      <c r="Q35" s="762"/>
      <c r="R35" s="763"/>
    </row>
    <row r="36" spans="1:18" x14ac:dyDescent="0.3">
      <c r="A36" s="752">
        <v>26</v>
      </c>
      <c r="B36" s="748" t="s">
        <v>389</v>
      </c>
      <c r="C36" s="748" t="s">
        <v>446</v>
      </c>
      <c r="D36" s="748" t="s">
        <v>447</v>
      </c>
      <c r="E36" s="925" t="s">
        <v>219</v>
      </c>
      <c r="F36" s="926"/>
      <c r="G36" s="927" t="s">
        <v>219</v>
      </c>
      <c r="H36" s="926"/>
      <c r="I36" s="927" t="s">
        <v>219</v>
      </c>
      <c r="J36" s="926"/>
      <c r="K36" s="927" t="s">
        <v>219</v>
      </c>
      <c r="L36" s="926"/>
      <c r="M36" s="927" t="s">
        <v>219</v>
      </c>
      <c r="N36" s="926"/>
      <c r="O36" s="773"/>
      <c r="P36" s="774"/>
      <c r="Q36" s="762"/>
      <c r="R36" s="763"/>
    </row>
    <row r="37" spans="1:18" x14ac:dyDescent="0.3">
      <c r="A37" s="753">
        <v>260</v>
      </c>
      <c r="B37" s="748" t="s">
        <v>391</v>
      </c>
      <c r="C37" s="748" t="s">
        <v>446</v>
      </c>
      <c r="D37" s="748" t="s">
        <v>447</v>
      </c>
      <c r="E37" s="736" t="s">
        <v>457</v>
      </c>
      <c r="F37" s="774" t="s">
        <v>370</v>
      </c>
      <c r="G37" s="773" t="s">
        <v>358</v>
      </c>
      <c r="H37" s="774"/>
      <c r="I37" s="773" t="s">
        <v>459</v>
      </c>
      <c r="J37" s="774" t="s">
        <v>526</v>
      </c>
      <c r="K37" s="928" t="s">
        <v>525</v>
      </c>
      <c r="L37" s="924"/>
      <c r="M37" s="773" t="s">
        <v>351</v>
      </c>
      <c r="N37" s="767">
        <v>0.7063194444444445</v>
      </c>
      <c r="O37" s="773"/>
      <c r="P37" s="774"/>
      <c r="Q37" s="762"/>
      <c r="R37" s="763"/>
    </row>
    <row r="38" spans="1:18" x14ac:dyDescent="0.3">
      <c r="A38" s="753">
        <v>261</v>
      </c>
      <c r="B38" s="748" t="s">
        <v>392</v>
      </c>
      <c r="C38" s="748" t="s">
        <v>446</v>
      </c>
      <c r="D38" s="748" t="s">
        <v>447</v>
      </c>
      <c r="E38" s="933" t="s">
        <v>166</v>
      </c>
      <c r="F38" s="934"/>
      <c r="G38" s="935" t="s">
        <v>166</v>
      </c>
      <c r="H38" s="934"/>
      <c r="I38" s="935" t="s">
        <v>166</v>
      </c>
      <c r="J38" s="934"/>
      <c r="K38" s="935" t="s">
        <v>166</v>
      </c>
      <c r="L38" s="934"/>
      <c r="M38" s="935" t="s">
        <v>166</v>
      </c>
      <c r="N38" s="934"/>
      <c r="O38" s="773"/>
      <c r="P38" s="774"/>
      <c r="Q38" s="762"/>
      <c r="R38" s="763"/>
    </row>
    <row r="39" spans="1:18" x14ac:dyDescent="0.3">
      <c r="A39" s="752">
        <v>262</v>
      </c>
      <c r="B39" s="748" t="s">
        <v>393</v>
      </c>
      <c r="C39" s="748" t="s">
        <v>446</v>
      </c>
      <c r="D39" s="748" t="s">
        <v>447</v>
      </c>
      <c r="E39" s="736" t="s">
        <v>451</v>
      </c>
      <c r="F39" s="774" t="s">
        <v>330</v>
      </c>
      <c r="G39" s="773" t="s">
        <v>394</v>
      </c>
      <c r="H39" s="774" t="s">
        <v>332</v>
      </c>
      <c r="I39" s="773" t="s">
        <v>369</v>
      </c>
      <c r="J39" s="774" t="s">
        <v>330</v>
      </c>
      <c r="K39" s="773" t="s">
        <v>454</v>
      </c>
      <c r="L39" s="774" t="s">
        <v>330</v>
      </c>
      <c r="M39" s="773" t="s">
        <v>451</v>
      </c>
      <c r="N39" s="774" t="s">
        <v>527</v>
      </c>
      <c r="O39" s="766">
        <v>0.3075</v>
      </c>
      <c r="P39" s="767">
        <v>0.64680555555555552</v>
      </c>
      <c r="Q39" s="762"/>
      <c r="R39" s="763"/>
    </row>
    <row r="40" spans="1:18" x14ac:dyDescent="0.3">
      <c r="A40" s="752">
        <v>264</v>
      </c>
      <c r="B40" s="748" t="s">
        <v>397</v>
      </c>
      <c r="C40" s="748" t="s">
        <v>446</v>
      </c>
      <c r="D40" s="748" t="s">
        <v>447</v>
      </c>
      <c r="E40" s="735">
        <v>0.63988425925925929</v>
      </c>
      <c r="F40" s="774" t="s">
        <v>494</v>
      </c>
      <c r="G40" s="766">
        <v>0.63400462962962967</v>
      </c>
      <c r="H40" s="767">
        <v>0.97961805555555559</v>
      </c>
      <c r="I40" s="766">
        <v>0.63506944444444446</v>
      </c>
      <c r="J40" s="767">
        <v>0.97932870370370362</v>
      </c>
      <c r="K40" s="766">
        <v>0.63511574074074073</v>
      </c>
      <c r="L40" s="767">
        <v>0.80033564814814817</v>
      </c>
      <c r="M40" s="773"/>
      <c r="N40" s="767">
        <v>0.97986111111111107</v>
      </c>
      <c r="O40" s="766">
        <v>0.63528935185185187</v>
      </c>
      <c r="P40" s="767">
        <v>0.85420138888888886</v>
      </c>
      <c r="Q40" s="762"/>
      <c r="R40" s="763"/>
    </row>
    <row r="41" spans="1:18" x14ac:dyDescent="0.3">
      <c r="A41" s="753">
        <v>265</v>
      </c>
      <c r="B41" s="748" t="s">
        <v>398</v>
      </c>
      <c r="C41" s="748" t="s">
        <v>446</v>
      </c>
      <c r="D41" s="748" t="s">
        <v>447</v>
      </c>
      <c r="E41" s="933" t="s">
        <v>166</v>
      </c>
      <c r="F41" s="934"/>
      <c r="G41" s="935" t="s">
        <v>166</v>
      </c>
      <c r="H41" s="934"/>
      <c r="I41" s="935" t="s">
        <v>166</v>
      </c>
      <c r="J41" s="934"/>
      <c r="K41" s="935" t="s">
        <v>166</v>
      </c>
      <c r="L41" s="934"/>
      <c r="M41" s="935" t="s">
        <v>166</v>
      </c>
      <c r="N41" s="934"/>
      <c r="O41" s="773"/>
      <c r="P41" s="774"/>
      <c r="Q41" s="762"/>
      <c r="R41" s="763"/>
    </row>
    <row r="42" spans="1:18" x14ac:dyDescent="0.3">
      <c r="A42" s="752">
        <v>266</v>
      </c>
      <c r="B42" s="748" t="s">
        <v>399</v>
      </c>
      <c r="C42" s="748" t="s">
        <v>446</v>
      </c>
      <c r="D42" s="748" t="s">
        <v>447</v>
      </c>
      <c r="E42" s="735">
        <v>0.98131944444444441</v>
      </c>
      <c r="F42" s="774" t="s">
        <v>336</v>
      </c>
      <c r="G42" s="766">
        <v>0.98105324074074074</v>
      </c>
      <c r="H42" s="774" t="s">
        <v>336</v>
      </c>
      <c r="I42" s="766">
        <v>0.98063657407407412</v>
      </c>
      <c r="J42" s="774" t="s">
        <v>335</v>
      </c>
      <c r="K42" s="766">
        <v>0.97953703703703709</v>
      </c>
      <c r="L42" s="774" t="s">
        <v>335</v>
      </c>
      <c r="M42" s="766">
        <v>0.97668981481481476</v>
      </c>
      <c r="N42" s="774" t="s">
        <v>528</v>
      </c>
      <c r="O42" s="773"/>
      <c r="P42" s="774"/>
      <c r="Q42" s="762"/>
      <c r="R42" s="763"/>
    </row>
    <row r="43" spans="1:18" x14ac:dyDescent="0.3">
      <c r="A43" s="752">
        <v>267</v>
      </c>
      <c r="B43" s="748" t="s">
        <v>400</v>
      </c>
      <c r="C43" s="748" t="s">
        <v>446</v>
      </c>
      <c r="D43" s="748" t="s">
        <v>447</v>
      </c>
      <c r="E43" s="735">
        <v>0.96643518518518512</v>
      </c>
      <c r="F43" s="774" t="s">
        <v>336</v>
      </c>
      <c r="G43" s="766">
        <v>0.9720833333333333</v>
      </c>
      <c r="H43" s="767">
        <v>0.25150462962962966</v>
      </c>
      <c r="I43" s="766">
        <v>0.9755787037037037</v>
      </c>
      <c r="J43" s="774" t="s">
        <v>335</v>
      </c>
      <c r="K43" s="766">
        <v>0.97386574074074073</v>
      </c>
      <c r="L43" s="774" t="s">
        <v>335</v>
      </c>
      <c r="M43" s="766">
        <v>0.97765046296296287</v>
      </c>
      <c r="N43" s="767">
        <v>0.31449074074074074</v>
      </c>
      <c r="O43" s="773"/>
      <c r="P43" s="774"/>
      <c r="Q43" s="762"/>
      <c r="R43" s="763"/>
    </row>
    <row r="44" spans="1:18" x14ac:dyDescent="0.3">
      <c r="A44" s="753">
        <v>268</v>
      </c>
      <c r="B44" s="748" t="s">
        <v>402</v>
      </c>
      <c r="C44" s="748" t="s">
        <v>446</v>
      </c>
      <c r="D44" s="748" t="s">
        <v>447</v>
      </c>
      <c r="E44" s="736" t="s">
        <v>457</v>
      </c>
      <c r="F44" s="774" t="s">
        <v>370</v>
      </c>
      <c r="G44" s="773" t="s">
        <v>358</v>
      </c>
      <c r="H44" s="774"/>
      <c r="I44" s="773"/>
      <c r="J44" s="774"/>
      <c r="K44" s="773"/>
      <c r="L44" s="774"/>
      <c r="M44" s="773"/>
      <c r="N44" s="774"/>
      <c r="O44" s="773"/>
      <c r="P44" s="774"/>
      <c r="Q44" s="762"/>
      <c r="R44" s="763"/>
    </row>
    <row r="45" spans="1:18" x14ac:dyDescent="0.3">
      <c r="A45" s="753">
        <v>269</v>
      </c>
      <c r="B45" s="748" t="s">
        <v>403</v>
      </c>
      <c r="C45" s="748" t="s">
        <v>446</v>
      </c>
      <c r="D45" s="748" t="s">
        <v>447</v>
      </c>
      <c r="E45" s="923" t="s">
        <v>525</v>
      </c>
      <c r="F45" s="924"/>
      <c r="G45" s="773" t="s">
        <v>338</v>
      </c>
      <c r="H45" s="767">
        <v>0.64666666666666661</v>
      </c>
      <c r="I45" s="773" t="s">
        <v>355</v>
      </c>
      <c r="J45" s="767">
        <v>0.64690972222222221</v>
      </c>
      <c r="K45" s="773" t="s">
        <v>351</v>
      </c>
      <c r="L45" s="767">
        <v>0.64667824074074076</v>
      </c>
      <c r="M45" s="773" t="s">
        <v>454</v>
      </c>
      <c r="N45" s="767">
        <v>0.44203703703703701</v>
      </c>
      <c r="O45" s="766">
        <v>0.31937500000000002</v>
      </c>
      <c r="P45" s="774"/>
      <c r="Q45" s="762"/>
      <c r="R45" s="763"/>
    </row>
    <row r="46" spans="1:18" x14ac:dyDescent="0.3">
      <c r="A46" s="752">
        <v>27</v>
      </c>
      <c r="B46" s="748" t="s">
        <v>405</v>
      </c>
      <c r="C46" s="748" t="s">
        <v>446</v>
      </c>
      <c r="D46" s="748" t="s">
        <v>447</v>
      </c>
      <c r="E46" s="925" t="s">
        <v>219</v>
      </c>
      <c r="F46" s="926"/>
      <c r="G46" s="927" t="s">
        <v>219</v>
      </c>
      <c r="H46" s="926"/>
      <c r="I46" s="927" t="s">
        <v>219</v>
      </c>
      <c r="J46" s="926"/>
      <c r="K46" s="927" t="s">
        <v>219</v>
      </c>
      <c r="L46" s="926"/>
      <c r="M46" s="927" t="s">
        <v>219</v>
      </c>
      <c r="N46" s="926"/>
      <c r="O46" s="773"/>
      <c r="P46" s="774"/>
      <c r="Q46" s="762"/>
      <c r="R46" s="763"/>
    </row>
    <row r="47" spans="1:18" x14ac:dyDescent="0.3">
      <c r="A47" s="752">
        <v>271</v>
      </c>
      <c r="B47" s="748" t="s">
        <v>406</v>
      </c>
      <c r="C47" s="748" t="s">
        <v>446</v>
      </c>
      <c r="D47" s="748" t="s">
        <v>447</v>
      </c>
      <c r="E47" s="735">
        <v>0.64410879629629625</v>
      </c>
      <c r="F47" s="774" t="s">
        <v>495</v>
      </c>
      <c r="G47" s="766">
        <v>0.6444791666666666</v>
      </c>
      <c r="H47" s="767">
        <v>0.98129629629629633</v>
      </c>
      <c r="I47" s="766">
        <v>0.64962962962962967</v>
      </c>
      <c r="J47" s="767">
        <v>0.97978009259259258</v>
      </c>
      <c r="K47" s="766">
        <v>0.64400462962962968</v>
      </c>
      <c r="L47" s="767">
        <v>0.98042824074074064</v>
      </c>
      <c r="M47" s="766">
        <v>0.64473379629629635</v>
      </c>
      <c r="N47" s="767">
        <v>0.97945601851851849</v>
      </c>
      <c r="O47" s="766">
        <v>0.65</v>
      </c>
      <c r="P47" s="767">
        <v>0.85430555555555554</v>
      </c>
      <c r="Q47" s="762"/>
      <c r="R47" s="763"/>
    </row>
    <row r="48" spans="1:18" x14ac:dyDescent="0.3">
      <c r="A48" s="752">
        <v>28</v>
      </c>
      <c r="B48" s="748" t="s">
        <v>407</v>
      </c>
      <c r="C48" s="748" t="s">
        <v>446</v>
      </c>
      <c r="D48" s="748" t="s">
        <v>447</v>
      </c>
      <c r="E48" s="735">
        <v>0.97851851851851857</v>
      </c>
      <c r="F48" s="774" t="s">
        <v>434</v>
      </c>
      <c r="G48" s="766">
        <v>0.97644675925925928</v>
      </c>
      <c r="H48" s="774" t="s">
        <v>335</v>
      </c>
      <c r="I48" s="766">
        <v>0.97428240740740746</v>
      </c>
      <c r="J48" s="774" t="s">
        <v>336</v>
      </c>
      <c r="K48" s="766">
        <v>0.97451388888888879</v>
      </c>
      <c r="L48" s="774" t="s">
        <v>336</v>
      </c>
      <c r="M48" s="766">
        <v>0.97505787037037039</v>
      </c>
      <c r="N48" s="767">
        <v>0.31281249999999999</v>
      </c>
      <c r="O48" s="773"/>
      <c r="P48" s="774"/>
      <c r="Q48" s="762"/>
      <c r="R48" s="763"/>
    </row>
    <row r="49" spans="1:18" x14ac:dyDescent="0.3">
      <c r="A49" s="752">
        <v>29</v>
      </c>
      <c r="B49" s="748" t="s">
        <v>408</v>
      </c>
      <c r="C49" s="748" t="s">
        <v>446</v>
      </c>
      <c r="D49" s="748" t="s">
        <v>447</v>
      </c>
      <c r="E49" s="736" t="s">
        <v>496</v>
      </c>
      <c r="F49" s="774" t="s">
        <v>336</v>
      </c>
      <c r="G49" s="766">
        <v>0.97214120370370372</v>
      </c>
      <c r="H49" s="774" t="s">
        <v>460</v>
      </c>
      <c r="I49" s="766">
        <v>0.9724652777777778</v>
      </c>
      <c r="J49" s="774" t="s">
        <v>335</v>
      </c>
      <c r="K49" s="773" t="s">
        <v>497</v>
      </c>
      <c r="L49" s="774" t="s">
        <v>335</v>
      </c>
      <c r="M49" s="766">
        <v>0.31281249999999999</v>
      </c>
      <c r="N49" s="767">
        <v>0.31413194444444442</v>
      </c>
      <c r="O49" s="773"/>
      <c r="P49" s="774"/>
      <c r="Q49" s="762"/>
      <c r="R49" s="763"/>
    </row>
    <row r="50" spans="1:18" x14ac:dyDescent="0.3">
      <c r="A50" s="752">
        <v>30</v>
      </c>
      <c r="B50" s="748" t="s">
        <v>409</v>
      </c>
      <c r="C50" s="748" t="s">
        <v>446</v>
      </c>
      <c r="D50" s="748" t="s">
        <v>447</v>
      </c>
      <c r="E50" s="735">
        <v>0.64581018518518518</v>
      </c>
      <c r="F50" s="767">
        <v>0.98122685185185177</v>
      </c>
      <c r="G50" s="766">
        <v>0.64581018518518518</v>
      </c>
      <c r="H50" s="774" t="s">
        <v>498</v>
      </c>
      <c r="I50" s="766">
        <v>0.64667824074074076</v>
      </c>
      <c r="J50" s="767">
        <v>0.97988425925925926</v>
      </c>
      <c r="K50" s="766">
        <v>0.64391203703703703</v>
      </c>
      <c r="L50" s="774" t="s">
        <v>499</v>
      </c>
      <c r="M50" s="766">
        <v>0.64953703703703702</v>
      </c>
      <c r="N50" s="767">
        <v>0.97936342592592596</v>
      </c>
      <c r="O50" s="766">
        <v>0.64740740740740743</v>
      </c>
      <c r="P50" s="767">
        <v>0.85591435185185183</v>
      </c>
      <c r="Q50" s="762"/>
      <c r="R50" s="763"/>
    </row>
    <row r="51" spans="1:18" x14ac:dyDescent="0.3">
      <c r="A51" s="752">
        <v>33</v>
      </c>
      <c r="B51" s="748" t="s">
        <v>410</v>
      </c>
      <c r="C51" s="748" t="s">
        <v>446</v>
      </c>
      <c r="D51" s="748" t="s">
        <v>447</v>
      </c>
      <c r="E51" s="735" t="s">
        <v>500</v>
      </c>
      <c r="F51" s="767">
        <v>0.3127199074074074</v>
      </c>
      <c r="G51" s="766">
        <v>0.97324074074074074</v>
      </c>
      <c r="H51" s="774"/>
      <c r="I51" s="766">
        <v>0.97499999999999998</v>
      </c>
      <c r="J51" s="767">
        <v>0.30584490740740738</v>
      </c>
      <c r="K51" s="766">
        <v>0.96950231481481486</v>
      </c>
      <c r="L51" s="774"/>
      <c r="M51" s="773"/>
      <c r="N51" s="774"/>
      <c r="O51" s="773"/>
      <c r="P51" s="774"/>
      <c r="Q51" s="762"/>
      <c r="R51" s="763"/>
    </row>
    <row r="52" spans="1:18" x14ac:dyDescent="0.3">
      <c r="A52" s="752">
        <v>34</v>
      </c>
      <c r="B52" s="748" t="s">
        <v>411</v>
      </c>
      <c r="C52" s="748" t="s">
        <v>446</v>
      </c>
      <c r="D52" s="748" t="s">
        <v>447</v>
      </c>
      <c r="E52" s="735">
        <v>0.33752314814814816</v>
      </c>
      <c r="F52" s="774" t="s">
        <v>461</v>
      </c>
      <c r="G52" s="773" t="s">
        <v>440</v>
      </c>
      <c r="H52" s="767">
        <v>0.70739583333333333</v>
      </c>
      <c r="I52" s="766">
        <v>0.33738425925925924</v>
      </c>
      <c r="J52" s="767">
        <v>0.7059375</v>
      </c>
      <c r="K52" s="766">
        <v>0.3777430555555556</v>
      </c>
      <c r="L52" s="774" t="s">
        <v>501</v>
      </c>
      <c r="M52" s="773" t="s">
        <v>462</v>
      </c>
      <c r="N52" s="767">
        <v>0.81679398148148152</v>
      </c>
      <c r="O52" s="773" t="s">
        <v>529</v>
      </c>
      <c r="P52" s="774"/>
      <c r="Q52" s="762"/>
      <c r="R52" s="763"/>
    </row>
    <row r="53" spans="1:18" x14ac:dyDescent="0.3">
      <c r="A53" s="752">
        <v>35</v>
      </c>
      <c r="B53" s="748" t="s">
        <v>412</v>
      </c>
      <c r="C53" s="748" t="s">
        <v>446</v>
      </c>
      <c r="D53" s="748" t="s">
        <v>447</v>
      </c>
      <c r="F53" s="774"/>
      <c r="G53" s="773" t="s">
        <v>463</v>
      </c>
      <c r="H53" s="774"/>
      <c r="I53" s="773" t="s">
        <v>454</v>
      </c>
      <c r="J53" s="774"/>
      <c r="K53" s="773" t="s">
        <v>463</v>
      </c>
      <c r="L53" s="774"/>
      <c r="M53" s="773" t="s">
        <v>463</v>
      </c>
      <c r="N53" s="774"/>
      <c r="O53" s="773"/>
      <c r="P53" s="774"/>
      <c r="Q53" s="762"/>
      <c r="R53" s="763"/>
    </row>
    <row r="54" spans="1:18" x14ac:dyDescent="0.3">
      <c r="A54" s="752">
        <v>37</v>
      </c>
      <c r="B54" s="748" t="s">
        <v>413</v>
      </c>
      <c r="C54" s="748" t="s">
        <v>446</v>
      </c>
      <c r="D54" s="748" t="s">
        <v>447</v>
      </c>
      <c r="E54" s="925" t="s">
        <v>219</v>
      </c>
      <c r="F54" s="926"/>
      <c r="G54" s="927" t="s">
        <v>219</v>
      </c>
      <c r="H54" s="926"/>
      <c r="I54" s="927" t="s">
        <v>219</v>
      </c>
      <c r="J54" s="926"/>
      <c r="K54" s="927" t="s">
        <v>219</v>
      </c>
      <c r="L54" s="926"/>
      <c r="M54" s="927" t="s">
        <v>219</v>
      </c>
      <c r="N54" s="926"/>
      <c r="O54" s="773"/>
      <c r="P54" s="774"/>
      <c r="Q54" s="762"/>
      <c r="R54" s="763"/>
    </row>
    <row r="55" spans="1:18" x14ac:dyDescent="0.3">
      <c r="A55" s="752">
        <v>39</v>
      </c>
      <c r="B55" s="748" t="s">
        <v>414</v>
      </c>
      <c r="C55" s="748" t="s">
        <v>446</v>
      </c>
      <c r="D55" s="748" t="s">
        <v>447</v>
      </c>
      <c r="E55" s="925" t="s">
        <v>219</v>
      </c>
      <c r="F55" s="926"/>
      <c r="G55" s="927" t="s">
        <v>219</v>
      </c>
      <c r="H55" s="926"/>
      <c r="I55" s="927" t="s">
        <v>219</v>
      </c>
      <c r="J55" s="926"/>
      <c r="K55" s="927" t="s">
        <v>219</v>
      </c>
      <c r="L55" s="926"/>
      <c r="M55" s="927" t="s">
        <v>219</v>
      </c>
      <c r="N55" s="926"/>
      <c r="O55" s="773"/>
      <c r="P55" s="774"/>
      <c r="Q55" s="762"/>
      <c r="R55" s="763"/>
    </row>
    <row r="56" spans="1:18" x14ac:dyDescent="0.3">
      <c r="A56" s="752">
        <v>41</v>
      </c>
      <c r="B56" s="748" t="s">
        <v>415</v>
      </c>
      <c r="C56" s="748" t="s">
        <v>446</v>
      </c>
      <c r="D56" s="748" t="s">
        <v>447</v>
      </c>
      <c r="E56" s="736" t="s">
        <v>464</v>
      </c>
      <c r="F56" s="774" t="s">
        <v>461</v>
      </c>
      <c r="G56" s="773" t="s">
        <v>441</v>
      </c>
      <c r="H56" s="767">
        <v>0.70768518518518519</v>
      </c>
      <c r="I56" s="773" t="s">
        <v>462</v>
      </c>
      <c r="J56" s="774" t="s">
        <v>350</v>
      </c>
      <c r="K56" s="766">
        <v>0.34662037037037036</v>
      </c>
      <c r="L56" s="767">
        <v>0.70594907407407403</v>
      </c>
      <c r="M56" s="773" t="s">
        <v>440</v>
      </c>
      <c r="N56" s="767">
        <v>0.70699074074074064</v>
      </c>
      <c r="O56" s="773"/>
      <c r="P56" s="774"/>
      <c r="Q56" s="762"/>
      <c r="R56" s="763"/>
    </row>
    <row r="57" spans="1:18" x14ac:dyDescent="0.3">
      <c r="A57" s="752">
        <v>51</v>
      </c>
      <c r="B57" s="748" t="s">
        <v>416</v>
      </c>
      <c r="C57" s="748" t="s">
        <v>446</v>
      </c>
      <c r="D57" s="748" t="s">
        <v>447</v>
      </c>
      <c r="E57" s="735">
        <v>0.26905092592592594</v>
      </c>
      <c r="F57" s="767">
        <v>0.65745370370370371</v>
      </c>
      <c r="G57" s="766">
        <v>0.31760416666666669</v>
      </c>
      <c r="H57" s="767">
        <v>0.64583333333333337</v>
      </c>
      <c r="I57" s="773" t="s">
        <v>388</v>
      </c>
      <c r="J57" s="774"/>
      <c r="K57" s="773" t="s">
        <v>371</v>
      </c>
      <c r="L57" s="767">
        <v>0.64716435185185184</v>
      </c>
      <c r="M57" s="773" t="s">
        <v>339</v>
      </c>
      <c r="N57" s="774"/>
      <c r="O57" s="766">
        <v>0.31642361111111111</v>
      </c>
      <c r="P57" s="767">
        <v>0.64819444444444441</v>
      </c>
      <c r="Q57" s="762"/>
      <c r="R57" s="763"/>
    </row>
    <row r="58" spans="1:18" x14ac:dyDescent="0.3">
      <c r="A58" s="752">
        <v>59</v>
      </c>
      <c r="B58" s="748" t="s">
        <v>417</v>
      </c>
      <c r="C58" s="748" t="s">
        <v>446</v>
      </c>
      <c r="D58" s="748" t="s">
        <v>447</v>
      </c>
      <c r="E58" s="735">
        <v>0.97431712962962969</v>
      </c>
      <c r="F58" s="767">
        <v>0.31487268518518519</v>
      </c>
      <c r="G58" s="766">
        <v>0.97638888888888886</v>
      </c>
      <c r="H58" s="767">
        <v>0.31321759259259258</v>
      </c>
      <c r="I58" s="766">
        <v>0.97369212962962959</v>
      </c>
      <c r="J58" s="767">
        <v>0.31307870370370372</v>
      </c>
      <c r="K58" s="773" t="s">
        <v>360</v>
      </c>
      <c r="L58" s="767">
        <v>0.9744560185185186</v>
      </c>
      <c r="M58" s="773" t="s">
        <v>360</v>
      </c>
      <c r="N58" s="767">
        <v>0.97509259259259251</v>
      </c>
      <c r="O58" s="766">
        <v>0.31276620370370373</v>
      </c>
      <c r="P58" s="774"/>
      <c r="Q58" s="762"/>
      <c r="R58" s="763"/>
    </row>
    <row r="59" spans="1:18" x14ac:dyDescent="0.3">
      <c r="A59" s="752">
        <v>6</v>
      </c>
      <c r="B59" s="748" t="s">
        <v>418</v>
      </c>
      <c r="C59" s="748" t="s">
        <v>446</v>
      </c>
      <c r="D59" s="748" t="s">
        <v>447</v>
      </c>
      <c r="E59" s="925" t="s">
        <v>219</v>
      </c>
      <c r="F59" s="926"/>
      <c r="G59" s="927" t="s">
        <v>219</v>
      </c>
      <c r="H59" s="926"/>
      <c r="I59" s="927" t="s">
        <v>219</v>
      </c>
      <c r="J59" s="926"/>
      <c r="K59" s="927" t="s">
        <v>219</v>
      </c>
      <c r="L59" s="926"/>
      <c r="M59" s="927" t="s">
        <v>219</v>
      </c>
      <c r="N59" s="926"/>
      <c r="O59" s="773"/>
      <c r="P59" s="774"/>
      <c r="Q59" s="762"/>
      <c r="R59" s="763"/>
    </row>
    <row r="60" spans="1:18" x14ac:dyDescent="0.3">
      <c r="A60" s="752">
        <v>63</v>
      </c>
      <c r="B60" s="748" t="s">
        <v>419</v>
      </c>
      <c r="C60" s="748" t="s">
        <v>446</v>
      </c>
      <c r="D60" s="748" t="s">
        <v>447</v>
      </c>
      <c r="E60" s="736" t="s">
        <v>360</v>
      </c>
      <c r="F60" s="774" t="s">
        <v>370</v>
      </c>
      <c r="G60" s="773" t="s">
        <v>360</v>
      </c>
      <c r="H60" s="774"/>
      <c r="I60" s="773" t="s">
        <v>339</v>
      </c>
      <c r="J60" s="774"/>
      <c r="K60" s="773" t="s">
        <v>360</v>
      </c>
      <c r="L60" s="774" t="s">
        <v>465</v>
      </c>
      <c r="M60" s="773" t="s">
        <v>462</v>
      </c>
      <c r="N60" s="774"/>
      <c r="O60" s="773"/>
      <c r="P60" s="774"/>
      <c r="Q60" s="762"/>
      <c r="R60" s="763"/>
    </row>
    <row r="61" spans="1:18" x14ac:dyDescent="0.3">
      <c r="A61" s="753">
        <v>70</v>
      </c>
      <c r="B61" s="748" t="s">
        <v>420</v>
      </c>
      <c r="C61" s="748" t="s">
        <v>446</v>
      </c>
      <c r="D61" s="748" t="s">
        <v>447</v>
      </c>
      <c r="E61" s="736" t="s">
        <v>332</v>
      </c>
      <c r="F61" s="774" t="s">
        <v>424</v>
      </c>
      <c r="G61" s="773"/>
      <c r="H61" s="774"/>
      <c r="I61" s="773" t="s">
        <v>332</v>
      </c>
      <c r="J61" s="774" t="s">
        <v>466</v>
      </c>
      <c r="K61" s="773" t="s">
        <v>333</v>
      </c>
      <c r="L61" s="774" t="s">
        <v>423</v>
      </c>
      <c r="M61" s="766">
        <v>0.64960648148148148</v>
      </c>
      <c r="N61" s="767">
        <v>0.97953703703703709</v>
      </c>
      <c r="O61" s="766">
        <v>0.6464699074074074</v>
      </c>
      <c r="P61" s="767">
        <v>0.85597222222222225</v>
      </c>
      <c r="Q61" s="762"/>
      <c r="R61" s="763"/>
    </row>
    <row r="62" spans="1:18" x14ac:dyDescent="0.3">
      <c r="A62" s="757">
        <v>73</v>
      </c>
      <c r="B62" s="748" t="s">
        <v>425</v>
      </c>
      <c r="C62" s="748" t="s">
        <v>446</v>
      </c>
      <c r="D62" s="748" t="s">
        <v>447</v>
      </c>
      <c r="E62" s="735">
        <v>0.28873842592592591</v>
      </c>
      <c r="F62" s="767">
        <v>0.64624999999999999</v>
      </c>
      <c r="G62" s="927" t="s">
        <v>219</v>
      </c>
      <c r="H62" s="926"/>
      <c r="I62" s="927" t="s">
        <v>219</v>
      </c>
      <c r="J62" s="926"/>
      <c r="K62" s="773" t="s">
        <v>395</v>
      </c>
      <c r="L62" s="774" t="s">
        <v>502</v>
      </c>
      <c r="M62" s="773" t="s">
        <v>451</v>
      </c>
      <c r="N62" s="767">
        <v>0.64633101851851849</v>
      </c>
      <c r="O62" s="773" t="s">
        <v>530</v>
      </c>
      <c r="P62" s="767">
        <v>0.64662037037037035</v>
      </c>
      <c r="Q62" s="766">
        <v>0.33994212962962966</v>
      </c>
      <c r="R62" s="767">
        <v>0.64730324074074075</v>
      </c>
    </row>
    <row r="63" spans="1:18" x14ac:dyDescent="0.3">
      <c r="A63" s="752">
        <v>74</v>
      </c>
      <c r="B63" s="748" t="s">
        <v>426</v>
      </c>
      <c r="C63" s="748" t="s">
        <v>446</v>
      </c>
      <c r="D63" s="748" t="s">
        <v>447</v>
      </c>
      <c r="E63" s="925" t="s">
        <v>219</v>
      </c>
      <c r="F63" s="926"/>
      <c r="G63" s="927" t="s">
        <v>219</v>
      </c>
      <c r="H63" s="926"/>
      <c r="I63" s="766">
        <v>0.9534259259259259</v>
      </c>
      <c r="J63" s="774" t="s">
        <v>335</v>
      </c>
      <c r="K63" s="766">
        <v>0.94939814814814805</v>
      </c>
      <c r="L63" s="774" t="s">
        <v>335</v>
      </c>
      <c r="M63" s="766">
        <v>0.94506944444444441</v>
      </c>
      <c r="N63" s="767">
        <v>0.31407407407407406</v>
      </c>
      <c r="O63" s="773"/>
      <c r="P63" s="774"/>
      <c r="Q63" s="762"/>
      <c r="R63" s="763"/>
    </row>
    <row r="64" spans="1:18" x14ac:dyDescent="0.3">
      <c r="A64" s="752">
        <v>75</v>
      </c>
      <c r="B64" s="748" t="s">
        <v>427</v>
      </c>
      <c r="C64" s="748" t="s">
        <v>446</v>
      </c>
      <c r="D64" s="748" t="s">
        <v>447</v>
      </c>
      <c r="E64" s="735">
        <v>0.9830902777777778</v>
      </c>
      <c r="F64" s="774" t="s">
        <v>401</v>
      </c>
      <c r="G64" s="766">
        <v>0.98089120370370375</v>
      </c>
      <c r="H64" s="774" t="s">
        <v>460</v>
      </c>
      <c r="I64" s="766">
        <v>0.98093750000000002</v>
      </c>
      <c r="J64" s="774" t="s">
        <v>434</v>
      </c>
      <c r="K64" s="766">
        <v>0.98237268518518517</v>
      </c>
      <c r="L64" s="774" t="s">
        <v>335</v>
      </c>
      <c r="M64" s="773" t="s">
        <v>531</v>
      </c>
      <c r="N64" s="767">
        <v>0.31664351851851852</v>
      </c>
      <c r="O64" s="773"/>
      <c r="P64" s="774"/>
      <c r="Q64" s="762"/>
      <c r="R64" s="763"/>
    </row>
    <row r="65" spans="1:18" x14ac:dyDescent="0.3">
      <c r="A65" s="752">
        <v>81</v>
      </c>
      <c r="B65" s="748" t="s">
        <v>467</v>
      </c>
      <c r="C65" s="748" t="s">
        <v>446</v>
      </c>
      <c r="D65" s="748" t="s">
        <v>447</v>
      </c>
      <c r="E65" s="735">
        <v>0.6464699074074074</v>
      </c>
      <c r="F65" s="767">
        <v>0.98162037037037031</v>
      </c>
      <c r="G65" s="766">
        <v>0.64846064814814819</v>
      </c>
      <c r="H65" s="767">
        <v>0.97947916666666668</v>
      </c>
      <c r="I65" s="766">
        <v>0.64512731481481478</v>
      </c>
      <c r="J65" s="767">
        <v>0.98600694444444448</v>
      </c>
      <c r="K65" s="766">
        <v>0.64633101851851849</v>
      </c>
      <c r="L65" s="767">
        <v>0.98704861111111108</v>
      </c>
      <c r="M65" s="766">
        <v>0.6464699074074074</v>
      </c>
      <c r="N65" s="767">
        <v>0.98886574074074074</v>
      </c>
      <c r="O65" s="773" t="s">
        <v>532</v>
      </c>
      <c r="P65" s="767">
        <v>0.85415509259259259</v>
      </c>
      <c r="Q65" s="762"/>
      <c r="R65" s="763"/>
    </row>
    <row r="66" spans="1:18" x14ac:dyDescent="0.3">
      <c r="A66" s="754">
        <v>82382</v>
      </c>
      <c r="B66" s="748" t="s">
        <v>428</v>
      </c>
      <c r="C66" s="748" t="s">
        <v>446</v>
      </c>
      <c r="D66" s="748" t="s">
        <v>447</v>
      </c>
      <c r="F66" s="774"/>
      <c r="G66" s="773"/>
      <c r="H66" s="774"/>
      <c r="I66" s="773"/>
      <c r="J66" s="774"/>
      <c r="K66" s="773"/>
      <c r="L66" s="774"/>
      <c r="M66" s="773"/>
      <c r="N66" s="774"/>
      <c r="O66" s="773"/>
      <c r="P66" s="774"/>
      <c r="Q66" s="762"/>
      <c r="R66" s="763"/>
    </row>
    <row r="67" spans="1:18" x14ac:dyDescent="0.3">
      <c r="A67" s="754">
        <v>82497</v>
      </c>
      <c r="B67" s="748" t="s">
        <v>429</v>
      </c>
      <c r="C67" s="748" t="s">
        <v>446</v>
      </c>
      <c r="D67" s="748" t="s">
        <v>447</v>
      </c>
      <c r="F67" s="774"/>
      <c r="G67" s="773"/>
      <c r="H67" s="774"/>
      <c r="I67" s="773"/>
      <c r="J67" s="774"/>
      <c r="K67" s="773"/>
      <c r="L67" s="774"/>
      <c r="M67" s="773"/>
      <c r="N67" s="774"/>
      <c r="O67" s="773"/>
      <c r="P67" s="774"/>
      <c r="Q67" s="762"/>
      <c r="R67" s="763"/>
    </row>
    <row r="68" spans="1:18" x14ac:dyDescent="0.3">
      <c r="A68" s="754">
        <v>82589</v>
      </c>
      <c r="B68" s="748" t="s">
        <v>430</v>
      </c>
      <c r="C68" s="748" t="s">
        <v>446</v>
      </c>
      <c r="D68" s="748" t="s">
        <v>447</v>
      </c>
      <c r="F68" s="774"/>
      <c r="G68" s="773"/>
      <c r="H68" s="774"/>
      <c r="I68" s="773"/>
      <c r="J68" s="774"/>
      <c r="K68" s="773"/>
      <c r="L68" s="774"/>
      <c r="M68" s="773"/>
      <c r="N68" s="774"/>
      <c r="O68" s="773"/>
      <c r="P68" s="774"/>
      <c r="Q68" s="762"/>
      <c r="R68" s="763"/>
    </row>
    <row r="69" spans="1:18" x14ac:dyDescent="0.3">
      <c r="A69" s="752">
        <v>89</v>
      </c>
      <c r="B69" s="748" t="s">
        <v>431</v>
      </c>
      <c r="C69" s="748" t="s">
        <v>446</v>
      </c>
      <c r="D69" s="748" t="s">
        <v>447</v>
      </c>
      <c r="E69" s="736" t="s">
        <v>339</v>
      </c>
      <c r="F69" s="767">
        <v>0.83638888888888896</v>
      </c>
      <c r="G69" s="773" t="s">
        <v>388</v>
      </c>
      <c r="H69" s="767">
        <v>0.70822916666666658</v>
      </c>
      <c r="I69" s="773" t="s">
        <v>351</v>
      </c>
      <c r="J69" s="774" t="s">
        <v>350</v>
      </c>
      <c r="K69" s="766">
        <v>0.34998842592592588</v>
      </c>
      <c r="L69" s="767">
        <v>0.70635416666666673</v>
      </c>
      <c r="M69" s="773" t="s">
        <v>404</v>
      </c>
      <c r="N69" s="767">
        <v>0.70642361111111107</v>
      </c>
      <c r="O69" s="773"/>
      <c r="P69" s="774"/>
      <c r="Q69" s="762"/>
      <c r="R69" s="763"/>
    </row>
    <row r="70" spans="1:18" x14ac:dyDescent="0.3">
      <c r="A70" s="752">
        <v>9</v>
      </c>
      <c r="B70" s="748" t="s">
        <v>432</v>
      </c>
      <c r="C70" s="748" t="s">
        <v>446</v>
      </c>
      <c r="D70" s="748" t="s">
        <v>447</v>
      </c>
      <c r="E70" s="735">
        <v>0.6444791666666666</v>
      </c>
      <c r="F70" s="767">
        <v>0.81498842592592602</v>
      </c>
      <c r="G70" s="766">
        <v>9.8611111111111104E-3</v>
      </c>
      <c r="H70" s="774" t="s">
        <v>468</v>
      </c>
      <c r="I70" s="766">
        <v>0.97424768518518512</v>
      </c>
      <c r="J70" s="774" t="s">
        <v>469</v>
      </c>
      <c r="K70" s="766">
        <v>0.97766203703703702</v>
      </c>
      <c r="L70" s="774" t="s">
        <v>401</v>
      </c>
      <c r="M70" s="773" t="s">
        <v>533</v>
      </c>
      <c r="N70" s="767">
        <v>0.32280092592592591</v>
      </c>
      <c r="O70" s="773"/>
      <c r="P70" s="774"/>
      <c r="Q70" s="762"/>
      <c r="R70" s="763"/>
    </row>
    <row r="71" spans="1:18" x14ac:dyDescent="0.3">
      <c r="A71" s="755">
        <v>94</v>
      </c>
      <c r="B71" s="748" t="s">
        <v>433</v>
      </c>
      <c r="C71" s="748" t="s">
        <v>446</v>
      </c>
      <c r="D71" s="748" t="s">
        <v>447</v>
      </c>
      <c r="E71" s="736" t="s">
        <v>436</v>
      </c>
      <c r="F71" s="774" t="s">
        <v>460</v>
      </c>
      <c r="G71" s="773" t="s">
        <v>385</v>
      </c>
      <c r="H71" s="774" t="s">
        <v>470</v>
      </c>
      <c r="I71" s="773" t="s">
        <v>455</v>
      </c>
      <c r="J71" s="774" t="s">
        <v>468</v>
      </c>
      <c r="K71" s="773" t="s">
        <v>455</v>
      </c>
      <c r="L71" s="774" t="s">
        <v>470</v>
      </c>
      <c r="M71" s="766">
        <v>0.97331018518518519</v>
      </c>
      <c r="N71" s="767">
        <v>0.31465277777777778</v>
      </c>
      <c r="O71" s="766">
        <v>0.97190972222222216</v>
      </c>
      <c r="P71" s="774"/>
      <c r="Q71" s="762"/>
      <c r="R71" s="763"/>
    </row>
    <row r="72" spans="1:18" x14ac:dyDescent="0.3">
      <c r="A72" s="752">
        <v>95</v>
      </c>
      <c r="B72" s="748" t="s">
        <v>437</v>
      </c>
      <c r="C72" s="748" t="s">
        <v>446</v>
      </c>
      <c r="D72" s="748" t="s">
        <v>447</v>
      </c>
      <c r="E72" s="736" t="s">
        <v>371</v>
      </c>
      <c r="F72" s="774" t="s">
        <v>390</v>
      </c>
      <c r="G72" s="773"/>
      <c r="H72" s="774" t="s">
        <v>370</v>
      </c>
      <c r="I72" s="773" t="s">
        <v>367</v>
      </c>
      <c r="J72" s="774" t="s">
        <v>350</v>
      </c>
      <c r="K72" s="773" t="s">
        <v>454</v>
      </c>
      <c r="L72" s="774"/>
      <c r="M72" s="773" t="s">
        <v>450</v>
      </c>
      <c r="N72" s="767">
        <v>0.64943287037037034</v>
      </c>
      <c r="O72" s="773"/>
      <c r="P72" s="774"/>
      <c r="Q72" s="762"/>
      <c r="R72" s="763"/>
    </row>
    <row r="73" spans="1:18" x14ac:dyDescent="0.3">
      <c r="A73" s="758">
        <v>97</v>
      </c>
      <c r="B73" s="759" t="s">
        <v>439</v>
      </c>
      <c r="C73" s="759" t="s">
        <v>446</v>
      </c>
      <c r="D73" s="759" t="s">
        <v>447</v>
      </c>
      <c r="E73" s="776" t="s">
        <v>503</v>
      </c>
      <c r="F73" s="777" t="s">
        <v>461</v>
      </c>
      <c r="G73" s="778">
        <v>0.33803240740740742</v>
      </c>
      <c r="H73" s="779">
        <v>0.70765046296296286</v>
      </c>
      <c r="I73" s="778">
        <v>0.3414814814814815</v>
      </c>
      <c r="J73" s="777" t="s">
        <v>350</v>
      </c>
      <c r="K73" s="780" t="s">
        <v>504</v>
      </c>
      <c r="L73" s="779">
        <v>0.70589120370370362</v>
      </c>
      <c r="M73" s="780" t="s">
        <v>404</v>
      </c>
      <c r="N73" s="777" t="s">
        <v>534</v>
      </c>
      <c r="O73" s="780"/>
      <c r="P73" s="777"/>
      <c r="Q73" s="768"/>
      <c r="R73" s="769"/>
    </row>
  </sheetData>
  <mergeCells count="67">
    <mergeCell ref="G62:H62"/>
    <mergeCell ref="I62:J62"/>
    <mergeCell ref="E54:F54"/>
    <mergeCell ref="G54:H54"/>
    <mergeCell ref="I54:J54"/>
    <mergeCell ref="E59:F59"/>
    <mergeCell ref="G59:H59"/>
    <mergeCell ref="I59:J59"/>
    <mergeCell ref="E41:F41"/>
    <mergeCell ref="G41:H41"/>
    <mergeCell ref="I41:J41"/>
    <mergeCell ref="K41:L41"/>
    <mergeCell ref="M41:N41"/>
    <mergeCell ref="E38:F38"/>
    <mergeCell ref="G38:H38"/>
    <mergeCell ref="I38:J38"/>
    <mergeCell ref="K38:L38"/>
    <mergeCell ref="M38:N38"/>
    <mergeCell ref="K59:L59"/>
    <mergeCell ref="M59:N59"/>
    <mergeCell ref="E46:F46"/>
    <mergeCell ref="G46:H46"/>
    <mergeCell ref="I46:J46"/>
    <mergeCell ref="K46:L46"/>
    <mergeCell ref="M46:N46"/>
    <mergeCell ref="K54:L54"/>
    <mergeCell ref="M54:N54"/>
    <mergeCell ref="I55:J55"/>
    <mergeCell ref="K55:L55"/>
    <mergeCell ref="M55:N55"/>
    <mergeCell ref="E55:F55"/>
    <mergeCell ref="G55:H55"/>
    <mergeCell ref="A1:R1"/>
    <mergeCell ref="E17:F17"/>
    <mergeCell ref="G17:H17"/>
    <mergeCell ref="I17:J17"/>
    <mergeCell ref="K17:L17"/>
    <mergeCell ref="M17:N17"/>
    <mergeCell ref="M6:N6"/>
    <mergeCell ref="E23:F23"/>
    <mergeCell ref="O9:P9"/>
    <mergeCell ref="I9:J9"/>
    <mergeCell ref="O13:P13"/>
    <mergeCell ref="K19:L19"/>
    <mergeCell ref="E21:F21"/>
    <mergeCell ref="G21:H21"/>
    <mergeCell ref="E32:F32"/>
    <mergeCell ref="E33:F33"/>
    <mergeCell ref="G33:H33"/>
    <mergeCell ref="I33:J33"/>
    <mergeCell ref="K33:L33"/>
    <mergeCell ref="E45:F45"/>
    <mergeCell ref="E63:F63"/>
    <mergeCell ref="G63:H63"/>
    <mergeCell ref="K37:L37"/>
    <mergeCell ref="O23:P23"/>
    <mergeCell ref="K23:L23"/>
    <mergeCell ref="E31:F31"/>
    <mergeCell ref="G31:H31"/>
    <mergeCell ref="I31:J31"/>
    <mergeCell ref="K31:L31"/>
    <mergeCell ref="M31:N31"/>
    <mergeCell ref="E36:F36"/>
    <mergeCell ref="G36:H36"/>
    <mergeCell ref="I36:J36"/>
    <mergeCell ref="K36:L36"/>
    <mergeCell ref="M36:N36"/>
  </mergeCells>
  <pageMargins left="0" right="0" top="0" bottom="0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6"/>
  <sheetViews>
    <sheetView workbookViewId="0">
      <selection activeCell="M908" sqref="M908"/>
    </sheetView>
  </sheetViews>
  <sheetFormatPr baseColWidth="10" defaultRowHeight="14.4" x14ac:dyDescent="0.3"/>
  <cols>
    <col min="1" max="1" width="18.6640625" customWidth="1"/>
  </cols>
  <sheetData>
    <row r="1" spans="1:6" x14ac:dyDescent="0.3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</row>
    <row r="2" spans="1:6" x14ac:dyDescent="0.3">
      <c r="A2" s="700">
        <v>45837.971909722219</v>
      </c>
      <c r="B2">
        <v>542361075</v>
      </c>
      <c r="C2" t="s">
        <v>293</v>
      </c>
      <c r="D2" t="s">
        <v>294</v>
      </c>
      <c r="E2">
        <v>94</v>
      </c>
      <c r="F2" t="s">
        <v>295</v>
      </c>
    </row>
    <row r="3" spans="1:6" x14ac:dyDescent="0.3">
      <c r="A3" s="700">
        <v>45837.647372685184</v>
      </c>
      <c r="B3">
        <v>542361075</v>
      </c>
      <c r="C3" t="s">
        <v>293</v>
      </c>
      <c r="D3" t="s">
        <v>294</v>
      </c>
      <c r="E3">
        <v>239</v>
      </c>
      <c r="F3" t="s">
        <v>295</v>
      </c>
    </row>
    <row r="4" spans="1:6" x14ac:dyDescent="0.3">
      <c r="A4" s="700">
        <v>45837.647303240738</v>
      </c>
      <c r="B4">
        <v>542361075</v>
      </c>
      <c r="C4" t="s">
        <v>293</v>
      </c>
      <c r="D4" t="s">
        <v>294</v>
      </c>
      <c r="E4">
        <v>73</v>
      </c>
      <c r="F4" t="s">
        <v>295</v>
      </c>
    </row>
    <row r="5" spans="1:6" x14ac:dyDescent="0.3">
      <c r="A5" s="700">
        <v>45837.647256944445</v>
      </c>
      <c r="B5">
        <v>542361075</v>
      </c>
      <c r="C5" t="s">
        <v>293</v>
      </c>
      <c r="D5" t="s">
        <v>294</v>
      </c>
      <c r="E5">
        <v>230</v>
      </c>
      <c r="F5" t="s">
        <v>295</v>
      </c>
    </row>
    <row r="6" spans="1:6" x14ac:dyDescent="0.3">
      <c r="A6" s="700">
        <v>45837.352118055554</v>
      </c>
      <c r="B6">
        <v>542361075</v>
      </c>
      <c r="C6" t="s">
        <v>293</v>
      </c>
      <c r="D6" t="s">
        <v>294</v>
      </c>
      <c r="E6">
        <v>239</v>
      </c>
      <c r="F6" t="s">
        <v>295</v>
      </c>
    </row>
    <row r="7" spans="1:6" x14ac:dyDescent="0.3">
      <c r="A7" s="700">
        <v>45837.352071759262</v>
      </c>
      <c r="B7">
        <v>542361075</v>
      </c>
      <c r="C7" t="s">
        <v>293</v>
      </c>
      <c r="D7" t="s">
        <v>294</v>
      </c>
      <c r="E7">
        <v>230</v>
      </c>
      <c r="F7" t="s">
        <v>295</v>
      </c>
    </row>
    <row r="8" spans="1:6" x14ac:dyDescent="0.3">
      <c r="A8" s="700">
        <v>45837.339942129627</v>
      </c>
      <c r="B8">
        <v>542361075</v>
      </c>
      <c r="C8" t="s">
        <v>293</v>
      </c>
      <c r="D8" t="s">
        <v>294</v>
      </c>
      <c r="E8">
        <v>73</v>
      </c>
      <c r="F8" t="s">
        <v>295</v>
      </c>
    </row>
    <row r="9" spans="1:6" x14ac:dyDescent="0.3">
      <c r="A9" s="700">
        <v>45837.322604166664</v>
      </c>
      <c r="B9">
        <v>542361075</v>
      </c>
      <c r="C9" t="s">
        <v>293</v>
      </c>
      <c r="D9" t="s">
        <v>294</v>
      </c>
      <c r="E9">
        <v>35</v>
      </c>
      <c r="F9" t="s">
        <v>295</v>
      </c>
    </row>
    <row r="10" spans="1:6" x14ac:dyDescent="0.3">
      <c r="A10" s="700">
        <v>45837.314699074072</v>
      </c>
      <c r="B10">
        <v>542361075</v>
      </c>
      <c r="C10" t="s">
        <v>293</v>
      </c>
      <c r="D10" t="s">
        <v>294</v>
      </c>
      <c r="E10">
        <v>63</v>
      </c>
      <c r="F10" t="s">
        <v>295</v>
      </c>
    </row>
    <row r="11" spans="1:6" x14ac:dyDescent="0.3">
      <c r="A11" s="700">
        <v>45837.314652777779</v>
      </c>
      <c r="B11">
        <v>542361075</v>
      </c>
      <c r="C11" t="s">
        <v>293</v>
      </c>
      <c r="D11" t="s">
        <v>294</v>
      </c>
      <c r="E11">
        <v>94</v>
      </c>
      <c r="F11" t="s">
        <v>295</v>
      </c>
    </row>
    <row r="12" spans="1:6" x14ac:dyDescent="0.3">
      <c r="A12" s="700">
        <v>45837.284050925926</v>
      </c>
      <c r="B12">
        <v>542361075</v>
      </c>
      <c r="C12" t="s">
        <v>293</v>
      </c>
      <c r="F12" t="s">
        <v>444</v>
      </c>
    </row>
    <row r="13" spans="1:6" x14ac:dyDescent="0.3">
      <c r="A13" s="700">
        <v>45837.283912037034</v>
      </c>
      <c r="B13">
        <v>542361075</v>
      </c>
      <c r="C13" t="s">
        <v>293</v>
      </c>
      <c r="F13" t="s">
        <v>445</v>
      </c>
    </row>
    <row r="14" spans="1:6" x14ac:dyDescent="0.3">
      <c r="A14" s="700">
        <v>45837.283912037034</v>
      </c>
      <c r="B14">
        <v>542361075</v>
      </c>
      <c r="C14" t="s">
        <v>293</v>
      </c>
      <c r="F14" t="s">
        <v>297</v>
      </c>
    </row>
    <row r="15" spans="1:6" x14ac:dyDescent="0.3">
      <c r="A15" s="700">
        <v>45836.973310185182</v>
      </c>
      <c r="B15">
        <v>542361075</v>
      </c>
      <c r="C15" t="s">
        <v>293</v>
      </c>
      <c r="D15" t="s">
        <v>294</v>
      </c>
      <c r="E15">
        <v>94</v>
      </c>
      <c r="F15" t="s">
        <v>295</v>
      </c>
    </row>
    <row r="16" spans="1:6" x14ac:dyDescent="0.3">
      <c r="A16" s="700">
        <v>45836.85597222222</v>
      </c>
      <c r="B16">
        <v>542361075</v>
      </c>
      <c r="C16" t="s">
        <v>293</v>
      </c>
      <c r="D16" t="s">
        <v>294</v>
      </c>
      <c r="E16">
        <v>70</v>
      </c>
      <c r="F16" t="s">
        <v>295</v>
      </c>
    </row>
    <row r="17" spans="1:6" x14ac:dyDescent="0.3">
      <c r="A17" s="700">
        <v>45836.855914351851</v>
      </c>
      <c r="B17">
        <v>542361075</v>
      </c>
      <c r="C17" t="s">
        <v>293</v>
      </c>
      <c r="D17" t="s">
        <v>294</v>
      </c>
      <c r="E17">
        <v>30</v>
      </c>
      <c r="F17" t="s">
        <v>295</v>
      </c>
    </row>
    <row r="18" spans="1:6" x14ac:dyDescent="0.3">
      <c r="A18" s="700">
        <v>45836.855543981481</v>
      </c>
      <c r="B18">
        <v>542361075</v>
      </c>
      <c r="C18" t="s">
        <v>293</v>
      </c>
      <c r="D18" t="s">
        <v>294</v>
      </c>
      <c r="E18">
        <v>158</v>
      </c>
      <c r="F18" t="s">
        <v>295</v>
      </c>
    </row>
    <row r="19" spans="1:6" x14ac:dyDescent="0.3">
      <c r="A19" s="700">
        <v>45836.85496527778</v>
      </c>
      <c r="B19">
        <v>542361075</v>
      </c>
      <c r="C19" t="s">
        <v>293</v>
      </c>
      <c r="D19" t="s">
        <v>294</v>
      </c>
      <c r="E19">
        <v>235</v>
      </c>
      <c r="F19" t="s">
        <v>295</v>
      </c>
    </row>
    <row r="20" spans="1:6" x14ac:dyDescent="0.3">
      <c r="A20" s="700">
        <v>45836.854305555556</v>
      </c>
      <c r="B20">
        <v>542361075</v>
      </c>
      <c r="C20" t="s">
        <v>293</v>
      </c>
      <c r="D20" t="s">
        <v>294</v>
      </c>
      <c r="E20">
        <v>271</v>
      </c>
      <c r="F20" t="s">
        <v>295</v>
      </c>
    </row>
    <row r="21" spans="1:6" x14ac:dyDescent="0.3">
      <c r="A21" s="700">
        <v>45836.854201388887</v>
      </c>
      <c r="B21">
        <v>542361075</v>
      </c>
      <c r="C21" t="s">
        <v>293</v>
      </c>
      <c r="D21" t="s">
        <v>294</v>
      </c>
      <c r="E21">
        <v>264</v>
      </c>
      <c r="F21" t="s">
        <v>295</v>
      </c>
    </row>
    <row r="22" spans="1:6" x14ac:dyDescent="0.3">
      <c r="A22" s="700">
        <v>45836.854155092595</v>
      </c>
      <c r="B22">
        <v>542361075</v>
      </c>
      <c r="C22" t="s">
        <v>293</v>
      </c>
      <c r="D22" t="s">
        <v>294</v>
      </c>
      <c r="E22">
        <v>81</v>
      </c>
      <c r="F22" t="s">
        <v>295</v>
      </c>
    </row>
    <row r="23" spans="1:6" x14ac:dyDescent="0.3">
      <c r="A23" s="700">
        <v>45836.854097222225</v>
      </c>
      <c r="B23">
        <v>542361075</v>
      </c>
      <c r="C23" t="s">
        <v>293</v>
      </c>
      <c r="D23" t="s">
        <v>294</v>
      </c>
      <c r="E23">
        <v>212</v>
      </c>
      <c r="F23" t="s">
        <v>295</v>
      </c>
    </row>
    <row r="24" spans="1:6" x14ac:dyDescent="0.3">
      <c r="A24" s="700">
        <v>45836.852175925924</v>
      </c>
      <c r="B24">
        <v>542361075</v>
      </c>
      <c r="C24" t="s">
        <v>293</v>
      </c>
      <c r="D24" t="s">
        <v>294</v>
      </c>
      <c r="E24">
        <v>169</v>
      </c>
      <c r="F24" t="s">
        <v>295</v>
      </c>
    </row>
    <row r="25" spans="1:6" x14ac:dyDescent="0.3">
      <c r="A25" s="700">
        <v>45836.852118055554</v>
      </c>
      <c r="B25">
        <v>542361075</v>
      </c>
      <c r="C25" t="s">
        <v>293</v>
      </c>
      <c r="D25" t="s">
        <v>294</v>
      </c>
      <c r="E25">
        <v>12</v>
      </c>
      <c r="F25" t="s">
        <v>295</v>
      </c>
    </row>
    <row r="26" spans="1:6" x14ac:dyDescent="0.3">
      <c r="A26" s="700">
        <v>45836.812881944446</v>
      </c>
      <c r="B26">
        <v>542361075</v>
      </c>
      <c r="C26" t="s">
        <v>293</v>
      </c>
      <c r="D26" t="s">
        <v>294</v>
      </c>
      <c r="E26">
        <v>264</v>
      </c>
      <c r="F26" t="s">
        <v>295</v>
      </c>
    </row>
    <row r="27" spans="1:6" x14ac:dyDescent="0.3">
      <c r="A27" s="700">
        <v>45836.791689814818</v>
      </c>
      <c r="B27">
        <v>542361075</v>
      </c>
      <c r="C27" t="s">
        <v>293</v>
      </c>
      <c r="D27" t="s">
        <v>294</v>
      </c>
      <c r="E27">
        <v>264</v>
      </c>
      <c r="F27" t="s">
        <v>295</v>
      </c>
    </row>
    <row r="28" spans="1:6" x14ac:dyDescent="0.3">
      <c r="A28" s="700">
        <v>45836.776724537034</v>
      </c>
      <c r="B28">
        <v>542361075</v>
      </c>
      <c r="C28" t="s">
        <v>293</v>
      </c>
      <c r="D28" t="s">
        <v>294</v>
      </c>
      <c r="E28">
        <v>107</v>
      </c>
      <c r="F28" t="s">
        <v>295</v>
      </c>
    </row>
    <row r="29" spans="1:6" x14ac:dyDescent="0.3">
      <c r="A29" s="700">
        <v>45836.77542824074</v>
      </c>
      <c r="B29">
        <v>542361075</v>
      </c>
      <c r="C29" t="s">
        <v>293</v>
      </c>
      <c r="D29" t="s">
        <v>294</v>
      </c>
      <c r="E29">
        <v>107</v>
      </c>
      <c r="F29" t="s">
        <v>295</v>
      </c>
    </row>
    <row r="30" spans="1:6" x14ac:dyDescent="0.3">
      <c r="A30" s="700">
        <v>45836.684884259259</v>
      </c>
      <c r="B30">
        <v>542361075</v>
      </c>
      <c r="C30" t="s">
        <v>293</v>
      </c>
      <c r="D30" t="s">
        <v>294</v>
      </c>
      <c r="E30">
        <v>63</v>
      </c>
      <c r="F30" t="s">
        <v>295</v>
      </c>
    </row>
    <row r="31" spans="1:6" x14ac:dyDescent="0.3">
      <c r="A31" s="700">
        <v>45836.656909722224</v>
      </c>
      <c r="B31">
        <v>542361075</v>
      </c>
      <c r="C31" t="s">
        <v>293</v>
      </c>
      <c r="D31" t="s">
        <v>294</v>
      </c>
      <c r="E31">
        <v>12</v>
      </c>
      <c r="F31" t="s">
        <v>295</v>
      </c>
    </row>
    <row r="32" spans="1:6" x14ac:dyDescent="0.3">
      <c r="A32" s="700">
        <v>45836.656793981485</v>
      </c>
      <c r="B32">
        <v>542361075</v>
      </c>
      <c r="C32" t="s">
        <v>293</v>
      </c>
      <c r="D32" t="s">
        <v>294</v>
      </c>
      <c r="E32">
        <v>19</v>
      </c>
      <c r="F32" t="s">
        <v>295</v>
      </c>
    </row>
    <row r="33" spans="1:6" x14ac:dyDescent="0.3">
      <c r="A33" s="700">
        <v>45836.656736111108</v>
      </c>
      <c r="B33">
        <v>542361075</v>
      </c>
      <c r="C33" t="s">
        <v>293</v>
      </c>
      <c r="F33" t="s">
        <v>296</v>
      </c>
    </row>
    <row r="34" spans="1:6" x14ac:dyDescent="0.3">
      <c r="A34" s="700">
        <v>45836.656631944446</v>
      </c>
      <c r="B34">
        <v>542361075</v>
      </c>
      <c r="C34" t="s">
        <v>293</v>
      </c>
      <c r="D34" t="s">
        <v>294</v>
      </c>
      <c r="E34">
        <v>247</v>
      </c>
      <c r="F34" t="s">
        <v>295</v>
      </c>
    </row>
    <row r="35" spans="1:6" x14ac:dyDescent="0.3">
      <c r="A35" s="700">
        <v>45836.656585648147</v>
      </c>
      <c r="B35">
        <v>542361075</v>
      </c>
      <c r="C35" t="s">
        <v>293</v>
      </c>
      <c r="F35" t="s">
        <v>296</v>
      </c>
    </row>
    <row r="36" spans="1:6" x14ac:dyDescent="0.3">
      <c r="A36" s="700">
        <v>45836.651562500003</v>
      </c>
      <c r="B36">
        <v>542361075</v>
      </c>
      <c r="C36" t="s">
        <v>293</v>
      </c>
      <c r="D36" t="s">
        <v>294</v>
      </c>
      <c r="E36">
        <v>158</v>
      </c>
      <c r="F36" t="s">
        <v>295</v>
      </c>
    </row>
    <row r="37" spans="1:6" x14ac:dyDescent="0.3">
      <c r="A37" s="700">
        <v>45836.65</v>
      </c>
      <c r="B37">
        <v>542361075</v>
      </c>
      <c r="C37" t="s">
        <v>293</v>
      </c>
      <c r="D37" t="s">
        <v>294</v>
      </c>
      <c r="E37">
        <v>271</v>
      </c>
      <c r="F37" t="s">
        <v>295</v>
      </c>
    </row>
    <row r="38" spans="1:6" x14ac:dyDescent="0.3">
      <c r="A38" s="700">
        <v>45836.648194444446</v>
      </c>
      <c r="B38">
        <v>542361075</v>
      </c>
      <c r="C38" t="s">
        <v>293</v>
      </c>
      <c r="D38" t="s">
        <v>294</v>
      </c>
      <c r="E38">
        <v>51</v>
      </c>
      <c r="F38" t="s">
        <v>295</v>
      </c>
    </row>
    <row r="39" spans="1:6" x14ac:dyDescent="0.3">
      <c r="A39" s="700">
        <v>45836.647812499999</v>
      </c>
      <c r="B39">
        <v>542361075</v>
      </c>
      <c r="C39" t="s">
        <v>293</v>
      </c>
      <c r="D39" t="s">
        <v>294</v>
      </c>
      <c r="E39">
        <v>220</v>
      </c>
      <c r="F39" t="s">
        <v>295</v>
      </c>
    </row>
    <row r="40" spans="1:6" x14ac:dyDescent="0.3">
      <c r="A40" s="700">
        <v>45836.647546296299</v>
      </c>
      <c r="B40">
        <v>542361075</v>
      </c>
      <c r="C40" t="s">
        <v>293</v>
      </c>
      <c r="D40" t="s">
        <v>294</v>
      </c>
      <c r="E40">
        <v>141</v>
      </c>
      <c r="F40" t="s">
        <v>295</v>
      </c>
    </row>
    <row r="41" spans="1:6" x14ac:dyDescent="0.3">
      <c r="A41" s="700">
        <v>45836.647511574076</v>
      </c>
      <c r="B41">
        <v>542361075</v>
      </c>
      <c r="C41" t="s">
        <v>293</v>
      </c>
      <c r="D41" t="s">
        <v>294</v>
      </c>
      <c r="E41">
        <v>145</v>
      </c>
      <c r="F41" t="s">
        <v>295</v>
      </c>
    </row>
    <row r="42" spans="1:6" x14ac:dyDescent="0.3">
      <c r="A42" s="700">
        <v>45836.647407407407</v>
      </c>
      <c r="B42">
        <v>542361075</v>
      </c>
      <c r="C42" t="s">
        <v>293</v>
      </c>
      <c r="D42" t="s">
        <v>294</v>
      </c>
      <c r="E42">
        <v>30</v>
      </c>
      <c r="F42" t="s">
        <v>295</v>
      </c>
    </row>
    <row r="43" spans="1:6" x14ac:dyDescent="0.3">
      <c r="A43" s="700">
        <v>45836.646805555552</v>
      </c>
      <c r="B43">
        <v>542361075</v>
      </c>
      <c r="C43" t="s">
        <v>293</v>
      </c>
      <c r="D43" t="s">
        <v>294</v>
      </c>
      <c r="E43">
        <v>262</v>
      </c>
      <c r="F43" t="s">
        <v>295</v>
      </c>
    </row>
    <row r="44" spans="1:6" x14ac:dyDescent="0.3">
      <c r="A44" s="700">
        <v>45836.646770833337</v>
      </c>
      <c r="B44">
        <v>542361075</v>
      </c>
      <c r="C44" t="s">
        <v>293</v>
      </c>
      <c r="D44" t="s">
        <v>294</v>
      </c>
      <c r="E44">
        <v>230</v>
      </c>
      <c r="F44" t="s">
        <v>295</v>
      </c>
    </row>
    <row r="45" spans="1:6" x14ac:dyDescent="0.3">
      <c r="A45" s="700">
        <v>45836.646724537037</v>
      </c>
      <c r="B45">
        <v>542361075</v>
      </c>
      <c r="C45" t="s">
        <v>293</v>
      </c>
      <c r="D45" t="s">
        <v>294</v>
      </c>
      <c r="E45">
        <v>239</v>
      </c>
      <c r="F45" t="s">
        <v>295</v>
      </c>
    </row>
    <row r="46" spans="1:6" x14ac:dyDescent="0.3">
      <c r="A46" s="700">
        <v>45836.646666666667</v>
      </c>
      <c r="B46">
        <v>542361075</v>
      </c>
      <c r="C46" t="s">
        <v>293</v>
      </c>
      <c r="D46" t="s">
        <v>294</v>
      </c>
      <c r="E46">
        <v>241</v>
      </c>
      <c r="F46" t="s">
        <v>295</v>
      </c>
    </row>
    <row r="47" spans="1:6" x14ac:dyDescent="0.3">
      <c r="A47" s="700">
        <v>45836.646620370368</v>
      </c>
      <c r="B47">
        <v>542361075</v>
      </c>
      <c r="C47" t="s">
        <v>293</v>
      </c>
      <c r="D47" t="s">
        <v>294</v>
      </c>
      <c r="E47">
        <v>73</v>
      </c>
      <c r="F47" t="s">
        <v>295</v>
      </c>
    </row>
    <row r="48" spans="1:6" x14ac:dyDescent="0.3">
      <c r="A48" s="700">
        <v>45836.646574074075</v>
      </c>
      <c r="B48">
        <v>542361075</v>
      </c>
      <c r="C48" t="s">
        <v>293</v>
      </c>
      <c r="D48" t="s">
        <v>294</v>
      </c>
      <c r="E48">
        <v>81</v>
      </c>
      <c r="F48" t="s">
        <v>295</v>
      </c>
    </row>
    <row r="49" spans="1:6" x14ac:dyDescent="0.3">
      <c r="A49" s="700">
        <v>45836.646469907406</v>
      </c>
      <c r="B49">
        <v>542361075</v>
      </c>
      <c r="C49" t="s">
        <v>293</v>
      </c>
      <c r="D49" t="s">
        <v>294</v>
      </c>
      <c r="E49">
        <v>70</v>
      </c>
      <c r="F49" t="s">
        <v>295</v>
      </c>
    </row>
    <row r="50" spans="1:6" x14ac:dyDescent="0.3">
      <c r="A50" s="700">
        <v>45836.64471064815</v>
      </c>
      <c r="B50">
        <v>542361075</v>
      </c>
      <c r="C50" t="s">
        <v>293</v>
      </c>
      <c r="D50" t="s">
        <v>294</v>
      </c>
      <c r="E50">
        <v>107</v>
      </c>
      <c r="F50" t="s">
        <v>295</v>
      </c>
    </row>
    <row r="51" spans="1:6" x14ac:dyDescent="0.3">
      <c r="A51" s="700">
        <v>45836.644432870373</v>
      </c>
      <c r="B51">
        <v>542361075</v>
      </c>
      <c r="C51" t="s">
        <v>293</v>
      </c>
      <c r="D51" t="s">
        <v>294</v>
      </c>
      <c r="E51">
        <v>235</v>
      </c>
      <c r="F51" t="s">
        <v>295</v>
      </c>
    </row>
    <row r="52" spans="1:6" x14ac:dyDescent="0.3">
      <c r="A52" s="700">
        <v>45836.644178240742</v>
      </c>
      <c r="B52">
        <v>542361075</v>
      </c>
      <c r="C52" t="s">
        <v>293</v>
      </c>
      <c r="D52" t="s">
        <v>294</v>
      </c>
      <c r="E52">
        <v>212</v>
      </c>
      <c r="F52" t="s">
        <v>295</v>
      </c>
    </row>
    <row r="53" spans="1:6" x14ac:dyDescent="0.3">
      <c r="A53" s="700">
        <v>45836.643703703703</v>
      </c>
      <c r="B53">
        <v>542361075</v>
      </c>
      <c r="C53" t="s">
        <v>293</v>
      </c>
      <c r="D53" t="s">
        <v>294</v>
      </c>
      <c r="E53">
        <v>169</v>
      </c>
      <c r="F53" t="s">
        <v>295</v>
      </c>
    </row>
    <row r="54" spans="1:6" x14ac:dyDescent="0.3">
      <c r="A54" s="700">
        <v>45836.635289351849</v>
      </c>
      <c r="B54">
        <v>542361075</v>
      </c>
      <c r="C54" t="s">
        <v>293</v>
      </c>
      <c r="D54" t="s">
        <v>294</v>
      </c>
      <c r="E54">
        <v>264</v>
      </c>
      <c r="F54" t="s">
        <v>295</v>
      </c>
    </row>
    <row r="55" spans="1:6" x14ac:dyDescent="0.3">
      <c r="A55" s="700">
        <v>45836.529687499999</v>
      </c>
      <c r="B55">
        <v>542361075</v>
      </c>
      <c r="C55" t="s">
        <v>293</v>
      </c>
      <c r="D55" t="s">
        <v>294</v>
      </c>
      <c r="E55">
        <v>256</v>
      </c>
      <c r="F55" t="s">
        <v>295</v>
      </c>
    </row>
    <row r="56" spans="1:6" x14ac:dyDescent="0.3">
      <c r="A56" s="700">
        <v>45836.329363425924</v>
      </c>
      <c r="B56">
        <v>542361075</v>
      </c>
      <c r="C56" t="s">
        <v>293</v>
      </c>
      <c r="D56" t="s">
        <v>294</v>
      </c>
      <c r="E56">
        <v>256</v>
      </c>
      <c r="F56" t="s">
        <v>295</v>
      </c>
    </row>
    <row r="57" spans="1:6" x14ac:dyDescent="0.3">
      <c r="A57" s="700">
        <v>45836.328379629631</v>
      </c>
      <c r="B57">
        <v>542361075</v>
      </c>
      <c r="C57" t="s">
        <v>293</v>
      </c>
      <c r="D57" t="s">
        <v>294</v>
      </c>
      <c r="E57">
        <v>35</v>
      </c>
      <c r="F57" t="s">
        <v>295</v>
      </c>
    </row>
    <row r="58" spans="1:6" x14ac:dyDescent="0.3">
      <c r="A58" s="700">
        <v>45836.328344907408</v>
      </c>
      <c r="B58">
        <v>542361075</v>
      </c>
      <c r="C58" t="s">
        <v>293</v>
      </c>
      <c r="D58" t="s">
        <v>294</v>
      </c>
      <c r="E58">
        <v>35</v>
      </c>
      <c r="F58" t="s">
        <v>295</v>
      </c>
    </row>
    <row r="59" spans="1:6" x14ac:dyDescent="0.3">
      <c r="A59" s="700">
        <v>45836.324490740742</v>
      </c>
      <c r="B59">
        <v>542361075</v>
      </c>
      <c r="C59" t="s">
        <v>293</v>
      </c>
      <c r="D59" t="s">
        <v>294</v>
      </c>
      <c r="E59">
        <v>19</v>
      </c>
      <c r="F59" t="s">
        <v>295</v>
      </c>
    </row>
    <row r="60" spans="1:6" x14ac:dyDescent="0.3">
      <c r="A60" s="700">
        <v>45836.324456018519</v>
      </c>
      <c r="B60">
        <v>542361075</v>
      </c>
      <c r="C60" t="s">
        <v>293</v>
      </c>
      <c r="D60" t="s">
        <v>294</v>
      </c>
      <c r="E60">
        <v>145</v>
      </c>
      <c r="F60" t="s">
        <v>295</v>
      </c>
    </row>
    <row r="61" spans="1:6" x14ac:dyDescent="0.3">
      <c r="A61" s="700">
        <v>45836.323587962965</v>
      </c>
      <c r="B61">
        <v>542361075</v>
      </c>
      <c r="C61" t="s">
        <v>293</v>
      </c>
      <c r="D61" t="s">
        <v>294</v>
      </c>
      <c r="E61">
        <v>94</v>
      </c>
      <c r="F61" t="s">
        <v>295</v>
      </c>
    </row>
    <row r="62" spans="1:6" x14ac:dyDescent="0.3">
      <c r="A62" s="700">
        <v>45836.322800925926</v>
      </c>
      <c r="B62">
        <v>542361075</v>
      </c>
      <c r="C62" t="s">
        <v>293</v>
      </c>
      <c r="D62" t="s">
        <v>294</v>
      </c>
      <c r="E62">
        <v>9</v>
      </c>
      <c r="F62" t="s">
        <v>295</v>
      </c>
    </row>
    <row r="63" spans="1:6" x14ac:dyDescent="0.3">
      <c r="A63" s="700">
        <v>45836.319884259261</v>
      </c>
      <c r="B63">
        <v>542361075</v>
      </c>
      <c r="C63" t="s">
        <v>293</v>
      </c>
      <c r="D63" t="s">
        <v>294</v>
      </c>
      <c r="E63">
        <v>159</v>
      </c>
      <c r="F63" t="s">
        <v>295</v>
      </c>
    </row>
    <row r="64" spans="1:6" x14ac:dyDescent="0.3">
      <c r="A64" s="700">
        <v>45836.319374999999</v>
      </c>
      <c r="B64">
        <v>542361075</v>
      </c>
      <c r="C64" t="s">
        <v>293</v>
      </c>
      <c r="D64" t="s">
        <v>294</v>
      </c>
      <c r="E64">
        <v>269</v>
      </c>
      <c r="F64" t="s">
        <v>295</v>
      </c>
    </row>
    <row r="65" spans="1:6" x14ac:dyDescent="0.3">
      <c r="A65" s="700">
        <v>45836.318680555552</v>
      </c>
      <c r="B65">
        <v>542361075</v>
      </c>
      <c r="C65" t="s">
        <v>293</v>
      </c>
      <c r="D65" t="s">
        <v>294</v>
      </c>
      <c r="E65">
        <v>239</v>
      </c>
      <c r="F65" t="s">
        <v>295</v>
      </c>
    </row>
    <row r="66" spans="1:6" x14ac:dyDescent="0.3">
      <c r="A66" s="700">
        <v>45836.318611111114</v>
      </c>
      <c r="B66">
        <v>542361075</v>
      </c>
      <c r="C66" t="s">
        <v>293</v>
      </c>
      <c r="D66" t="s">
        <v>294</v>
      </c>
      <c r="E66">
        <v>230</v>
      </c>
      <c r="F66" t="s">
        <v>295</v>
      </c>
    </row>
    <row r="67" spans="1:6" x14ac:dyDescent="0.3">
      <c r="A67" s="700">
        <v>45836.316805555558</v>
      </c>
      <c r="B67">
        <v>542361075</v>
      </c>
      <c r="C67" t="s">
        <v>293</v>
      </c>
      <c r="D67" t="s">
        <v>294</v>
      </c>
      <c r="E67">
        <v>226</v>
      </c>
      <c r="F67" t="s">
        <v>295</v>
      </c>
    </row>
    <row r="68" spans="1:6" x14ac:dyDescent="0.3">
      <c r="A68" s="700">
        <v>45836.316643518519</v>
      </c>
      <c r="B68">
        <v>542361075</v>
      </c>
      <c r="C68" t="s">
        <v>293</v>
      </c>
      <c r="D68" t="s">
        <v>294</v>
      </c>
      <c r="E68">
        <v>75</v>
      </c>
      <c r="F68" t="s">
        <v>295</v>
      </c>
    </row>
    <row r="69" spans="1:6" x14ac:dyDescent="0.3">
      <c r="A69" s="700">
        <v>45836.31659722222</v>
      </c>
      <c r="B69">
        <v>542361075</v>
      </c>
      <c r="C69" t="s">
        <v>293</v>
      </c>
      <c r="D69" t="s">
        <v>294</v>
      </c>
      <c r="E69">
        <v>220</v>
      </c>
      <c r="F69" t="s">
        <v>295</v>
      </c>
    </row>
    <row r="70" spans="1:6" x14ac:dyDescent="0.3">
      <c r="A70" s="700">
        <v>45836.316423611112</v>
      </c>
      <c r="B70">
        <v>542361075</v>
      </c>
      <c r="C70" t="s">
        <v>293</v>
      </c>
      <c r="D70" t="s">
        <v>294</v>
      </c>
      <c r="E70">
        <v>51</v>
      </c>
      <c r="F70" t="s">
        <v>295</v>
      </c>
    </row>
    <row r="71" spans="1:6" x14ac:dyDescent="0.3">
      <c r="A71" s="700">
        <v>45836.315601851849</v>
      </c>
      <c r="B71">
        <v>542361075</v>
      </c>
      <c r="C71" t="s">
        <v>293</v>
      </c>
      <c r="D71" t="s">
        <v>294</v>
      </c>
      <c r="E71">
        <v>63</v>
      </c>
      <c r="F71" t="s">
        <v>295</v>
      </c>
    </row>
    <row r="72" spans="1:6" x14ac:dyDescent="0.3">
      <c r="A72" s="700">
        <v>45836.31449074074</v>
      </c>
      <c r="B72">
        <v>542361075</v>
      </c>
      <c r="C72" t="s">
        <v>293</v>
      </c>
      <c r="D72" t="s">
        <v>294</v>
      </c>
      <c r="E72">
        <v>267</v>
      </c>
      <c r="F72" t="s">
        <v>295</v>
      </c>
    </row>
    <row r="73" spans="1:6" x14ac:dyDescent="0.3">
      <c r="A73" s="700">
        <v>45836.314131944448</v>
      </c>
      <c r="B73">
        <v>542361075</v>
      </c>
      <c r="C73" t="s">
        <v>293</v>
      </c>
      <c r="D73" t="s">
        <v>294</v>
      </c>
      <c r="E73">
        <v>29</v>
      </c>
      <c r="F73" t="s">
        <v>295</v>
      </c>
    </row>
    <row r="74" spans="1:6" x14ac:dyDescent="0.3">
      <c r="A74" s="700">
        <v>45836.314074074071</v>
      </c>
      <c r="B74">
        <v>542361075</v>
      </c>
      <c r="C74" t="s">
        <v>293</v>
      </c>
      <c r="D74" t="s">
        <v>294</v>
      </c>
      <c r="E74">
        <v>74</v>
      </c>
      <c r="F74" t="s">
        <v>295</v>
      </c>
    </row>
    <row r="75" spans="1:6" x14ac:dyDescent="0.3">
      <c r="A75" s="700">
        <v>45836.313750000001</v>
      </c>
      <c r="B75">
        <v>542361075</v>
      </c>
      <c r="C75" t="s">
        <v>293</v>
      </c>
      <c r="D75" t="s">
        <v>294</v>
      </c>
      <c r="E75">
        <v>227</v>
      </c>
      <c r="F75" t="s">
        <v>295</v>
      </c>
    </row>
    <row r="76" spans="1:6" x14ac:dyDescent="0.3">
      <c r="A76" s="700">
        <v>45836.313703703701</v>
      </c>
      <c r="B76">
        <v>542361075</v>
      </c>
      <c r="C76" t="s">
        <v>293</v>
      </c>
      <c r="D76" t="s">
        <v>294</v>
      </c>
      <c r="E76">
        <v>210</v>
      </c>
      <c r="F76" t="s">
        <v>295</v>
      </c>
    </row>
    <row r="77" spans="1:6" x14ac:dyDescent="0.3">
      <c r="A77" s="700">
        <v>45836.31355324074</v>
      </c>
      <c r="B77">
        <v>542361075</v>
      </c>
      <c r="C77" t="s">
        <v>293</v>
      </c>
      <c r="D77" t="s">
        <v>294</v>
      </c>
      <c r="E77">
        <v>254</v>
      </c>
      <c r="F77" t="s">
        <v>295</v>
      </c>
    </row>
    <row r="78" spans="1:6" x14ac:dyDescent="0.3">
      <c r="A78" s="700">
        <v>45836.312939814816</v>
      </c>
      <c r="B78">
        <v>542361075</v>
      </c>
      <c r="C78" t="s">
        <v>293</v>
      </c>
      <c r="D78" t="s">
        <v>294</v>
      </c>
      <c r="E78">
        <v>118</v>
      </c>
      <c r="F78" t="s">
        <v>295</v>
      </c>
    </row>
    <row r="79" spans="1:6" x14ac:dyDescent="0.3">
      <c r="A79" s="700">
        <v>45836.312858796293</v>
      </c>
      <c r="B79">
        <v>542361075</v>
      </c>
      <c r="C79" t="s">
        <v>293</v>
      </c>
      <c r="D79" t="s">
        <v>294</v>
      </c>
      <c r="E79">
        <v>266</v>
      </c>
      <c r="F79" t="s">
        <v>295</v>
      </c>
    </row>
    <row r="80" spans="1:6" x14ac:dyDescent="0.3">
      <c r="A80" s="700">
        <v>45836.3128125</v>
      </c>
      <c r="B80">
        <v>542361075</v>
      </c>
      <c r="C80" t="s">
        <v>293</v>
      </c>
      <c r="D80" t="s">
        <v>294</v>
      </c>
      <c r="E80">
        <v>28</v>
      </c>
      <c r="F80" t="s">
        <v>295</v>
      </c>
    </row>
    <row r="81" spans="1:6" x14ac:dyDescent="0.3">
      <c r="A81" s="700">
        <v>45836.3127662037</v>
      </c>
      <c r="B81">
        <v>542361075</v>
      </c>
      <c r="C81" t="s">
        <v>293</v>
      </c>
      <c r="D81" t="s">
        <v>294</v>
      </c>
      <c r="E81">
        <v>59</v>
      </c>
      <c r="F81" t="s">
        <v>295</v>
      </c>
    </row>
    <row r="82" spans="1:6" x14ac:dyDescent="0.3">
      <c r="A82" s="700">
        <v>45836.312719907408</v>
      </c>
      <c r="B82">
        <v>542361075</v>
      </c>
      <c r="C82" t="s">
        <v>293</v>
      </c>
      <c r="D82" t="s">
        <v>294</v>
      </c>
      <c r="E82">
        <v>250</v>
      </c>
      <c r="F82" t="s">
        <v>295</v>
      </c>
    </row>
    <row r="83" spans="1:6" x14ac:dyDescent="0.3">
      <c r="A83" s="700">
        <v>45836.312673611108</v>
      </c>
      <c r="B83">
        <v>542361075</v>
      </c>
      <c r="C83" t="s">
        <v>293</v>
      </c>
      <c r="D83" t="s">
        <v>294</v>
      </c>
      <c r="E83">
        <v>228</v>
      </c>
      <c r="F83" t="s">
        <v>295</v>
      </c>
    </row>
    <row r="84" spans="1:6" x14ac:dyDescent="0.3">
      <c r="A84" s="700">
        <v>45836.312638888892</v>
      </c>
      <c r="B84">
        <v>542361075</v>
      </c>
      <c r="C84" t="s">
        <v>293</v>
      </c>
      <c r="D84" t="s">
        <v>294</v>
      </c>
      <c r="E84">
        <v>214</v>
      </c>
      <c r="F84" t="s">
        <v>295</v>
      </c>
    </row>
    <row r="85" spans="1:6" x14ac:dyDescent="0.3">
      <c r="A85" s="700">
        <v>45836.312581018516</v>
      </c>
      <c r="B85">
        <v>542361075</v>
      </c>
      <c r="C85" t="s">
        <v>293</v>
      </c>
      <c r="D85" t="s">
        <v>294</v>
      </c>
      <c r="E85">
        <v>215</v>
      </c>
      <c r="F85" t="s">
        <v>295</v>
      </c>
    </row>
    <row r="86" spans="1:6" x14ac:dyDescent="0.3">
      <c r="A86" s="700">
        <v>45836.3125462963</v>
      </c>
      <c r="B86">
        <v>542361075</v>
      </c>
      <c r="C86" t="s">
        <v>293</v>
      </c>
      <c r="D86" t="s">
        <v>294</v>
      </c>
      <c r="E86">
        <v>251</v>
      </c>
      <c r="F86" t="s">
        <v>295</v>
      </c>
    </row>
    <row r="87" spans="1:6" x14ac:dyDescent="0.3">
      <c r="A87" s="700">
        <v>45836.308958333335</v>
      </c>
      <c r="B87">
        <v>542361075</v>
      </c>
      <c r="C87" t="s">
        <v>293</v>
      </c>
      <c r="D87" t="s">
        <v>294</v>
      </c>
      <c r="E87">
        <v>141</v>
      </c>
      <c r="F87" t="s">
        <v>295</v>
      </c>
    </row>
    <row r="88" spans="1:6" x14ac:dyDescent="0.3">
      <c r="A88" s="700">
        <v>45836.307500000003</v>
      </c>
      <c r="B88">
        <v>542361075</v>
      </c>
      <c r="C88" t="s">
        <v>293</v>
      </c>
      <c r="D88" t="s">
        <v>294</v>
      </c>
      <c r="E88">
        <v>262</v>
      </c>
      <c r="F88" t="s">
        <v>295</v>
      </c>
    </row>
    <row r="89" spans="1:6" x14ac:dyDescent="0.3">
      <c r="A89" s="700">
        <v>45836.30746527778</v>
      </c>
      <c r="B89">
        <v>542361075</v>
      </c>
      <c r="C89" t="s">
        <v>293</v>
      </c>
      <c r="D89" t="s">
        <v>294</v>
      </c>
      <c r="E89">
        <v>73</v>
      </c>
      <c r="F89" t="s">
        <v>295</v>
      </c>
    </row>
    <row r="90" spans="1:6" x14ac:dyDescent="0.3">
      <c r="A90" s="700">
        <v>45836.291388888887</v>
      </c>
      <c r="B90">
        <v>542361075</v>
      </c>
      <c r="C90" t="s">
        <v>293</v>
      </c>
      <c r="D90" t="s">
        <v>294</v>
      </c>
      <c r="E90">
        <v>241</v>
      </c>
      <c r="F90" t="s">
        <v>295</v>
      </c>
    </row>
    <row r="91" spans="1:6" x14ac:dyDescent="0.3">
      <c r="A91" s="700">
        <v>45836.172777777778</v>
      </c>
      <c r="B91">
        <v>542361075</v>
      </c>
      <c r="C91" t="s">
        <v>293</v>
      </c>
      <c r="D91" t="s">
        <v>294</v>
      </c>
      <c r="E91">
        <v>9</v>
      </c>
      <c r="F91" t="s">
        <v>295</v>
      </c>
    </row>
    <row r="92" spans="1:6" x14ac:dyDescent="0.3">
      <c r="A92" s="700">
        <v>45836.172743055555</v>
      </c>
      <c r="B92">
        <v>542361075</v>
      </c>
      <c r="C92" t="s">
        <v>293</v>
      </c>
      <c r="D92" t="s">
        <v>294</v>
      </c>
      <c r="E92">
        <v>250</v>
      </c>
      <c r="F92" t="s">
        <v>295</v>
      </c>
    </row>
    <row r="93" spans="1:6" x14ac:dyDescent="0.3">
      <c r="A93" s="700">
        <v>45836.172696759262</v>
      </c>
      <c r="B93">
        <v>542361075</v>
      </c>
      <c r="C93" t="s">
        <v>293</v>
      </c>
      <c r="D93" t="s">
        <v>294</v>
      </c>
      <c r="E93">
        <v>159</v>
      </c>
      <c r="F93" t="s">
        <v>295</v>
      </c>
    </row>
    <row r="94" spans="1:6" x14ac:dyDescent="0.3">
      <c r="A94" s="700">
        <v>45836.163993055554</v>
      </c>
      <c r="B94">
        <v>542361075</v>
      </c>
      <c r="C94" t="s">
        <v>293</v>
      </c>
      <c r="D94" t="s">
        <v>294</v>
      </c>
      <c r="E94">
        <v>28</v>
      </c>
      <c r="F94" t="s">
        <v>295</v>
      </c>
    </row>
    <row r="95" spans="1:6" x14ac:dyDescent="0.3">
      <c r="A95" s="700">
        <v>45836.135393518518</v>
      </c>
      <c r="B95">
        <v>542361075</v>
      </c>
      <c r="C95" t="s">
        <v>293</v>
      </c>
      <c r="D95" t="s">
        <v>294</v>
      </c>
      <c r="E95">
        <v>159</v>
      </c>
      <c r="F95" t="s">
        <v>295</v>
      </c>
    </row>
    <row r="96" spans="1:6" x14ac:dyDescent="0.3">
      <c r="A96" s="700">
        <v>45836.135185185187</v>
      </c>
      <c r="B96">
        <v>542361075</v>
      </c>
      <c r="C96" t="s">
        <v>293</v>
      </c>
      <c r="D96" t="s">
        <v>294</v>
      </c>
      <c r="E96">
        <v>250</v>
      </c>
      <c r="F96" t="s">
        <v>295</v>
      </c>
    </row>
    <row r="97" spans="1:6" x14ac:dyDescent="0.3">
      <c r="A97" s="700">
        <v>45836.135104166664</v>
      </c>
      <c r="B97">
        <v>542361075</v>
      </c>
      <c r="C97" t="s">
        <v>293</v>
      </c>
      <c r="D97" t="s">
        <v>294</v>
      </c>
      <c r="E97">
        <v>9</v>
      </c>
      <c r="F97" t="s">
        <v>295</v>
      </c>
    </row>
    <row r="98" spans="1:6" x14ac:dyDescent="0.3">
      <c r="A98" s="700">
        <v>45836.132754629631</v>
      </c>
      <c r="B98">
        <v>542361075</v>
      </c>
      <c r="C98" t="s">
        <v>293</v>
      </c>
      <c r="D98" t="s">
        <v>294</v>
      </c>
      <c r="E98">
        <v>75</v>
      </c>
      <c r="F98" t="s">
        <v>295</v>
      </c>
    </row>
    <row r="99" spans="1:6" x14ac:dyDescent="0.3">
      <c r="A99" s="700">
        <v>45836.132685185185</v>
      </c>
      <c r="B99">
        <v>542361075</v>
      </c>
      <c r="C99" t="s">
        <v>293</v>
      </c>
      <c r="D99" t="s">
        <v>294</v>
      </c>
      <c r="E99">
        <v>267</v>
      </c>
      <c r="F99" t="s">
        <v>295</v>
      </c>
    </row>
    <row r="100" spans="1:6" x14ac:dyDescent="0.3">
      <c r="A100" s="700">
        <v>45836.130694444444</v>
      </c>
      <c r="B100">
        <v>542361075</v>
      </c>
      <c r="C100" t="s">
        <v>293</v>
      </c>
      <c r="D100" t="s">
        <v>294</v>
      </c>
      <c r="E100">
        <v>28</v>
      </c>
      <c r="F100" t="s">
        <v>295</v>
      </c>
    </row>
    <row r="101" spans="1:6" x14ac:dyDescent="0.3">
      <c r="A101" s="700">
        <v>45836.124282407407</v>
      </c>
      <c r="B101">
        <v>542361075</v>
      </c>
      <c r="C101" t="s">
        <v>293</v>
      </c>
      <c r="D101" t="s">
        <v>294</v>
      </c>
      <c r="E101">
        <v>210</v>
      </c>
      <c r="F101" t="s">
        <v>295</v>
      </c>
    </row>
    <row r="102" spans="1:6" x14ac:dyDescent="0.3">
      <c r="A102" s="700">
        <v>45836.124189814815</v>
      </c>
      <c r="B102">
        <v>542361075</v>
      </c>
      <c r="C102" t="s">
        <v>293</v>
      </c>
      <c r="D102" t="s">
        <v>294</v>
      </c>
      <c r="E102">
        <v>228</v>
      </c>
      <c r="F102" t="s">
        <v>295</v>
      </c>
    </row>
    <row r="103" spans="1:6" x14ac:dyDescent="0.3">
      <c r="A103" s="700">
        <v>45836.109317129631</v>
      </c>
      <c r="B103">
        <v>542361075</v>
      </c>
      <c r="C103" t="s">
        <v>293</v>
      </c>
      <c r="D103" t="s">
        <v>294</v>
      </c>
      <c r="E103">
        <v>214</v>
      </c>
      <c r="F103" t="s">
        <v>295</v>
      </c>
    </row>
    <row r="104" spans="1:6" x14ac:dyDescent="0.3">
      <c r="A104" s="700">
        <v>45836.107256944444</v>
      </c>
      <c r="B104">
        <v>542361075</v>
      </c>
      <c r="C104" t="s">
        <v>293</v>
      </c>
      <c r="D104" t="s">
        <v>294</v>
      </c>
      <c r="E104">
        <v>75</v>
      </c>
      <c r="F104" t="s">
        <v>295</v>
      </c>
    </row>
    <row r="105" spans="1:6" x14ac:dyDescent="0.3">
      <c r="A105" s="700">
        <v>45836.107187499998</v>
      </c>
      <c r="B105">
        <v>542361075</v>
      </c>
      <c r="C105" t="s">
        <v>293</v>
      </c>
      <c r="D105" t="s">
        <v>294</v>
      </c>
      <c r="E105">
        <v>267</v>
      </c>
      <c r="F105" t="s">
        <v>295</v>
      </c>
    </row>
    <row r="106" spans="1:6" x14ac:dyDescent="0.3">
      <c r="A106" s="700">
        <v>45836.096365740741</v>
      </c>
      <c r="B106">
        <v>542361075</v>
      </c>
      <c r="C106" t="s">
        <v>293</v>
      </c>
      <c r="D106" t="s">
        <v>294</v>
      </c>
      <c r="E106">
        <v>227</v>
      </c>
      <c r="F106" t="s">
        <v>295</v>
      </c>
    </row>
    <row r="107" spans="1:6" x14ac:dyDescent="0.3">
      <c r="A107" s="700">
        <v>45836.092280092591</v>
      </c>
      <c r="B107">
        <v>542361075</v>
      </c>
      <c r="C107" t="s">
        <v>293</v>
      </c>
      <c r="D107" t="s">
        <v>294</v>
      </c>
      <c r="E107">
        <v>266</v>
      </c>
      <c r="F107" t="s">
        <v>295</v>
      </c>
    </row>
    <row r="108" spans="1:6" x14ac:dyDescent="0.3">
      <c r="A108" s="700">
        <v>45836.092233796298</v>
      </c>
      <c r="B108">
        <v>542361075</v>
      </c>
      <c r="C108" t="s">
        <v>293</v>
      </c>
      <c r="D108" t="s">
        <v>294</v>
      </c>
      <c r="E108">
        <v>210</v>
      </c>
      <c r="F108" t="s">
        <v>295</v>
      </c>
    </row>
    <row r="109" spans="1:6" x14ac:dyDescent="0.3">
      <c r="A109" s="700">
        <v>45836.091307870367</v>
      </c>
      <c r="B109">
        <v>542361075</v>
      </c>
      <c r="C109" t="s">
        <v>293</v>
      </c>
      <c r="D109" t="s">
        <v>294</v>
      </c>
      <c r="E109">
        <v>254</v>
      </c>
      <c r="F109" t="s">
        <v>295</v>
      </c>
    </row>
    <row r="110" spans="1:6" x14ac:dyDescent="0.3">
      <c r="A110" s="700">
        <v>45836.091273148151</v>
      </c>
      <c r="B110">
        <v>542361075</v>
      </c>
      <c r="C110" t="s">
        <v>293</v>
      </c>
      <c r="D110" t="s">
        <v>294</v>
      </c>
      <c r="E110">
        <v>118</v>
      </c>
      <c r="F110" t="s">
        <v>295</v>
      </c>
    </row>
    <row r="111" spans="1:6" x14ac:dyDescent="0.3">
      <c r="A111" s="700">
        <v>45836.089236111111</v>
      </c>
      <c r="B111">
        <v>542361075</v>
      </c>
      <c r="C111" t="s">
        <v>293</v>
      </c>
      <c r="D111" t="s">
        <v>294</v>
      </c>
      <c r="E111">
        <v>214</v>
      </c>
      <c r="F111" t="s">
        <v>295</v>
      </c>
    </row>
    <row r="112" spans="1:6" x14ac:dyDescent="0.3">
      <c r="A112" s="700">
        <v>45836.088680555556</v>
      </c>
      <c r="B112">
        <v>542361075</v>
      </c>
      <c r="C112" t="s">
        <v>293</v>
      </c>
      <c r="D112" t="s">
        <v>294</v>
      </c>
      <c r="E112">
        <v>29</v>
      </c>
      <c r="F112" t="s">
        <v>295</v>
      </c>
    </row>
    <row r="113" spans="1:6" x14ac:dyDescent="0.3">
      <c r="A113" s="700">
        <v>45836.088645833333</v>
      </c>
      <c r="B113">
        <v>542361075</v>
      </c>
      <c r="C113" t="s">
        <v>293</v>
      </c>
      <c r="D113" t="s">
        <v>294</v>
      </c>
      <c r="E113">
        <v>74</v>
      </c>
      <c r="F113" t="s">
        <v>295</v>
      </c>
    </row>
    <row r="114" spans="1:6" x14ac:dyDescent="0.3">
      <c r="A114" s="700">
        <v>45836.069606481484</v>
      </c>
      <c r="B114">
        <v>542361075</v>
      </c>
      <c r="C114" t="s">
        <v>293</v>
      </c>
      <c r="D114" t="s">
        <v>294</v>
      </c>
      <c r="E114">
        <v>254</v>
      </c>
      <c r="F114" t="s">
        <v>295</v>
      </c>
    </row>
    <row r="115" spans="1:6" x14ac:dyDescent="0.3">
      <c r="A115" s="700">
        <v>45836.069560185184</v>
      </c>
      <c r="B115">
        <v>542361075</v>
      </c>
      <c r="C115" t="s">
        <v>293</v>
      </c>
      <c r="D115" t="s">
        <v>294</v>
      </c>
      <c r="E115">
        <v>118</v>
      </c>
      <c r="F115" t="s">
        <v>295</v>
      </c>
    </row>
    <row r="116" spans="1:6" x14ac:dyDescent="0.3">
      <c r="A116" s="700">
        <v>45836.066840277781</v>
      </c>
      <c r="B116">
        <v>542361075</v>
      </c>
      <c r="C116" t="s">
        <v>293</v>
      </c>
      <c r="D116" t="s">
        <v>294</v>
      </c>
      <c r="E116">
        <v>29</v>
      </c>
      <c r="F116" t="s">
        <v>295</v>
      </c>
    </row>
    <row r="117" spans="1:6" x14ac:dyDescent="0.3">
      <c r="A117" s="700">
        <v>45836.066793981481</v>
      </c>
      <c r="B117">
        <v>542361075</v>
      </c>
      <c r="C117" t="s">
        <v>293</v>
      </c>
      <c r="D117" t="s">
        <v>294</v>
      </c>
      <c r="E117">
        <v>74</v>
      </c>
      <c r="F117" t="s">
        <v>295</v>
      </c>
    </row>
    <row r="118" spans="1:6" x14ac:dyDescent="0.3">
      <c r="A118" s="700">
        <v>45836.063275462962</v>
      </c>
      <c r="B118">
        <v>542361075</v>
      </c>
      <c r="C118" t="s">
        <v>293</v>
      </c>
      <c r="D118" t="s">
        <v>294</v>
      </c>
      <c r="E118">
        <v>215</v>
      </c>
      <c r="F118" t="s">
        <v>295</v>
      </c>
    </row>
    <row r="119" spans="1:6" x14ac:dyDescent="0.3">
      <c r="A119" s="700">
        <v>45836.063194444447</v>
      </c>
      <c r="B119">
        <v>542361075</v>
      </c>
      <c r="C119" t="s">
        <v>293</v>
      </c>
      <c r="F119" t="s">
        <v>296</v>
      </c>
    </row>
    <row r="120" spans="1:6" x14ac:dyDescent="0.3">
      <c r="A120" s="700">
        <v>45836.063125000001</v>
      </c>
      <c r="B120">
        <v>542361075</v>
      </c>
      <c r="C120" t="s">
        <v>293</v>
      </c>
      <c r="F120" t="s">
        <v>296</v>
      </c>
    </row>
    <row r="121" spans="1:6" x14ac:dyDescent="0.3">
      <c r="A121" s="700">
        <v>45836.047025462962</v>
      </c>
      <c r="B121">
        <v>542361075</v>
      </c>
      <c r="C121" t="s">
        <v>293</v>
      </c>
      <c r="D121" t="s">
        <v>294</v>
      </c>
      <c r="E121">
        <v>94</v>
      </c>
      <c r="F121" t="s">
        <v>295</v>
      </c>
    </row>
    <row r="122" spans="1:6" x14ac:dyDescent="0.3">
      <c r="A122" s="700">
        <v>45836.023692129631</v>
      </c>
      <c r="B122">
        <v>542361075</v>
      </c>
      <c r="C122" t="s">
        <v>293</v>
      </c>
      <c r="D122" t="s">
        <v>294</v>
      </c>
      <c r="E122">
        <v>94</v>
      </c>
      <c r="F122" t="s">
        <v>295</v>
      </c>
    </row>
    <row r="123" spans="1:6" x14ac:dyDescent="0.3">
      <c r="A123" s="700">
        <v>45835.993611111109</v>
      </c>
      <c r="B123">
        <v>542361075</v>
      </c>
      <c r="C123" t="s">
        <v>293</v>
      </c>
      <c r="D123" t="s">
        <v>294</v>
      </c>
      <c r="E123">
        <v>158</v>
      </c>
      <c r="F123" t="s">
        <v>295</v>
      </c>
    </row>
    <row r="124" spans="1:6" x14ac:dyDescent="0.3">
      <c r="A124" s="700">
        <v>45835.988865740743</v>
      </c>
      <c r="B124">
        <v>542361075</v>
      </c>
      <c r="C124" t="s">
        <v>293</v>
      </c>
      <c r="D124" t="s">
        <v>294</v>
      </c>
      <c r="E124">
        <v>81</v>
      </c>
      <c r="F124" t="s">
        <v>295</v>
      </c>
    </row>
    <row r="125" spans="1:6" x14ac:dyDescent="0.3">
      <c r="A125" s="700">
        <v>45835.986493055556</v>
      </c>
      <c r="B125">
        <v>542361075</v>
      </c>
      <c r="C125" t="s">
        <v>293</v>
      </c>
      <c r="D125" t="s">
        <v>294</v>
      </c>
      <c r="E125">
        <v>227</v>
      </c>
      <c r="F125" t="s">
        <v>295</v>
      </c>
    </row>
    <row r="126" spans="1:6" x14ac:dyDescent="0.3">
      <c r="A126" s="700">
        <v>45835.984050925923</v>
      </c>
      <c r="B126">
        <v>542361075</v>
      </c>
      <c r="C126" t="s">
        <v>293</v>
      </c>
      <c r="D126" t="s">
        <v>294</v>
      </c>
      <c r="E126">
        <v>228</v>
      </c>
      <c r="F126" t="s">
        <v>295</v>
      </c>
    </row>
    <row r="127" spans="1:6" x14ac:dyDescent="0.3">
      <c r="A127" s="700">
        <v>45835.984016203707</v>
      </c>
      <c r="B127">
        <v>542361075</v>
      </c>
      <c r="C127" t="s">
        <v>293</v>
      </c>
      <c r="D127" t="s">
        <v>294</v>
      </c>
      <c r="E127">
        <v>210</v>
      </c>
      <c r="F127" t="s">
        <v>295</v>
      </c>
    </row>
    <row r="128" spans="1:6" x14ac:dyDescent="0.3">
      <c r="A128" s="700">
        <v>45835.98238425926</v>
      </c>
      <c r="B128">
        <v>542361075</v>
      </c>
      <c r="C128" t="s">
        <v>293</v>
      </c>
      <c r="D128" t="s">
        <v>294</v>
      </c>
      <c r="E128">
        <v>169</v>
      </c>
      <c r="F128" t="s">
        <v>295</v>
      </c>
    </row>
    <row r="129" spans="1:6" x14ac:dyDescent="0.3">
      <c r="A129" s="700">
        <v>45835.982048611113</v>
      </c>
      <c r="B129">
        <v>542361075</v>
      </c>
      <c r="C129" t="s">
        <v>293</v>
      </c>
      <c r="D129" t="s">
        <v>294</v>
      </c>
      <c r="E129">
        <v>107</v>
      </c>
      <c r="F129" t="s">
        <v>295</v>
      </c>
    </row>
    <row r="130" spans="1:6" x14ac:dyDescent="0.3">
      <c r="A130" s="700">
        <v>45835.980162037034</v>
      </c>
      <c r="B130">
        <v>542361075</v>
      </c>
      <c r="C130" t="s">
        <v>293</v>
      </c>
      <c r="D130" t="s">
        <v>294</v>
      </c>
      <c r="E130">
        <v>75</v>
      </c>
      <c r="F130" t="s">
        <v>295</v>
      </c>
    </row>
    <row r="131" spans="1:6" x14ac:dyDescent="0.3">
      <c r="A131" s="700">
        <v>45835.979861111111</v>
      </c>
      <c r="B131">
        <v>542361075</v>
      </c>
      <c r="C131" t="s">
        <v>293</v>
      </c>
      <c r="D131" t="s">
        <v>294</v>
      </c>
      <c r="E131">
        <v>264</v>
      </c>
      <c r="F131" t="s">
        <v>295</v>
      </c>
    </row>
    <row r="132" spans="1:6" x14ac:dyDescent="0.3">
      <c r="A132" s="700">
        <v>45835.979537037034</v>
      </c>
      <c r="B132">
        <v>542361075</v>
      </c>
      <c r="C132" t="s">
        <v>293</v>
      </c>
      <c r="D132" t="s">
        <v>294</v>
      </c>
      <c r="E132">
        <v>70</v>
      </c>
      <c r="F132" t="s">
        <v>295</v>
      </c>
    </row>
    <row r="133" spans="1:6" x14ac:dyDescent="0.3">
      <c r="A133" s="700">
        <v>45835.979456018518</v>
      </c>
      <c r="B133">
        <v>542361075</v>
      </c>
      <c r="C133" t="s">
        <v>293</v>
      </c>
      <c r="D133" t="s">
        <v>294</v>
      </c>
      <c r="E133">
        <v>271</v>
      </c>
      <c r="F133" t="s">
        <v>295</v>
      </c>
    </row>
    <row r="134" spans="1:6" x14ac:dyDescent="0.3">
      <c r="A134" s="700">
        <v>45835.979398148149</v>
      </c>
      <c r="B134">
        <v>542361075</v>
      </c>
      <c r="C134" t="s">
        <v>293</v>
      </c>
      <c r="D134" t="s">
        <v>294</v>
      </c>
      <c r="E134">
        <v>212</v>
      </c>
      <c r="F134" t="s">
        <v>295</v>
      </c>
    </row>
    <row r="135" spans="1:6" x14ac:dyDescent="0.3">
      <c r="A135" s="700">
        <v>45835.979363425926</v>
      </c>
      <c r="B135">
        <v>542361075</v>
      </c>
      <c r="C135" t="s">
        <v>293</v>
      </c>
      <c r="D135" t="s">
        <v>294</v>
      </c>
      <c r="E135">
        <v>30</v>
      </c>
      <c r="F135" t="s">
        <v>295</v>
      </c>
    </row>
    <row r="136" spans="1:6" x14ac:dyDescent="0.3">
      <c r="A136" s="700">
        <v>45835.979317129626</v>
      </c>
      <c r="B136">
        <v>542361075</v>
      </c>
      <c r="C136" t="s">
        <v>293</v>
      </c>
      <c r="D136" t="s">
        <v>294</v>
      </c>
      <c r="E136">
        <v>9</v>
      </c>
      <c r="F136" t="s">
        <v>295</v>
      </c>
    </row>
    <row r="137" spans="1:6" x14ac:dyDescent="0.3">
      <c r="A137" s="700">
        <v>45835.97928240741</v>
      </c>
      <c r="B137">
        <v>542361075</v>
      </c>
      <c r="C137" t="s">
        <v>293</v>
      </c>
      <c r="D137" t="s">
        <v>294</v>
      </c>
      <c r="E137">
        <v>159</v>
      </c>
      <c r="F137" t="s">
        <v>295</v>
      </c>
    </row>
    <row r="138" spans="1:6" x14ac:dyDescent="0.3">
      <c r="A138" s="700">
        <v>45835.977685185186</v>
      </c>
      <c r="B138">
        <v>542361075</v>
      </c>
      <c r="C138" t="s">
        <v>293</v>
      </c>
      <c r="D138" t="s">
        <v>294</v>
      </c>
      <c r="E138">
        <v>29</v>
      </c>
      <c r="F138" t="s">
        <v>295</v>
      </c>
    </row>
    <row r="139" spans="1:6" x14ac:dyDescent="0.3">
      <c r="A139" s="700">
        <v>45835.977650462963</v>
      </c>
      <c r="B139">
        <v>542361075</v>
      </c>
      <c r="C139" t="s">
        <v>293</v>
      </c>
      <c r="D139" t="s">
        <v>294</v>
      </c>
      <c r="E139">
        <v>267</v>
      </c>
      <c r="F139" t="s">
        <v>295</v>
      </c>
    </row>
    <row r="140" spans="1:6" x14ac:dyDescent="0.3">
      <c r="A140" s="700">
        <v>45835.976689814815</v>
      </c>
      <c r="B140">
        <v>542361075</v>
      </c>
      <c r="C140" t="s">
        <v>293</v>
      </c>
      <c r="D140" t="s">
        <v>294</v>
      </c>
      <c r="E140">
        <v>266</v>
      </c>
      <c r="F140" t="s">
        <v>295</v>
      </c>
    </row>
    <row r="141" spans="1:6" x14ac:dyDescent="0.3">
      <c r="A141" s="700">
        <v>45835.976643518516</v>
      </c>
      <c r="B141">
        <v>542361075</v>
      </c>
      <c r="C141" t="s">
        <v>293</v>
      </c>
      <c r="D141" t="s">
        <v>294</v>
      </c>
      <c r="E141">
        <v>118</v>
      </c>
      <c r="F141" t="s">
        <v>295</v>
      </c>
    </row>
    <row r="142" spans="1:6" x14ac:dyDescent="0.3">
      <c r="A142" s="700">
        <v>45835.975092592591</v>
      </c>
      <c r="B142">
        <v>542361075</v>
      </c>
      <c r="C142" t="s">
        <v>293</v>
      </c>
      <c r="D142" t="s">
        <v>294</v>
      </c>
      <c r="E142">
        <v>59</v>
      </c>
      <c r="F142" t="s">
        <v>295</v>
      </c>
    </row>
    <row r="143" spans="1:6" x14ac:dyDescent="0.3">
      <c r="A143" s="700">
        <v>45835.975057870368</v>
      </c>
      <c r="B143">
        <v>542361075</v>
      </c>
      <c r="C143" t="s">
        <v>293</v>
      </c>
      <c r="D143" t="s">
        <v>294</v>
      </c>
      <c r="E143">
        <v>28</v>
      </c>
      <c r="F143" t="s">
        <v>295</v>
      </c>
    </row>
    <row r="144" spans="1:6" x14ac:dyDescent="0.3">
      <c r="A144" s="700">
        <v>45835.973182870373</v>
      </c>
      <c r="B144">
        <v>542361075</v>
      </c>
      <c r="C144" t="s">
        <v>293</v>
      </c>
      <c r="D144" t="s">
        <v>294</v>
      </c>
      <c r="E144">
        <v>250</v>
      </c>
      <c r="F144" t="s">
        <v>295</v>
      </c>
    </row>
    <row r="145" spans="1:6" x14ac:dyDescent="0.3">
      <c r="A145" s="700">
        <v>45835.971006944441</v>
      </c>
      <c r="B145">
        <v>542361075</v>
      </c>
      <c r="C145" t="s">
        <v>293</v>
      </c>
      <c r="D145" t="s">
        <v>294</v>
      </c>
      <c r="E145">
        <v>94</v>
      </c>
      <c r="F145" t="s">
        <v>295</v>
      </c>
    </row>
    <row r="146" spans="1:6" x14ac:dyDescent="0.3">
      <c r="A146" s="700">
        <v>45835.969421296293</v>
      </c>
      <c r="B146">
        <v>542361075</v>
      </c>
      <c r="C146" t="s">
        <v>293</v>
      </c>
      <c r="D146" t="s">
        <v>294</v>
      </c>
      <c r="E146">
        <v>254</v>
      </c>
      <c r="F146" t="s">
        <v>295</v>
      </c>
    </row>
    <row r="147" spans="1:6" x14ac:dyDescent="0.3">
      <c r="A147" s="700">
        <v>45835.966863425929</v>
      </c>
      <c r="B147">
        <v>542361075</v>
      </c>
      <c r="C147" t="s">
        <v>293</v>
      </c>
      <c r="D147" t="s">
        <v>294</v>
      </c>
      <c r="E147">
        <v>214</v>
      </c>
      <c r="F147" t="s">
        <v>295</v>
      </c>
    </row>
    <row r="148" spans="1:6" x14ac:dyDescent="0.3">
      <c r="A148" s="700">
        <v>45835.945150462961</v>
      </c>
      <c r="B148">
        <v>542361075</v>
      </c>
      <c r="C148" t="s">
        <v>293</v>
      </c>
      <c r="D148" t="s">
        <v>294</v>
      </c>
      <c r="E148">
        <v>215</v>
      </c>
      <c r="F148" t="s">
        <v>295</v>
      </c>
    </row>
    <row r="149" spans="1:6" x14ac:dyDescent="0.3">
      <c r="A149" s="700">
        <v>45835.945104166669</v>
      </c>
      <c r="B149">
        <v>542361075</v>
      </c>
      <c r="C149" t="s">
        <v>293</v>
      </c>
      <c r="D149" t="s">
        <v>294</v>
      </c>
      <c r="E149">
        <v>251</v>
      </c>
      <c r="F149" t="s">
        <v>295</v>
      </c>
    </row>
    <row r="150" spans="1:6" x14ac:dyDescent="0.3">
      <c r="A150" s="700">
        <v>45835.945069444446</v>
      </c>
      <c r="B150">
        <v>542361075</v>
      </c>
      <c r="C150" t="s">
        <v>293</v>
      </c>
      <c r="D150" t="s">
        <v>294</v>
      </c>
      <c r="E150">
        <v>74</v>
      </c>
      <c r="F150" t="s">
        <v>295</v>
      </c>
    </row>
    <row r="151" spans="1:6" x14ac:dyDescent="0.3">
      <c r="A151" s="700">
        <v>45835.938113425924</v>
      </c>
      <c r="B151">
        <v>542361075</v>
      </c>
      <c r="C151" t="s">
        <v>293</v>
      </c>
      <c r="D151" t="s">
        <v>294</v>
      </c>
      <c r="E151">
        <v>264</v>
      </c>
      <c r="F151" t="s">
        <v>295</v>
      </c>
    </row>
    <row r="152" spans="1:6" x14ac:dyDescent="0.3">
      <c r="A152" s="700">
        <v>45835.916863425926</v>
      </c>
      <c r="B152">
        <v>542361075</v>
      </c>
      <c r="C152" t="s">
        <v>293</v>
      </c>
      <c r="D152" t="s">
        <v>294</v>
      </c>
      <c r="E152">
        <v>264</v>
      </c>
      <c r="F152" t="s">
        <v>295</v>
      </c>
    </row>
    <row r="153" spans="1:6" x14ac:dyDescent="0.3">
      <c r="A153" s="700">
        <v>45835.907766203702</v>
      </c>
      <c r="B153">
        <v>542361075</v>
      </c>
      <c r="C153" t="s">
        <v>293</v>
      </c>
      <c r="D153" t="s">
        <v>294</v>
      </c>
      <c r="E153">
        <v>34</v>
      </c>
      <c r="F153" t="s">
        <v>295</v>
      </c>
    </row>
    <row r="154" spans="1:6" x14ac:dyDescent="0.3">
      <c r="A154" s="700">
        <v>45835.816793981481</v>
      </c>
      <c r="B154">
        <v>542361075</v>
      </c>
      <c r="C154" t="s">
        <v>293</v>
      </c>
      <c r="D154" t="s">
        <v>294</v>
      </c>
      <c r="E154">
        <v>34</v>
      </c>
      <c r="F154" t="s">
        <v>295</v>
      </c>
    </row>
    <row r="155" spans="1:6" x14ac:dyDescent="0.3">
      <c r="A155" s="700">
        <v>45835.706990740742</v>
      </c>
      <c r="B155">
        <v>542361075</v>
      </c>
      <c r="C155" t="s">
        <v>293</v>
      </c>
      <c r="D155" t="s">
        <v>294</v>
      </c>
      <c r="E155">
        <v>41</v>
      </c>
      <c r="F155" t="s">
        <v>295</v>
      </c>
    </row>
    <row r="156" spans="1:6" x14ac:dyDescent="0.3">
      <c r="A156" s="700">
        <v>45835.706921296296</v>
      </c>
      <c r="B156">
        <v>542361075</v>
      </c>
      <c r="C156" t="s">
        <v>293</v>
      </c>
      <c r="D156" t="s">
        <v>294</v>
      </c>
      <c r="E156">
        <v>97</v>
      </c>
      <c r="F156" t="s">
        <v>295</v>
      </c>
    </row>
    <row r="157" spans="1:6" x14ac:dyDescent="0.3">
      <c r="A157" s="700">
        <v>45835.706423611111</v>
      </c>
      <c r="B157">
        <v>542361075</v>
      </c>
      <c r="C157" t="s">
        <v>293</v>
      </c>
      <c r="D157" t="s">
        <v>294</v>
      </c>
      <c r="E157">
        <v>89</v>
      </c>
      <c r="F157" t="s">
        <v>295</v>
      </c>
    </row>
    <row r="158" spans="1:6" x14ac:dyDescent="0.3">
      <c r="A158" s="700">
        <v>45835.706319444442</v>
      </c>
      <c r="B158">
        <v>542361075</v>
      </c>
      <c r="C158" t="s">
        <v>293</v>
      </c>
      <c r="D158" t="s">
        <v>294</v>
      </c>
      <c r="E158">
        <v>260</v>
      </c>
      <c r="F158" t="s">
        <v>295</v>
      </c>
    </row>
    <row r="159" spans="1:6" x14ac:dyDescent="0.3">
      <c r="A159" s="700">
        <v>45835.706284722219</v>
      </c>
      <c r="B159">
        <v>542361075</v>
      </c>
      <c r="C159" t="s">
        <v>293</v>
      </c>
      <c r="D159" t="s">
        <v>294</v>
      </c>
      <c r="E159">
        <v>256</v>
      </c>
      <c r="F159" t="s">
        <v>295</v>
      </c>
    </row>
    <row r="160" spans="1:6" x14ac:dyDescent="0.3">
      <c r="A160" s="700">
        <v>45835.706250000003</v>
      </c>
      <c r="B160">
        <v>542361075</v>
      </c>
      <c r="C160" t="s">
        <v>293</v>
      </c>
      <c r="D160" t="s">
        <v>294</v>
      </c>
      <c r="E160">
        <v>245</v>
      </c>
      <c r="F160" t="s">
        <v>295</v>
      </c>
    </row>
    <row r="161" spans="1:6" x14ac:dyDescent="0.3">
      <c r="A161" s="700">
        <v>45835.706087962964</v>
      </c>
      <c r="B161">
        <v>542361075</v>
      </c>
      <c r="C161" t="s">
        <v>293</v>
      </c>
      <c r="F161" t="s">
        <v>298</v>
      </c>
    </row>
    <row r="162" spans="1:6" x14ac:dyDescent="0.3">
      <c r="A162" s="700">
        <v>45835.689930555556</v>
      </c>
      <c r="B162">
        <v>542361075</v>
      </c>
      <c r="C162" t="s">
        <v>293</v>
      </c>
      <c r="D162" t="s">
        <v>294</v>
      </c>
      <c r="E162">
        <v>145</v>
      </c>
      <c r="F162" t="s">
        <v>295</v>
      </c>
    </row>
    <row r="163" spans="1:6" x14ac:dyDescent="0.3">
      <c r="A163" s="700">
        <v>45835.681342592594</v>
      </c>
      <c r="B163">
        <v>542361075</v>
      </c>
      <c r="C163" t="s">
        <v>293</v>
      </c>
      <c r="D163" t="s">
        <v>294</v>
      </c>
      <c r="E163">
        <v>172</v>
      </c>
      <c r="F163" t="s">
        <v>295</v>
      </c>
    </row>
    <row r="164" spans="1:6" x14ac:dyDescent="0.3">
      <c r="A164" s="700">
        <v>45835.681319444448</v>
      </c>
      <c r="B164">
        <v>542361075</v>
      </c>
      <c r="C164" t="s">
        <v>293</v>
      </c>
      <c r="D164" t="s">
        <v>294</v>
      </c>
      <c r="E164">
        <v>172</v>
      </c>
      <c r="F164" t="s">
        <v>295</v>
      </c>
    </row>
    <row r="165" spans="1:6" x14ac:dyDescent="0.3">
      <c r="A165" s="700">
        <v>45835.655416666668</v>
      </c>
      <c r="B165">
        <v>542361075</v>
      </c>
      <c r="C165" t="s">
        <v>293</v>
      </c>
      <c r="D165" t="s">
        <v>294</v>
      </c>
      <c r="E165">
        <v>19</v>
      </c>
      <c r="F165" t="s">
        <v>295</v>
      </c>
    </row>
    <row r="166" spans="1:6" x14ac:dyDescent="0.3">
      <c r="A166" s="700">
        <v>45835.655300925922</v>
      </c>
      <c r="B166">
        <v>542361075</v>
      </c>
      <c r="C166" t="s">
        <v>293</v>
      </c>
      <c r="F166" t="s">
        <v>296</v>
      </c>
    </row>
    <row r="167" spans="1:6" x14ac:dyDescent="0.3">
      <c r="A167" s="700">
        <v>45835.655150462961</v>
      </c>
      <c r="B167">
        <v>542361075</v>
      </c>
      <c r="C167" t="s">
        <v>293</v>
      </c>
      <c r="F167" t="s">
        <v>296</v>
      </c>
    </row>
    <row r="168" spans="1:6" x14ac:dyDescent="0.3">
      <c r="A168" s="700">
        <v>45835.655034722222</v>
      </c>
      <c r="B168">
        <v>542361075</v>
      </c>
      <c r="C168" t="s">
        <v>293</v>
      </c>
      <c r="F168" t="s">
        <v>296</v>
      </c>
    </row>
    <row r="169" spans="1:6" x14ac:dyDescent="0.3">
      <c r="A169" s="700">
        <v>45835.654976851853</v>
      </c>
      <c r="B169">
        <v>542361075</v>
      </c>
      <c r="C169" t="s">
        <v>293</v>
      </c>
      <c r="F169" t="s">
        <v>296</v>
      </c>
    </row>
    <row r="170" spans="1:6" x14ac:dyDescent="0.3">
      <c r="A170" s="700">
        <v>45835.654861111114</v>
      </c>
      <c r="B170">
        <v>542361075</v>
      </c>
      <c r="C170" t="s">
        <v>293</v>
      </c>
      <c r="F170" t="s">
        <v>296</v>
      </c>
    </row>
    <row r="171" spans="1:6" x14ac:dyDescent="0.3">
      <c r="A171" s="700">
        <v>45835.654791666668</v>
      </c>
      <c r="B171">
        <v>542361075</v>
      </c>
      <c r="C171" t="s">
        <v>293</v>
      </c>
      <c r="F171" t="s">
        <v>296</v>
      </c>
    </row>
    <row r="172" spans="1:6" x14ac:dyDescent="0.3">
      <c r="A172" s="700">
        <v>45835.654675925929</v>
      </c>
      <c r="B172">
        <v>542361075</v>
      </c>
      <c r="C172" t="s">
        <v>293</v>
      </c>
      <c r="F172" t="s">
        <v>296</v>
      </c>
    </row>
    <row r="173" spans="1:6" x14ac:dyDescent="0.3">
      <c r="A173" s="700">
        <v>45835.654560185183</v>
      </c>
      <c r="B173">
        <v>542361075</v>
      </c>
      <c r="C173" t="s">
        <v>293</v>
      </c>
      <c r="F173" t="s">
        <v>296</v>
      </c>
    </row>
    <row r="174" spans="1:6" x14ac:dyDescent="0.3">
      <c r="A174" s="700">
        <v>45835.654444444444</v>
      </c>
      <c r="B174">
        <v>542361075</v>
      </c>
      <c r="C174" t="s">
        <v>293</v>
      </c>
      <c r="D174" t="s">
        <v>294</v>
      </c>
      <c r="E174">
        <v>247</v>
      </c>
      <c r="F174" t="s">
        <v>295</v>
      </c>
    </row>
    <row r="175" spans="1:6" x14ac:dyDescent="0.3">
      <c r="A175" s="700">
        <v>45835.652129629627</v>
      </c>
      <c r="B175">
        <v>542361075</v>
      </c>
      <c r="C175" t="s">
        <v>293</v>
      </c>
      <c r="D175" t="s">
        <v>294</v>
      </c>
      <c r="E175">
        <v>107</v>
      </c>
      <c r="F175" t="s">
        <v>295</v>
      </c>
    </row>
    <row r="176" spans="1:6" x14ac:dyDescent="0.3">
      <c r="A176" s="700">
        <v>45835.649606481478</v>
      </c>
      <c r="B176">
        <v>542361075</v>
      </c>
      <c r="C176" t="s">
        <v>293</v>
      </c>
      <c r="D176" t="s">
        <v>294</v>
      </c>
      <c r="E176">
        <v>70</v>
      </c>
      <c r="F176" t="s">
        <v>295</v>
      </c>
    </row>
    <row r="177" spans="1:6" x14ac:dyDescent="0.3">
      <c r="A177" s="700">
        <v>45835.649537037039</v>
      </c>
      <c r="B177">
        <v>542361075</v>
      </c>
      <c r="C177" t="s">
        <v>293</v>
      </c>
      <c r="D177" t="s">
        <v>294</v>
      </c>
      <c r="E177">
        <v>30</v>
      </c>
      <c r="F177" t="s">
        <v>295</v>
      </c>
    </row>
    <row r="178" spans="1:6" x14ac:dyDescent="0.3">
      <c r="A178" s="700">
        <v>45835.64943287037</v>
      </c>
      <c r="B178">
        <v>542361075</v>
      </c>
      <c r="C178" t="s">
        <v>293</v>
      </c>
      <c r="D178" t="s">
        <v>294</v>
      </c>
      <c r="E178">
        <v>95</v>
      </c>
      <c r="F178" t="s">
        <v>295</v>
      </c>
    </row>
    <row r="179" spans="1:6" x14ac:dyDescent="0.3">
      <c r="A179" s="700">
        <v>45835.648657407408</v>
      </c>
      <c r="B179">
        <v>542361075</v>
      </c>
      <c r="C179" t="s">
        <v>293</v>
      </c>
      <c r="D179" t="s">
        <v>294</v>
      </c>
      <c r="E179">
        <v>220</v>
      </c>
      <c r="F179" t="s">
        <v>295</v>
      </c>
    </row>
    <row r="180" spans="1:6" x14ac:dyDescent="0.3">
      <c r="A180" s="700">
        <v>45835.648599537039</v>
      </c>
      <c r="B180">
        <v>542361075</v>
      </c>
      <c r="C180" t="s">
        <v>293</v>
      </c>
      <c r="D180" t="s">
        <v>294</v>
      </c>
      <c r="E180">
        <v>146</v>
      </c>
      <c r="F180" t="s">
        <v>295</v>
      </c>
    </row>
    <row r="181" spans="1:6" x14ac:dyDescent="0.3">
      <c r="A181" s="700">
        <v>45835.648564814815</v>
      </c>
      <c r="B181">
        <v>542361075</v>
      </c>
      <c r="C181" t="s">
        <v>293</v>
      </c>
      <c r="D181" t="s">
        <v>294</v>
      </c>
      <c r="E181">
        <v>222</v>
      </c>
      <c r="F181" t="s">
        <v>295</v>
      </c>
    </row>
    <row r="182" spans="1:6" x14ac:dyDescent="0.3">
      <c r="A182" s="700">
        <v>45835.648530092592</v>
      </c>
      <c r="B182">
        <v>542361075</v>
      </c>
      <c r="C182" t="s">
        <v>293</v>
      </c>
      <c r="D182" t="s">
        <v>294</v>
      </c>
      <c r="E182">
        <v>141</v>
      </c>
      <c r="F182" t="s">
        <v>295</v>
      </c>
    </row>
    <row r="183" spans="1:6" x14ac:dyDescent="0.3">
      <c r="A183" s="700">
        <v>45835.648495370369</v>
      </c>
      <c r="B183">
        <v>542361075</v>
      </c>
      <c r="C183" t="s">
        <v>293</v>
      </c>
      <c r="D183" t="s">
        <v>294</v>
      </c>
      <c r="E183">
        <v>166</v>
      </c>
      <c r="F183" t="s">
        <v>295</v>
      </c>
    </row>
    <row r="184" spans="1:6" x14ac:dyDescent="0.3">
      <c r="A184" s="700">
        <v>45835.647939814815</v>
      </c>
      <c r="B184">
        <v>542361075</v>
      </c>
      <c r="C184" t="s">
        <v>293</v>
      </c>
      <c r="D184" t="s">
        <v>294</v>
      </c>
      <c r="E184">
        <v>158</v>
      </c>
      <c r="F184" t="s">
        <v>295</v>
      </c>
    </row>
    <row r="185" spans="1:6" x14ac:dyDescent="0.3">
      <c r="A185" s="700">
        <v>45835.647187499999</v>
      </c>
      <c r="B185">
        <v>542361075</v>
      </c>
      <c r="C185" t="s">
        <v>293</v>
      </c>
      <c r="D185" t="s">
        <v>294</v>
      </c>
      <c r="E185">
        <v>63</v>
      </c>
      <c r="F185" t="s">
        <v>295</v>
      </c>
    </row>
    <row r="186" spans="1:6" x14ac:dyDescent="0.3">
      <c r="A186" s="700">
        <v>45835.646504629629</v>
      </c>
      <c r="B186">
        <v>542361075</v>
      </c>
      <c r="C186" t="s">
        <v>293</v>
      </c>
      <c r="D186" t="s">
        <v>294</v>
      </c>
      <c r="E186">
        <v>212</v>
      </c>
      <c r="F186" t="s">
        <v>295</v>
      </c>
    </row>
    <row r="187" spans="1:6" x14ac:dyDescent="0.3">
      <c r="A187" s="700">
        <v>45835.646469907406</v>
      </c>
      <c r="B187">
        <v>542361075</v>
      </c>
      <c r="C187" t="s">
        <v>293</v>
      </c>
      <c r="D187" t="s">
        <v>294</v>
      </c>
      <c r="E187">
        <v>81</v>
      </c>
      <c r="F187" t="s">
        <v>295</v>
      </c>
    </row>
    <row r="188" spans="1:6" x14ac:dyDescent="0.3">
      <c r="A188" s="700">
        <v>45835.646412037036</v>
      </c>
      <c r="B188">
        <v>542361075</v>
      </c>
      <c r="C188" t="s">
        <v>293</v>
      </c>
      <c r="D188" t="s">
        <v>294</v>
      </c>
      <c r="E188">
        <v>226</v>
      </c>
      <c r="F188" t="s">
        <v>295</v>
      </c>
    </row>
    <row r="189" spans="1:6" x14ac:dyDescent="0.3">
      <c r="A189" s="700">
        <v>45835.64638888889</v>
      </c>
      <c r="B189">
        <v>542361075</v>
      </c>
      <c r="C189" t="s">
        <v>293</v>
      </c>
      <c r="D189" t="s">
        <v>294</v>
      </c>
      <c r="E189">
        <v>262</v>
      </c>
      <c r="F189" t="s">
        <v>295</v>
      </c>
    </row>
    <row r="190" spans="1:6" x14ac:dyDescent="0.3">
      <c r="A190" s="700">
        <v>45835.646331018521</v>
      </c>
      <c r="B190">
        <v>542361075</v>
      </c>
      <c r="C190" t="s">
        <v>293</v>
      </c>
      <c r="D190" t="s">
        <v>294</v>
      </c>
      <c r="E190">
        <v>73</v>
      </c>
      <c r="F190" t="s">
        <v>295</v>
      </c>
    </row>
    <row r="191" spans="1:6" x14ac:dyDescent="0.3">
      <c r="A191" s="700">
        <v>45835.646284722221</v>
      </c>
      <c r="B191">
        <v>542361075</v>
      </c>
      <c r="C191" t="s">
        <v>293</v>
      </c>
      <c r="D191" t="s">
        <v>294</v>
      </c>
      <c r="E191">
        <v>230</v>
      </c>
      <c r="F191" t="s">
        <v>295</v>
      </c>
    </row>
    <row r="192" spans="1:6" x14ac:dyDescent="0.3">
      <c r="A192" s="700">
        <v>45835.646226851852</v>
      </c>
      <c r="B192">
        <v>542361075</v>
      </c>
      <c r="C192" t="s">
        <v>293</v>
      </c>
      <c r="D192" t="s">
        <v>294</v>
      </c>
      <c r="E192">
        <v>241</v>
      </c>
      <c r="F192" t="s">
        <v>295</v>
      </c>
    </row>
    <row r="193" spans="1:6" x14ac:dyDescent="0.3">
      <c r="A193" s="700">
        <v>45835.646180555559</v>
      </c>
      <c r="B193">
        <v>542361075</v>
      </c>
      <c r="C193" t="s">
        <v>293</v>
      </c>
      <c r="D193" t="s">
        <v>294</v>
      </c>
      <c r="E193">
        <v>239</v>
      </c>
      <c r="F193" t="s">
        <v>295</v>
      </c>
    </row>
    <row r="194" spans="1:6" x14ac:dyDescent="0.3">
      <c r="A194" s="700">
        <v>45835.644733796296</v>
      </c>
      <c r="B194">
        <v>542361075</v>
      </c>
      <c r="C194" t="s">
        <v>293</v>
      </c>
      <c r="D194" t="s">
        <v>294</v>
      </c>
      <c r="E194">
        <v>271</v>
      </c>
      <c r="F194" t="s">
        <v>295</v>
      </c>
    </row>
    <row r="195" spans="1:6" x14ac:dyDescent="0.3">
      <c r="A195" s="700">
        <v>45835.643553240741</v>
      </c>
      <c r="B195">
        <v>542361075</v>
      </c>
      <c r="C195" t="s">
        <v>293</v>
      </c>
      <c r="D195" t="s">
        <v>294</v>
      </c>
      <c r="E195">
        <v>169</v>
      </c>
      <c r="F195" t="s">
        <v>295</v>
      </c>
    </row>
    <row r="196" spans="1:6" x14ac:dyDescent="0.3">
      <c r="A196" s="700">
        <v>45835.558703703704</v>
      </c>
      <c r="B196">
        <v>542361075</v>
      </c>
      <c r="C196" t="s">
        <v>293</v>
      </c>
      <c r="F196" t="s">
        <v>299</v>
      </c>
    </row>
    <row r="197" spans="1:6" x14ac:dyDescent="0.3">
      <c r="A197" s="700">
        <v>45835.557638888888</v>
      </c>
      <c r="B197">
        <v>542361075</v>
      </c>
      <c r="C197" t="s">
        <v>293</v>
      </c>
      <c r="F197" t="s">
        <v>298</v>
      </c>
    </row>
    <row r="198" spans="1:6" x14ac:dyDescent="0.3">
      <c r="A198" s="700">
        <v>45835.520405092589</v>
      </c>
      <c r="B198">
        <v>542361075</v>
      </c>
      <c r="C198" t="s">
        <v>293</v>
      </c>
      <c r="D198" t="s">
        <v>294</v>
      </c>
      <c r="E198">
        <v>220</v>
      </c>
      <c r="F198" t="s">
        <v>295</v>
      </c>
    </row>
    <row r="199" spans="1:6" x14ac:dyDescent="0.3">
      <c r="A199" s="700">
        <v>45835.496550925927</v>
      </c>
      <c r="B199">
        <v>542361075</v>
      </c>
      <c r="C199" t="s">
        <v>293</v>
      </c>
      <c r="D199" t="s">
        <v>294</v>
      </c>
      <c r="E199">
        <v>220</v>
      </c>
      <c r="F199" t="s">
        <v>295</v>
      </c>
    </row>
    <row r="200" spans="1:6" x14ac:dyDescent="0.3">
      <c r="A200" s="700">
        <v>45835.442037037035</v>
      </c>
      <c r="B200">
        <v>542361075</v>
      </c>
      <c r="C200" t="s">
        <v>293</v>
      </c>
      <c r="D200" t="s">
        <v>294</v>
      </c>
      <c r="E200">
        <v>269</v>
      </c>
      <c r="F200" t="s">
        <v>295</v>
      </c>
    </row>
    <row r="201" spans="1:6" x14ac:dyDescent="0.3">
      <c r="A201" s="700">
        <v>45835.441921296297</v>
      </c>
      <c r="B201">
        <v>542361075</v>
      </c>
      <c r="C201" t="s">
        <v>293</v>
      </c>
      <c r="D201" t="s">
        <v>294</v>
      </c>
      <c r="E201">
        <v>95</v>
      </c>
      <c r="F201" t="s">
        <v>295</v>
      </c>
    </row>
    <row r="202" spans="1:6" x14ac:dyDescent="0.3">
      <c r="A202" s="700">
        <v>45835.441759259258</v>
      </c>
      <c r="B202">
        <v>542361075</v>
      </c>
      <c r="C202" t="s">
        <v>293</v>
      </c>
      <c r="D202" t="s">
        <v>294</v>
      </c>
      <c r="E202">
        <v>146</v>
      </c>
      <c r="F202" t="s">
        <v>295</v>
      </c>
    </row>
    <row r="203" spans="1:6" x14ac:dyDescent="0.3">
      <c r="A203" s="700">
        <v>45835.441724537035</v>
      </c>
      <c r="B203">
        <v>542361075</v>
      </c>
      <c r="C203" t="s">
        <v>293</v>
      </c>
      <c r="D203" t="s">
        <v>294</v>
      </c>
      <c r="E203">
        <v>222</v>
      </c>
      <c r="F203" t="s">
        <v>295</v>
      </c>
    </row>
    <row r="204" spans="1:6" x14ac:dyDescent="0.3">
      <c r="A204" s="700">
        <v>45835.420219907406</v>
      </c>
      <c r="B204">
        <v>542361075</v>
      </c>
      <c r="C204" t="s">
        <v>293</v>
      </c>
      <c r="D204" t="s">
        <v>294</v>
      </c>
      <c r="E204">
        <v>222</v>
      </c>
      <c r="F204" t="s">
        <v>295</v>
      </c>
    </row>
    <row r="205" spans="1:6" x14ac:dyDescent="0.3">
      <c r="A205" s="700">
        <v>45835.418032407404</v>
      </c>
      <c r="B205">
        <v>542361075</v>
      </c>
      <c r="C205" t="s">
        <v>293</v>
      </c>
      <c r="D205" t="s">
        <v>294</v>
      </c>
      <c r="E205">
        <v>95</v>
      </c>
      <c r="F205" t="s">
        <v>295</v>
      </c>
    </row>
    <row r="206" spans="1:6" x14ac:dyDescent="0.3">
      <c r="A206" s="700">
        <v>45835.418009259258</v>
      </c>
      <c r="B206">
        <v>542361075</v>
      </c>
      <c r="C206" t="s">
        <v>293</v>
      </c>
      <c r="D206" t="s">
        <v>294</v>
      </c>
      <c r="E206">
        <v>721</v>
      </c>
      <c r="F206" t="s">
        <v>295</v>
      </c>
    </row>
    <row r="207" spans="1:6" x14ac:dyDescent="0.3">
      <c r="A207" s="700">
        <v>45835.410590277781</v>
      </c>
      <c r="B207">
        <v>542361075</v>
      </c>
      <c r="C207" t="s">
        <v>293</v>
      </c>
      <c r="F207" t="s">
        <v>300</v>
      </c>
    </row>
    <row r="208" spans="1:6" x14ac:dyDescent="0.3">
      <c r="A208" s="700">
        <v>45835.410520833335</v>
      </c>
      <c r="B208">
        <v>542361075</v>
      </c>
      <c r="C208" t="s">
        <v>293</v>
      </c>
      <c r="F208" t="s">
        <v>300</v>
      </c>
    </row>
    <row r="209" spans="1:6" x14ac:dyDescent="0.3">
      <c r="A209" s="700">
        <v>45835.332233796296</v>
      </c>
      <c r="B209">
        <v>542361075</v>
      </c>
      <c r="C209" t="s">
        <v>293</v>
      </c>
      <c r="F209" t="s">
        <v>299</v>
      </c>
    </row>
    <row r="210" spans="1:6" x14ac:dyDescent="0.3">
      <c r="A210" s="700">
        <v>45835.331921296296</v>
      </c>
      <c r="B210">
        <v>542361075</v>
      </c>
      <c r="C210" t="s">
        <v>293</v>
      </c>
      <c r="D210" t="s">
        <v>294</v>
      </c>
      <c r="E210">
        <v>63</v>
      </c>
      <c r="F210" t="s">
        <v>295</v>
      </c>
    </row>
    <row r="211" spans="1:6" x14ac:dyDescent="0.3">
      <c r="A211" s="700">
        <v>45835.331400462965</v>
      </c>
      <c r="B211">
        <v>542361075</v>
      </c>
      <c r="C211" t="s">
        <v>293</v>
      </c>
      <c r="D211" t="s">
        <v>294</v>
      </c>
      <c r="E211">
        <v>34</v>
      </c>
      <c r="F211" t="s">
        <v>295</v>
      </c>
    </row>
    <row r="212" spans="1:6" x14ac:dyDescent="0.3">
      <c r="A212" s="700">
        <v>45835.33048611111</v>
      </c>
      <c r="B212">
        <v>542361075</v>
      </c>
      <c r="C212" t="s">
        <v>293</v>
      </c>
      <c r="D212" t="s">
        <v>294</v>
      </c>
      <c r="E212">
        <v>41</v>
      </c>
      <c r="F212" t="s">
        <v>295</v>
      </c>
    </row>
    <row r="213" spans="1:6" x14ac:dyDescent="0.3">
      <c r="A213" s="700">
        <v>45835.327488425923</v>
      </c>
      <c r="B213">
        <v>542361075</v>
      </c>
      <c r="C213" t="s">
        <v>293</v>
      </c>
      <c r="D213" t="s">
        <v>294</v>
      </c>
      <c r="E213">
        <v>89</v>
      </c>
      <c r="F213" t="s">
        <v>295</v>
      </c>
    </row>
    <row r="214" spans="1:6" x14ac:dyDescent="0.3">
      <c r="A214" s="700">
        <v>45835.32739583333</v>
      </c>
      <c r="B214">
        <v>542361075</v>
      </c>
      <c r="C214" t="s">
        <v>293</v>
      </c>
      <c r="D214" t="s">
        <v>294</v>
      </c>
      <c r="E214">
        <v>97</v>
      </c>
      <c r="F214" t="s">
        <v>295</v>
      </c>
    </row>
    <row r="215" spans="1:6" x14ac:dyDescent="0.3">
      <c r="A215" s="700">
        <v>45835.326469907406</v>
      </c>
      <c r="B215">
        <v>542361075</v>
      </c>
      <c r="C215" t="s">
        <v>293</v>
      </c>
      <c r="D215" t="s">
        <v>294</v>
      </c>
      <c r="E215">
        <v>35</v>
      </c>
      <c r="F215" t="s">
        <v>295</v>
      </c>
    </row>
    <row r="216" spans="1:6" x14ac:dyDescent="0.3">
      <c r="A216" s="700">
        <v>45835.32644675926</v>
      </c>
      <c r="B216">
        <v>542361075</v>
      </c>
      <c r="C216" t="s">
        <v>293</v>
      </c>
      <c r="D216" t="s">
        <v>294</v>
      </c>
      <c r="E216">
        <v>35</v>
      </c>
      <c r="F216" t="s">
        <v>295</v>
      </c>
    </row>
    <row r="217" spans="1:6" x14ac:dyDescent="0.3">
      <c r="A217" s="700">
        <v>45835.326412037037</v>
      </c>
      <c r="B217">
        <v>542361075</v>
      </c>
      <c r="C217" t="s">
        <v>293</v>
      </c>
      <c r="D217" t="s">
        <v>294</v>
      </c>
      <c r="E217">
        <v>35</v>
      </c>
      <c r="F217" t="s">
        <v>295</v>
      </c>
    </row>
    <row r="218" spans="1:6" x14ac:dyDescent="0.3">
      <c r="A218" s="700">
        <v>45835.323067129626</v>
      </c>
      <c r="B218">
        <v>542361075</v>
      </c>
      <c r="C218" t="s">
        <v>293</v>
      </c>
      <c r="D218" t="s">
        <v>294</v>
      </c>
      <c r="E218">
        <v>247</v>
      </c>
      <c r="F218" t="s">
        <v>295</v>
      </c>
    </row>
    <row r="219" spans="1:6" x14ac:dyDescent="0.3">
      <c r="A219" s="700">
        <v>45835.320844907408</v>
      </c>
      <c r="B219">
        <v>542361075</v>
      </c>
      <c r="C219" t="s">
        <v>293</v>
      </c>
      <c r="D219" t="s">
        <v>294</v>
      </c>
      <c r="E219">
        <v>94</v>
      </c>
      <c r="F219" t="s">
        <v>295</v>
      </c>
    </row>
    <row r="220" spans="1:6" x14ac:dyDescent="0.3">
      <c r="A220" s="700">
        <v>45835.317997685182</v>
      </c>
      <c r="B220">
        <v>542361075</v>
      </c>
      <c r="C220" t="s">
        <v>293</v>
      </c>
      <c r="D220" t="s">
        <v>294</v>
      </c>
      <c r="E220">
        <v>256</v>
      </c>
      <c r="F220" t="s">
        <v>295</v>
      </c>
    </row>
    <row r="221" spans="1:6" x14ac:dyDescent="0.3">
      <c r="A221" s="700">
        <v>45835.316168981481</v>
      </c>
      <c r="B221">
        <v>542361075</v>
      </c>
      <c r="C221" t="s">
        <v>293</v>
      </c>
      <c r="D221" t="s">
        <v>294</v>
      </c>
      <c r="E221">
        <v>260</v>
      </c>
      <c r="F221" t="s">
        <v>295</v>
      </c>
    </row>
    <row r="222" spans="1:6" x14ac:dyDescent="0.3">
      <c r="A222" s="700">
        <v>45835.315324074072</v>
      </c>
      <c r="B222">
        <v>542361075</v>
      </c>
      <c r="C222" t="s">
        <v>293</v>
      </c>
      <c r="D222" t="s">
        <v>294</v>
      </c>
      <c r="E222">
        <v>19</v>
      </c>
      <c r="F222" t="s">
        <v>295</v>
      </c>
    </row>
    <row r="223" spans="1:6" x14ac:dyDescent="0.3">
      <c r="A223" s="700">
        <v>45835.315266203703</v>
      </c>
      <c r="B223">
        <v>542361075</v>
      </c>
      <c r="C223" t="s">
        <v>293</v>
      </c>
      <c r="F223" t="s">
        <v>296</v>
      </c>
    </row>
    <row r="224" spans="1:6" x14ac:dyDescent="0.3">
      <c r="A224" s="700">
        <v>45835.314444444448</v>
      </c>
      <c r="B224">
        <v>542361075</v>
      </c>
      <c r="C224" t="s">
        <v>293</v>
      </c>
      <c r="D224" t="s">
        <v>294</v>
      </c>
      <c r="E224">
        <v>159</v>
      </c>
      <c r="F224" t="s">
        <v>295</v>
      </c>
    </row>
    <row r="225" spans="1:6" x14ac:dyDescent="0.3">
      <c r="A225" s="700">
        <v>45835.314421296294</v>
      </c>
      <c r="B225">
        <v>542361075</v>
      </c>
      <c r="C225" t="s">
        <v>293</v>
      </c>
      <c r="D225" t="s">
        <v>294</v>
      </c>
      <c r="E225">
        <v>9</v>
      </c>
      <c r="F225" t="s">
        <v>295</v>
      </c>
    </row>
    <row r="226" spans="1:6" x14ac:dyDescent="0.3">
      <c r="A226" s="700">
        <v>45835.314293981479</v>
      </c>
      <c r="B226">
        <v>542361075</v>
      </c>
      <c r="C226" t="s">
        <v>293</v>
      </c>
      <c r="D226" t="s">
        <v>294</v>
      </c>
      <c r="E226">
        <v>269</v>
      </c>
      <c r="F226" t="s">
        <v>295</v>
      </c>
    </row>
    <row r="227" spans="1:6" x14ac:dyDescent="0.3">
      <c r="A227" s="700">
        <v>45835.314259259256</v>
      </c>
      <c r="B227">
        <v>542361075</v>
      </c>
      <c r="C227" t="s">
        <v>293</v>
      </c>
      <c r="D227" t="s">
        <v>294</v>
      </c>
      <c r="E227">
        <v>210</v>
      </c>
      <c r="F227" t="s">
        <v>295</v>
      </c>
    </row>
    <row r="228" spans="1:6" x14ac:dyDescent="0.3">
      <c r="A228" s="700">
        <v>45835.314039351855</v>
      </c>
      <c r="B228">
        <v>542361075</v>
      </c>
      <c r="C228" t="s">
        <v>293</v>
      </c>
      <c r="D228" t="s">
        <v>294</v>
      </c>
      <c r="E228">
        <v>222</v>
      </c>
      <c r="F228" t="s">
        <v>295</v>
      </c>
    </row>
    <row r="229" spans="1:6" x14ac:dyDescent="0.3">
      <c r="A229" s="700">
        <v>45835.31386574074</v>
      </c>
      <c r="B229">
        <v>542361075</v>
      </c>
      <c r="C229" t="s">
        <v>293</v>
      </c>
      <c r="D229" t="s">
        <v>294</v>
      </c>
      <c r="E229">
        <v>75</v>
      </c>
      <c r="F229" t="s">
        <v>295</v>
      </c>
    </row>
    <row r="230" spans="1:6" x14ac:dyDescent="0.3">
      <c r="A230" s="700">
        <v>45835.313576388886</v>
      </c>
      <c r="B230">
        <v>542361075</v>
      </c>
      <c r="C230" t="s">
        <v>293</v>
      </c>
      <c r="D230" t="s">
        <v>294</v>
      </c>
      <c r="E230">
        <v>226</v>
      </c>
      <c r="F230" t="s">
        <v>295</v>
      </c>
    </row>
    <row r="231" spans="1:6" x14ac:dyDescent="0.3">
      <c r="A231" s="700">
        <v>45835.313472222224</v>
      </c>
      <c r="B231">
        <v>542361075</v>
      </c>
      <c r="C231" t="s">
        <v>293</v>
      </c>
      <c r="D231" t="s">
        <v>294</v>
      </c>
      <c r="E231">
        <v>29</v>
      </c>
      <c r="F231" t="s">
        <v>295</v>
      </c>
    </row>
    <row r="232" spans="1:6" x14ac:dyDescent="0.3">
      <c r="A232" s="700">
        <v>45835.313437500001</v>
      </c>
      <c r="B232">
        <v>542361075</v>
      </c>
      <c r="C232" t="s">
        <v>293</v>
      </c>
      <c r="D232" t="s">
        <v>294</v>
      </c>
      <c r="E232">
        <v>227</v>
      </c>
      <c r="F232" t="s">
        <v>295</v>
      </c>
    </row>
    <row r="233" spans="1:6" x14ac:dyDescent="0.3">
      <c r="A233" s="700">
        <v>45835.313391203701</v>
      </c>
      <c r="B233">
        <v>542361075</v>
      </c>
      <c r="C233" t="s">
        <v>293</v>
      </c>
      <c r="D233" t="s">
        <v>294</v>
      </c>
      <c r="E233">
        <v>266</v>
      </c>
      <c r="F233" t="s">
        <v>295</v>
      </c>
    </row>
    <row r="234" spans="1:6" x14ac:dyDescent="0.3">
      <c r="A234" s="700">
        <v>45835.313356481478</v>
      </c>
      <c r="B234">
        <v>542361075</v>
      </c>
      <c r="C234" t="s">
        <v>293</v>
      </c>
      <c r="D234" t="s">
        <v>294</v>
      </c>
      <c r="E234">
        <v>267</v>
      </c>
      <c r="F234" t="s">
        <v>295</v>
      </c>
    </row>
    <row r="235" spans="1:6" x14ac:dyDescent="0.3">
      <c r="A235" s="700">
        <v>45835.313321759262</v>
      </c>
      <c r="B235">
        <v>542361075</v>
      </c>
      <c r="C235" t="s">
        <v>293</v>
      </c>
      <c r="D235" t="s">
        <v>294</v>
      </c>
      <c r="E235">
        <v>74</v>
      </c>
      <c r="F235" t="s">
        <v>295</v>
      </c>
    </row>
    <row r="236" spans="1:6" x14ac:dyDescent="0.3">
      <c r="A236" s="700">
        <v>45835.313287037039</v>
      </c>
      <c r="B236">
        <v>542361075</v>
      </c>
      <c r="C236" t="s">
        <v>293</v>
      </c>
      <c r="D236" t="s">
        <v>294</v>
      </c>
      <c r="E236">
        <v>93</v>
      </c>
      <c r="F236" t="s">
        <v>295</v>
      </c>
    </row>
    <row r="237" spans="1:6" x14ac:dyDescent="0.3">
      <c r="A237" s="700">
        <v>45835.313159722224</v>
      </c>
      <c r="B237">
        <v>542361075</v>
      </c>
      <c r="C237" t="s">
        <v>293</v>
      </c>
      <c r="D237" t="s">
        <v>294</v>
      </c>
      <c r="E237">
        <v>254</v>
      </c>
      <c r="F237" t="s">
        <v>295</v>
      </c>
    </row>
    <row r="238" spans="1:6" x14ac:dyDescent="0.3">
      <c r="A238" s="700">
        <v>45835.313078703701</v>
      </c>
      <c r="B238">
        <v>542361075</v>
      </c>
      <c r="C238" t="s">
        <v>293</v>
      </c>
      <c r="D238" t="s">
        <v>294</v>
      </c>
      <c r="E238">
        <v>135</v>
      </c>
      <c r="F238" t="s">
        <v>295</v>
      </c>
    </row>
    <row r="239" spans="1:6" x14ac:dyDescent="0.3">
      <c r="A239" s="700">
        <v>45835.312962962962</v>
      </c>
      <c r="B239">
        <v>542361075</v>
      </c>
      <c r="C239" t="s">
        <v>293</v>
      </c>
      <c r="D239" t="s">
        <v>294</v>
      </c>
      <c r="E239">
        <v>118</v>
      </c>
      <c r="F239" t="s">
        <v>295</v>
      </c>
    </row>
    <row r="240" spans="1:6" x14ac:dyDescent="0.3">
      <c r="A240" s="700">
        <v>45835.312916666669</v>
      </c>
      <c r="B240">
        <v>542361075</v>
      </c>
      <c r="C240" t="s">
        <v>293</v>
      </c>
      <c r="D240" t="s">
        <v>294</v>
      </c>
      <c r="E240">
        <v>59</v>
      </c>
      <c r="F240" t="s">
        <v>295</v>
      </c>
    </row>
    <row r="241" spans="1:6" x14ac:dyDescent="0.3">
      <c r="A241" s="700">
        <v>45835.312881944446</v>
      </c>
      <c r="B241">
        <v>542361075</v>
      </c>
      <c r="C241" t="s">
        <v>293</v>
      </c>
      <c r="D241" t="s">
        <v>294</v>
      </c>
      <c r="E241">
        <v>28</v>
      </c>
      <c r="F241" t="s">
        <v>295</v>
      </c>
    </row>
    <row r="242" spans="1:6" x14ac:dyDescent="0.3">
      <c r="A242" s="700">
        <v>45835.3127662037</v>
      </c>
      <c r="B242">
        <v>542361075</v>
      </c>
      <c r="C242" t="s">
        <v>293</v>
      </c>
      <c r="D242" t="s">
        <v>294</v>
      </c>
      <c r="E242">
        <v>228</v>
      </c>
      <c r="F242" t="s">
        <v>295</v>
      </c>
    </row>
    <row r="243" spans="1:6" x14ac:dyDescent="0.3">
      <c r="A243" s="700">
        <v>45835.312731481485</v>
      </c>
      <c r="B243">
        <v>542361075</v>
      </c>
      <c r="C243" t="s">
        <v>293</v>
      </c>
      <c r="D243" t="s">
        <v>294</v>
      </c>
      <c r="E243">
        <v>250</v>
      </c>
      <c r="F243" t="s">
        <v>295</v>
      </c>
    </row>
    <row r="244" spans="1:6" x14ac:dyDescent="0.3">
      <c r="A244" s="700">
        <v>45835.312685185185</v>
      </c>
      <c r="B244">
        <v>542361075</v>
      </c>
      <c r="C244" t="s">
        <v>293</v>
      </c>
      <c r="D244" t="s">
        <v>294</v>
      </c>
      <c r="E244">
        <v>214</v>
      </c>
      <c r="F244" t="s">
        <v>295</v>
      </c>
    </row>
    <row r="245" spans="1:6" x14ac:dyDescent="0.3">
      <c r="A245" s="700">
        <v>45835.312650462962</v>
      </c>
      <c r="B245">
        <v>542361075</v>
      </c>
      <c r="C245" t="s">
        <v>293</v>
      </c>
      <c r="D245" t="s">
        <v>294</v>
      </c>
      <c r="E245">
        <v>215</v>
      </c>
      <c r="F245" t="s">
        <v>295</v>
      </c>
    </row>
    <row r="246" spans="1:6" x14ac:dyDescent="0.3">
      <c r="A246" s="700">
        <v>45835.311840277776</v>
      </c>
      <c r="B246">
        <v>542361075</v>
      </c>
      <c r="C246" t="s">
        <v>293</v>
      </c>
      <c r="D246" t="s">
        <v>294</v>
      </c>
      <c r="E246">
        <v>220</v>
      </c>
      <c r="F246" t="s">
        <v>295</v>
      </c>
    </row>
    <row r="247" spans="1:6" x14ac:dyDescent="0.3">
      <c r="A247" s="700">
        <v>45835.311620370368</v>
      </c>
      <c r="B247">
        <v>542361075</v>
      </c>
      <c r="C247" t="s">
        <v>293</v>
      </c>
      <c r="D247" t="s">
        <v>294</v>
      </c>
      <c r="E247">
        <v>145</v>
      </c>
      <c r="F247" t="s">
        <v>295</v>
      </c>
    </row>
    <row r="248" spans="1:6" x14ac:dyDescent="0.3">
      <c r="A248" s="700">
        <v>45835.310208333336</v>
      </c>
      <c r="B248">
        <v>542361075</v>
      </c>
      <c r="C248" t="s">
        <v>293</v>
      </c>
      <c r="D248" t="s">
        <v>294</v>
      </c>
      <c r="E248">
        <v>51</v>
      </c>
      <c r="F248" t="s">
        <v>295</v>
      </c>
    </row>
    <row r="249" spans="1:6" x14ac:dyDescent="0.3">
      <c r="A249" s="700">
        <v>45835.309224537035</v>
      </c>
      <c r="B249">
        <v>542361075</v>
      </c>
      <c r="C249" t="s">
        <v>293</v>
      </c>
      <c r="D249" t="s">
        <v>294</v>
      </c>
      <c r="E249">
        <v>141</v>
      </c>
      <c r="F249" t="s">
        <v>295</v>
      </c>
    </row>
    <row r="250" spans="1:6" x14ac:dyDescent="0.3">
      <c r="A250" s="700">
        <v>45835.309201388889</v>
      </c>
      <c r="B250">
        <v>542361075</v>
      </c>
      <c r="C250" t="s">
        <v>293</v>
      </c>
      <c r="D250" t="s">
        <v>294</v>
      </c>
      <c r="E250">
        <v>166</v>
      </c>
      <c r="F250" t="s">
        <v>295</v>
      </c>
    </row>
    <row r="251" spans="1:6" x14ac:dyDescent="0.3">
      <c r="A251" s="700">
        <v>45835.30877314815</v>
      </c>
      <c r="B251">
        <v>542361075</v>
      </c>
      <c r="C251" t="s">
        <v>293</v>
      </c>
      <c r="D251" t="s">
        <v>294</v>
      </c>
      <c r="E251">
        <v>95</v>
      </c>
      <c r="F251" t="s">
        <v>295</v>
      </c>
    </row>
    <row r="252" spans="1:6" x14ac:dyDescent="0.3">
      <c r="A252" s="700">
        <v>45835.303148148145</v>
      </c>
      <c r="B252">
        <v>542361075</v>
      </c>
      <c r="C252" t="s">
        <v>293</v>
      </c>
      <c r="D252" t="s">
        <v>294</v>
      </c>
      <c r="E252">
        <v>245</v>
      </c>
      <c r="F252" t="s">
        <v>295</v>
      </c>
    </row>
    <row r="253" spans="1:6" x14ac:dyDescent="0.3">
      <c r="A253" s="700">
        <v>45835.303113425929</v>
      </c>
      <c r="B253">
        <v>542361075</v>
      </c>
      <c r="C253" t="s">
        <v>293</v>
      </c>
      <c r="D253" t="s">
        <v>294</v>
      </c>
      <c r="E253">
        <v>262</v>
      </c>
      <c r="F253" t="s">
        <v>295</v>
      </c>
    </row>
    <row r="254" spans="1:6" x14ac:dyDescent="0.3">
      <c r="A254" s="700">
        <v>45835.303067129629</v>
      </c>
      <c r="B254">
        <v>542361075</v>
      </c>
      <c r="C254" t="s">
        <v>293</v>
      </c>
      <c r="D254" t="s">
        <v>294</v>
      </c>
      <c r="E254">
        <v>230</v>
      </c>
      <c r="F254" t="s">
        <v>295</v>
      </c>
    </row>
    <row r="255" spans="1:6" x14ac:dyDescent="0.3">
      <c r="A255" s="700">
        <v>45835.302997685183</v>
      </c>
      <c r="B255">
        <v>542361075</v>
      </c>
      <c r="C255" t="s">
        <v>293</v>
      </c>
      <c r="D255" t="s">
        <v>294</v>
      </c>
      <c r="E255">
        <v>721</v>
      </c>
      <c r="F255" t="s">
        <v>295</v>
      </c>
    </row>
    <row r="256" spans="1:6" x14ac:dyDescent="0.3">
      <c r="A256" s="700">
        <v>45835.302939814814</v>
      </c>
      <c r="B256">
        <v>542361075</v>
      </c>
      <c r="C256" t="s">
        <v>293</v>
      </c>
      <c r="D256" t="s">
        <v>294</v>
      </c>
      <c r="E256">
        <v>721</v>
      </c>
      <c r="F256" t="s">
        <v>295</v>
      </c>
    </row>
    <row r="257" spans="1:6" x14ac:dyDescent="0.3">
      <c r="A257" s="700">
        <v>45835.302881944444</v>
      </c>
      <c r="B257">
        <v>542361075</v>
      </c>
      <c r="C257" t="s">
        <v>293</v>
      </c>
      <c r="D257" t="s">
        <v>294</v>
      </c>
      <c r="E257">
        <v>239</v>
      </c>
      <c r="F257" t="s">
        <v>295</v>
      </c>
    </row>
    <row r="258" spans="1:6" x14ac:dyDescent="0.3">
      <c r="A258" s="700">
        <v>45835.302847222221</v>
      </c>
      <c r="B258">
        <v>542361075</v>
      </c>
      <c r="C258" t="s">
        <v>293</v>
      </c>
      <c r="D258" t="s">
        <v>294</v>
      </c>
      <c r="E258">
        <v>73</v>
      </c>
      <c r="F258" t="s">
        <v>295</v>
      </c>
    </row>
    <row r="259" spans="1:6" x14ac:dyDescent="0.3">
      <c r="A259" s="700">
        <v>45835.296400462961</v>
      </c>
      <c r="B259">
        <v>542361075</v>
      </c>
      <c r="C259" t="s">
        <v>293</v>
      </c>
      <c r="D259" t="s">
        <v>294</v>
      </c>
      <c r="E259">
        <v>241</v>
      </c>
      <c r="F259" t="s">
        <v>295</v>
      </c>
    </row>
    <row r="260" spans="1:6" x14ac:dyDescent="0.3">
      <c r="A260" s="700">
        <v>45835.283252314817</v>
      </c>
      <c r="B260">
        <v>542361075</v>
      </c>
      <c r="C260" t="s">
        <v>293</v>
      </c>
      <c r="D260" t="s">
        <v>294</v>
      </c>
      <c r="E260">
        <v>172</v>
      </c>
      <c r="F260" t="s">
        <v>295</v>
      </c>
    </row>
    <row r="261" spans="1:6" x14ac:dyDescent="0.3">
      <c r="A261" s="700">
        <v>45835.151770833334</v>
      </c>
      <c r="B261">
        <v>542361075</v>
      </c>
      <c r="C261" t="s">
        <v>293</v>
      </c>
      <c r="D261" t="s">
        <v>294</v>
      </c>
      <c r="E261">
        <v>250</v>
      </c>
      <c r="F261" t="s">
        <v>295</v>
      </c>
    </row>
    <row r="262" spans="1:6" x14ac:dyDescent="0.3">
      <c r="A262" s="700">
        <v>45835.151712962965</v>
      </c>
      <c r="B262">
        <v>542361075</v>
      </c>
      <c r="C262" t="s">
        <v>293</v>
      </c>
      <c r="D262" t="s">
        <v>294</v>
      </c>
      <c r="E262">
        <v>159</v>
      </c>
      <c r="F262" t="s">
        <v>295</v>
      </c>
    </row>
    <row r="263" spans="1:6" x14ac:dyDescent="0.3">
      <c r="A263" s="700">
        <v>45835.151608796295</v>
      </c>
      <c r="B263">
        <v>542361075</v>
      </c>
      <c r="C263" t="s">
        <v>293</v>
      </c>
      <c r="D263" t="s">
        <v>294</v>
      </c>
      <c r="E263">
        <v>9</v>
      </c>
      <c r="F263" t="s">
        <v>295</v>
      </c>
    </row>
    <row r="264" spans="1:6" x14ac:dyDescent="0.3">
      <c r="A264" s="700">
        <v>45835.151574074072</v>
      </c>
      <c r="B264">
        <v>542361075</v>
      </c>
      <c r="C264" t="s">
        <v>293</v>
      </c>
      <c r="D264" t="s">
        <v>294</v>
      </c>
      <c r="E264">
        <v>28</v>
      </c>
      <c r="F264" t="s">
        <v>295</v>
      </c>
    </row>
    <row r="265" spans="1:6" x14ac:dyDescent="0.3">
      <c r="A265" s="700">
        <v>45835.14298611111</v>
      </c>
      <c r="B265">
        <v>542361075</v>
      </c>
      <c r="C265" t="s">
        <v>293</v>
      </c>
      <c r="D265" t="s">
        <v>294</v>
      </c>
      <c r="E265">
        <v>228</v>
      </c>
      <c r="F265" t="s">
        <v>295</v>
      </c>
    </row>
    <row r="266" spans="1:6" x14ac:dyDescent="0.3">
      <c r="A266" s="700">
        <v>45835.122291666667</v>
      </c>
      <c r="B266">
        <v>542361075</v>
      </c>
      <c r="C266" t="s">
        <v>293</v>
      </c>
      <c r="D266" t="s">
        <v>294</v>
      </c>
      <c r="E266">
        <v>9</v>
      </c>
      <c r="F266" t="s">
        <v>295</v>
      </c>
    </row>
    <row r="267" spans="1:6" x14ac:dyDescent="0.3">
      <c r="A267" s="700">
        <v>45835.122187499997</v>
      </c>
      <c r="B267">
        <v>542361075</v>
      </c>
      <c r="C267" t="s">
        <v>293</v>
      </c>
      <c r="D267" t="s">
        <v>294</v>
      </c>
      <c r="E267">
        <v>159</v>
      </c>
      <c r="F267" t="s">
        <v>295</v>
      </c>
    </row>
    <row r="268" spans="1:6" x14ac:dyDescent="0.3">
      <c r="A268" s="700">
        <v>45835.121863425928</v>
      </c>
      <c r="B268">
        <v>542361075</v>
      </c>
      <c r="C268" t="s">
        <v>293</v>
      </c>
      <c r="D268" t="s">
        <v>294</v>
      </c>
      <c r="E268">
        <v>28</v>
      </c>
      <c r="F268" t="s">
        <v>295</v>
      </c>
    </row>
    <row r="269" spans="1:6" x14ac:dyDescent="0.3">
      <c r="A269" s="700">
        <v>45835.121574074074</v>
      </c>
      <c r="B269">
        <v>542361075</v>
      </c>
      <c r="C269" t="s">
        <v>293</v>
      </c>
      <c r="F269" t="s">
        <v>296</v>
      </c>
    </row>
    <row r="270" spans="1:6" x14ac:dyDescent="0.3">
      <c r="A270" s="700">
        <v>45835.121446759258</v>
      </c>
      <c r="B270">
        <v>542361075</v>
      </c>
      <c r="C270" t="s">
        <v>293</v>
      </c>
      <c r="D270" t="s">
        <v>294</v>
      </c>
      <c r="E270">
        <v>266</v>
      </c>
      <c r="F270" t="s">
        <v>295</v>
      </c>
    </row>
    <row r="271" spans="1:6" x14ac:dyDescent="0.3">
      <c r="A271" s="700">
        <v>45835.121296296296</v>
      </c>
      <c r="B271">
        <v>542361075</v>
      </c>
      <c r="C271" t="s">
        <v>293</v>
      </c>
      <c r="D271" t="s">
        <v>294</v>
      </c>
      <c r="E271">
        <v>250</v>
      </c>
      <c r="F271" t="s">
        <v>295</v>
      </c>
    </row>
    <row r="272" spans="1:6" x14ac:dyDescent="0.3">
      <c r="A272" s="700">
        <v>45835.121180555558</v>
      </c>
      <c r="B272">
        <v>542361075</v>
      </c>
      <c r="C272" t="s">
        <v>293</v>
      </c>
      <c r="D272" t="s">
        <v>294</v>
      </c>
      <c r="E272">
        <v>210</v>
      </c>
      <c r="F272" t="s">
        <v>295</v>
      </c>
    </row>
    <row r="273" spans="1:6" x14ac:dyDescent="0.3">
      <c r="A273" s="700">
        <v>45835.121134259258</v>
      </c>
      <c r="B273">
        <v>542361075</v>
      </c>
      <c r="C273" t="s">
        <v>293</v>
      </c>
      <c r="D273" t="s">
        <v>294</v>
      </c>
      <c r="E273">
        <v>227</v>
      </c>
      <c r="F273" t="s">
        <v>295</v>
      </c>
    </row>
    <row r="274" spans="1:6" x14ac:dyDescent="0.3">
      <c r="A274" s="700">
        <v>45835.120983796296</v>
      </c>
      <c r="B274">
        <v>542361075</v>
      </c>
      <c r="C274" t="s">
        <v>293</v>
      </c>
      <c r="D274" t="s">
        <v>294</v>
      </c>
      <c r="E274">
        <v>228</v>
      </c>
      <c r="F274" t="s">
        <v>295</v>
      </c>
    </row>
    <row r="275" spans="1:6" x14ac:dyDescent="0.3">
      <c r="A275" s="700">
        <v>45835.114872685182</v>
      </c>
      <c r="B275">
        <v>542361075</v>
      </c>
      <c r="C275" t="s">
        <v>293</v>
      </c>
      <c r="D275" t="s">
        <v>294</v>
      </c>
      <c r="E275">
        <v>75</v>
      </c>
      <c r="F275" t="s">
        <v>295</v>
      </c>
    </row>
    <row r="276" spans="1:6" x14ac:dyDescent="0.3">
      <c r="A276" s="700">
        <v>45835.114814814813</v>
      </c>
      <c r="B276">
        <v>542361075</v>
      </c>
      <c r="C276" t="s">
        <v>293</v>
      </c>
      <c r="D276" t="s">
        <v>294</v>
      </c>
      <c r="E276">
        <v>267</v>
      </c>
      <c r="F276" t="s">
        <v>295</v>
      </c>
    </row>
    <row r="277" spans="1:6" x14ac:dyDescent="0.3">
      <c r="A277" s="700">
        <v>45835.109560185185</v>
      </c>
      <c r="B277">
        <v>542361075</v>
      </c>
      <c r="C277" t="s">
        <v>293</v>
      </c>
      <c r="D277" t="s">
        <v>294</v>
      </c>
      <c r="E277">
        <v>214</v>
      </c>
      <c r="F277" t="s">
        <v>295</v>
      </c>
    </row>
    <row r="278" spans="1:6" x14ac:dyDescent="0.3">
      <c r="A278" s="700">
        <v>45835.093958333331</v>
      </c>
      <c r="B278">
        <v>542361075</v>
      </c>
      <c r="C278" t="s">
        <v>293</v>
      </c>
      <c r="D278" t="s">
        <v>294</v>
      </c>
      <c r="E278">
        <v>227</v>
      </c>
      <c r="F278" t="s">
        <v>295</v>
      </c>
    </row>
    <row r="279" spans="1:6" x14ac:dyDescent="0.3">
      <c r="A279" s="700">
        <v>45835.092858796299</v>
      </c>
      <c r="B279">
        <v>542361075</v>
      </c>
      <c r="C279" t="s">
        <v>293</v>
      </c>
      <c r="D279" t="s">
        <v>294</v>
      </c>
      <c r="E279">
        <v>75</v>
      </c>
      <c r="F279" t="s">
        <v>295</v>
      </c>
    </row>
    <row r="280" spans="1:6" x14ac:dyDescent="0.3">
      <c r="A280" s="700">
        <v>45835.092743055553</v>
      </c>
      <c r="B280">
        <v>542361075</v>
      </c>
      <c r="C280" t="s">
        <v>293</v>
      </c>
      <c r="D280" t="s">
        <v>294</v>
      </c>
      <c r="E280">
        <v>267</v>
      </c>
      <c r="F280" t="s">
        <v>295</v>
      </c>
    </row>
    <row r="281" spans="1:6" x14ac:dyDescent="0.3">
      <c r="A281" s="700">
        <v>45835.092048611114</v>
      </c>
      <c r="B281">
        <v>542361075</v>
      </c>
      <c r="C281" t="s">
        <v>293</v>
      </c>
      <c r="D281" t="s">
        <v>294</v>
      </c>
      <c r="E281">
        <v>266</v>
      </c>
      <c r="F281" t="s">
        <v>295</v>
      </c>
    </row>
    <row r="282" spans="1:6" x14ac:dyDescent="0.3">
      <c r="A282" s="700">
        <v>45835.092013888891</v>
      </c>
      <c r="B282">
        <v>542361075</v>
      </c>
      <c r="C282" t="s">
        <v>293</v>
      </c>
      <c r="D282" t="s">
        <v>294</v>
      </c>
      <c r="E282">
        <v>210</v>
      </c>
      <c r="F282" t="s">
        <v>295</v>
      </c>
    </row>
    <row r="283" spans="1:6" x14ac:dyDescent="0.3">
      <c r="A283" s="700">
        <v>45835.09097222222</v>
      </c>
      <c r="B283">
        <v>542361075</v>
      </c>
      <c r="C283" t="s">
        <v>293</v>
      </c>
      <c r="D283" t="s">
        <v>294</v>
      </c>
      <c r="E283">
        <v>135</v>
      </c>
      <c r="F283" t="s">
        <v>295</v>
      </c>
    </row>
    <row r="284" spans="1:6" x14ac:dyDescent="0.3">
      <c r="A284" s="700">
        <v>45835.090856481482</v>
      </c>
      <c r="B284">
        <v>542361075</v>
      </c>
      <c r="C284" t="s">
        <v>293</v>
      </c>
      <c r="D284" t="s">
        <v>294</v>
      </c>
      <c r="E284">
        <v>118</v>
      </c>
      <c r="F284" t="s">
        <v>295</v>
      </c>
    </row>
    <row r="285" spans="1:6" x14ac:dyDescent="0.3">
      <c r="A285" s="700">
        <v>45835.090277777781</v>
      </c>
      <c r="B285">
        <v>542361075</v>
      </c>
      <c r="C285" t="s">
        <v>293</v>
      </c>
      <c r="D285" t="s">
        <v>294</v>
      </c>
      <c r="E285">
        <v>214</v>
      </c>
      <c r="F285" t="s">
        <v>295</v>
      </c>
    </row>
    <row r="286" spans="1:6" x14ac:dyDescent="0.3">
      <c r="A286" s="700">
        <v>45835.087546296294</v>
      </c>
      <c r="B286">
        <v>542361075</v>
      </c>
      <c r="C286" t="s">
        <v>293</v>
      </c>
      <c r="D286" t="s">
        <v>294</v>
      </c>
      <c r="E286">
        <v>74</v>
      </c>
      <c r="F286" t="s">
        <v>295</v>
      </c>
    </row>
    <row r="287" spans="1:6" x14ac:dyDescent="0.3">
      <c r="A287" s="700">
        <v>45835.087500000001</v>
      </c>
      <c r="B287">
        <v>542361075</v>
      </c>
      <c r="C287" t="s">
        <v>293</v>
      </c>
      <c r="D287" t="s">
        <v>294</v>
      </c>
      <c r="E287">
        <v>29</v>
      </c>
      <c r="F287" t="s">
        <v>295</v>
      </c>
    </row>
    <row r="288" spans="1:6" x14ac:dyDescent="0.3">
      <c r="A288" s="700">
        <v>45835.086875000001</v>
      </c>
      <c r="B288">
        <v>542361075</v>
      </c>
      <c r="C288" t="s">
        <v>293</v>
      </c>
      <c r="D288" t="s">
        <v>294</v>
      </c>
      <c r="E288">
        <v>215</v>
      </c>
      <c r="F288" t="s">
        <v>295</v>
      </c>
    </row>
    <row r="289" spans="1:6" x14ac:dyDescent="0.3">
      <c r="A289" s="700">
        <v>45835.08556712963</v>
      </c>
      <c r="B289">
        <v>542361075</v>
      </c>
      <c r="C289" t="s">
        <v>293</v>
      </c>
      <c r="D289" t="s">
        <v>294</v>
      </c>
      <c r="E289">
        <v>254</v>
      </c>
      <c r="F289" t="s">
        <v>295</v>
      </c>
    </row>
    <row r="290" spans="1:6" x14ac:dyDescent="0.3">
      <c r="A290" s="700">
        <v>45835.066307870373</v>
      </c>
      <c r="B290">
        <v>542361075</v>
      </c>
      <c r="C290" t="s">
        <v>293</v>
      </c>
      <c r="D290" t="s">
        <v>294</v>
      </c>
      <c r="E290">
        <v>118</v>
      </c>
      <c r="F290" t="s">
        <v>295</v>
      </c>
    </row>
    <row r="291" spans="1:6" x14ac:dyDescent="0.3">
      <c r="A291" s="700">
        <v>45835.06622685185</v>
      </c>
      <c r="B291">
        <v>542361075</v>
      </c>
      <c r="C291" t="s">
        <v>293</v>
      </c>
      <c r="D291" t="s">
        <v>294</v>
      </c>
      <c r="E291">
        <v>135</v>
      </c>
      <c r="F291" t="s">
        <v>295</v>
      </c>
    </row>
    <row r="292" spans="1:6" x14ac:dyDescent="0.3">
      <c r="A292" s="700">
        <v>45835.066180555557</v>
      </c>
      <c r="B292">
        <v>542361075</v>
      </c>
      <c r="C292" t="s">
        <v>293</v>
      </c>
      <c r="D292" t="s">
        <v>294</v>
      </c>
      <c r="E292">
        <v>254</v>
      </c>
      <c r="F292" t="s">
        <v>295</v>
      </c>
    </row>
    <row r="293" spans="1:6" x14ac:dyDescent="0.3">
      <c r="A293" s="700">
        <v>45835.065185185187</v>
      </c>
      <c r="B293">
        <v>542361075</v>
      </c>
      <c r="C293" t="s">
        <v>293</v>
      </c>
      <c r="D293" t="s">
        <v>294</v>
      </c>
      <c r="E293">
        <v>74</v>
      </c>
      <c r="F293" t="s">
        <v>295</v>
      </c>
    </row>
    <row r="294" spans="1:6" x14ac:dyDescent="0.3">
      <c r="A294" s="700">
        <v>45835.065138888887</v>
      </c>
      <c r="B294">
        <v>542361075</v>
      </c>
      <c r="C294" t="s">
        <v>293</v>
      </c>
      <c r="D294" t="s">
        <v>294</v>
      </c>
      <c r="E294">
        <v>29</v>
      </c>
      <c r="F294" t="s">
        <v>295</v>
      </c>
    </row>
    <row r="295" spans="1:6" x14ac:dyDescent="0.3">
      <c r="A295" s="700">
        <v>45835.064745370371</v>
      </c>
      <c r="B295">
        <v>542361075</v>
      </c>
      <c r="C295" t="s">
        <v>293</v>
      </c>
      <c r="D295" t="s">
        <v>294</v>
      </c>
      <c r="E295">
        <v>215</v>
      </c>
      <c r="F295" t="s">
        <v>295</v>
      </c>
    </row>
    <row r="296" spans="1:6" x14ac:dyDescent="0.3">
      <c r="A296" s="700">
        <v>45835.051631944443</v>
      </c>
      <c r="B296">
        <v>542361075</v>
      </c>
      <c r="C296" t="s">
        <v>293</v>
      </c>
      <c r="D296" t="s">
        <v>294</v>
      </c>
      <c r="E296">
        <v>94</v>
      </c>
      <c r="F296" t="s">
        <v>295</v>
      </c>
    </row>
    <row r="297" spans="1:6" x14ac:dyDescent="0.3">
      <c r="A297" s="700">
        <v>45835.029247685183</v>
      </c>
      <c r="B297">
        <v>542361075</v>
      </c>
      <c r="C297" t="s">
        <v>293</v>
      </c>
      <c r="D297" t="s">
        <v>294</v>
      </c>
      <c r="E297">
        <v>94</v>
      </c>
      <c r="F297" t="s">
        <v>295</v>
      </c>
    </row>
    <row r="298" spans="1:6" x14ac:dyDescent="0.3">
      <c r="A298" s="700">
        <v>45834.98704861111</v>
      </c>
      <c r="B298">
        <v>542361075</v>
      </c>
      <c r="C298" t="s">
        <v>293</v>
      </c>
      <c r="D298" t="s">
        <v>294</v>
      </c>
      <c r="E298">
        <v>81</v>
      </c>
      <c r="F298" t="s">
        <v>295</v>
      </c>
    </row>
    <row r="299" spans="1:6" x14ac:dyDescent="0.3">
      <c r="A299" s="700">
        <v>45834.986006944448</v>
      </c>
      <c r="B299">
        <v>542361075</v>
      </c>
      <c r="C299" t="s">
        <v>293</v>
      </c>
      <c r="D299" t="s">
        <v>294</v>
      </c>
      <c r="E299">
        <v>158</v>
      </c>
      <c r="F299" t="s">
        <v>295</v>
      </c>
    </row>
    <row r="300" spans="1:6" x14ac:dyDescent="0.3">
      <c r="A300" s="700">
        <v>45834.985011574077</v>
      </c>
      <c r="B300">
        <v>542361075</v>
      </c>
      <c r="C300" t="s">
        <v>293</v>
      </c>
      <c r="D300" t="s">
        <v>294</v>
      </c>
      <c r="E300">
        <v>107</v>
      </c>
      <c r="F300" t="s">
        <v>295</v>
      </c>
    </row>
    <row r="301" spans="1:6" x14ac:dyDescent="0.3">
      <c r="A301" s="700">
        <v>45834.984594907408</v>
      </c>
      <c r="B301">
        <v>542361075</v>
      </c>
      <c r="C301" t="s">
        <v>293</v>
      </c>
      <c r="D301" t="s">
        <v>294</v>
      </c>
      <c r="E301">
        <v>210</v>
      </c>
      <c r="F301" t="s">
        <v>295</v>
      </c>
    </row>
    <row r="302" spans="1:6" x14ac:dyDescent="0.3">
      <c r="A302" s="700">
        <v>45834.982372685183</v>
      </c>
      <c r="B302">
        <v>542361075</v>
      </c>
      <c r="C302" t="s">
        <v>293</v>
      </c>
      <c r="D302" t="s">
        <v>294</v>
      </c>
      <c r="E302">
        <v>75</v>
      </c>
      <c r="F302" t="s">
        <v>295</v>
      </c>
    </row>
    <row r="303" spans="1:6" x14ac:dyDescent="0.3">
      <c r="A303" s="700">
        <v>45834.982083333336</v>
      </c>
      <c r="B303">
        <v>542361075</v>
      </c>
      <c r="C303" t="s">
        <v>293</v>
      </c>
      <c r="D303" t="s">
        <v>294</v>
      </c>
      <c r="E303">
        <v>228</v>
      </c>
      <c r="F303" t="s">
        <v>295</v>
      </c>
    </row>
    <row r="304" spans="1:6" x14ac:dyDescent="0.3">
      <c r="A304" s="700">
        <v>45834.981828703705</v>
      </c>
      <c r="B304">
        <v>542361075</v>
      </c>
      <c r="C304" t="s">
        <v>293</v>
      </c>
      <c r="D304" t="s">
        <v>294</v>
      </c>
      <c r="E304">
        <v>12</v>
      </c>
      <c r="F304" t="s">
        <v>295</v>
      </c>
    </row>
    <row r="305" spans="1:6" x14ac:dyDescent="0.3">
      <c r="A305" s="700">
        <v>45834.980937499997</v>
      </c>
      <c r="B305">
        <v>542361075</v>
      </c>
      <c r="C305" t="s">
        <v>293</v>
      </c>
      <c r="D305" t="s">
        <v>294</v>
      </c>
      <c r="E305">
        <v>135</v>
      </c>
      <c r="F305" t="s">
        <v>295</v>
      </c>
    </row>
    <row r="306" spans="1:6" x14ac:dyDescent="0.3">
      <c r="A306" s="700">
        <v>45834.980856481481</v>
      </c>
      <c r="B306">
        <v>542361075</v>
      </c>
      <c r="C306" t="s">
        <v>293</v>
      </c>
      <c r="D306" t="s">
        <v>294</v>
      </c>
      <c r="E306">
        <v>118</v>
      </c>
      <c r="F306" t="s">
        <v>295</v>
      </c>
    </row>
    <row r="307" spans="1:6" x14ac:dyDescent="0.3">
      <c r="A307" s="700">
        <v>45834.980532407404</v>
      </c>
      <c r="B307">
        <v>542361075</v>
      </c>
      <c r="C307" t="s">
        <v>293</v>
      </c>
      <c r="D307" t="s">
        <v>294</v>
      </c>
      <c r="E307">
        <v>30</v>
      </c>
      <c r="F307" t="s">
        <v>295</v>
      </c>
    </row>
    <row r="308" spans="1:6" x14ac:dyDescent="0.3">
      <c r="A308" s="700">
        <v>45834.980428240742</v>
      </c>
      <c r="B308">
        <v>542361075</v>
      </c>
      <c r="C308" t="s">
        <v>293</v>
      </c>
      <c r="D308" t="s">
        <v>294</v>
      </c>
      <c r="E308">
        <v>271</v>
      </c>
      <c r="F308" t="s">
        <v>295</v>
      </c>
    </row>
    <row r="309" spans="1:6" x14ac:dyDescent="0.3">
      <c r="A309" s="700">
        <v>45834.980381944442</v>
      </c>
      <c r="B309">
        <v>542361075</v>
      </c>
      <c r="C309" t="s">
        <v>293</v>
      </c>
      <c r="D309" t="s">
        <v>294</v>
      </c>
      <c r="E309">
        <v>70</v>
      </c>
      <c r="F309" t="s">
        <v>295</v>
      </c>
    </row>
    <row r="310" spans="1:6" x14ac:dyDescent="0.3">
      <c r="A310" s="700">
        <v>45834.979861111111</v>
      </c>
      <c r="B310">
        <v>542361075</v>
      </c>
      <c r="C310" t="s">
        <v>293</v>
      </c>
      <c r="D310" t="s">
        <v>294</v>
      </c>
      <c r="E310">
        <v>169</v>
      </c>
      <c r="F310" t="s">
        <v>295</v>
      </c>
    </row>
    <row r="311" spans="1:6" x14ac:dyDescent="0.3">
      <c r="A311" s="700">
        <v>45834.979537037034</v>
      </c>
      <c r="B311">
        <v>542361075</v>
      </c>
      <c r="C311" t="s">
        <v>293</v>
      </c>
      <c r="D311" t="s">
        <v>294</v>
      </c>
      <c r="E311">
        <v>266</v>
      </c>
      <c r="F311" t="s">
        <v>295</v>
      </c>
    </row>
    <row r="312" spans="1:6" x14ac:dyDescent="0.3">
      <c r="A312" s="700">
        <v>45834.977662037039</v>
      </c>
      <c r="B312">
        <v>542361075</v>
      </c>
      <c r="C312" t="s">
        <v>293</v>
      </c>
      <c r="D312" t="s">
        <v>294</v>
      </c>
      <c r="E312">
        <v>9</v>
      </c>
      <c r="F312" t="s">
        <v>295</v>
      </c>
    </row>
    <row r="313" spans="1:6" x14ac:dyDescent="0.3">
      <c r="A313" s="700">
        <v>45834.976597222223</v>
      </c>
      <c r="B313">
        <v>542361075</v>
      </c>
      <c r="C313" t="s">
        <v>293</v>
      </c>
      <c r="D313" t="s">
        <v>294</v>
      </c>
      <c r="E313">
        <v>250</v>
      </c>
      <c r="F313" t="s">
        <v>295</v>
      </c>
    </row>
    <row r="314" spans="1:6" x14ac:dyDescent="0.3">
      <c r="A314" s="700">
        <v>45834.97451388889</v>
      </c>
      <c r="B314">
        <v>542361075</v>
      </c>
      <c r="C314" t="s">
        <v>293</v>
      </c>
      <c r="D314" t="s">
        <v>294</v>
      </c>
      <c r="E314">
        <v>28</v>
      </c>
      <c r="F314" t="s">
        <v>295</v>
      </c>
    </row>
    <row r="315" spans="1:6" x14ac:dyDescent="0.3">
      <c r="A315" s="700">
        <v>45834.974456018521</v>
      </c>
      <c r="B315">
        <v>542361075</v>
      </c>
      <c r="C315" t="s">
        <v>293</v>
      </c>
      <c r="D315" t="s">
        <v>294</v>
      </c>
      <c r="E315">
        <v>59</v>
      </c>
      <c r="F315" t="s">
        <v>295</v>
      </c>
    </row>
    <row r="316" spans="1:6" x14ac:dyDescent="0.3">
      <c r="A316" s="700">
        <v>45834.974097222221</v>
      </c>
      <c r="B316">
        <v>542361075</v>
      </c>
      <c r="C316" t="s">
        <v>293</v>
      </c>
      <c r="D316" t="s">
        <v>294</v>
      </c>
      <c r="E316">
        <v>159</v>
      </c>
      <c r="F316" t="s">
        <v>295</v>
      </c>
    </row>
    <row r="317" spans="1:6" x14ac:dyDescent="0.3">
      <c r="A317" s="700">
        <v>45834.973865740743</v>
      </c>
      <c r="B317">
        <v>542361075</v>
      </c>
      <c r="C317" t="s">
        <v>293</v>
      </c>
      <c r="D317" t="s">
        <v>294</v>
      </c>
      <c r="E317">
        <v>267</v>
      </c>
      <c r="F317" t="s">
        <v>295</v>
      </c>
    </row>
    <row r="318" spans="1:6" x14ac:dyDescent="0.3">
      <c r="A318" s="700">
        <v>45834.973391203705</v>
      </c>
      <c r="B318">
        <v>542361075</v>
      </c>
      <c r="C318" t="s">
        <v>293</v>
      </c>
      <c r="D318" t="s">
        <v>294</v>
      </c>
      <c r="E318">
        <v>254</v>
      </c>
      <c r="F318" t="s">
        <v>295</v>
      </c>
    </row>
    <row r="319" spans="1:6" x14ac:dyDescent="0.3">
      <c r="A319" s="700">
        <v>45834.970173611109</v>
      </c>
      <c r="B319">
        <v>542361075</v>
      </c>
      <c r="C319" t="s">
        <v>293</v>
      </c>
      <c r="D319" t="s">
        <v>294</v>
      </c>
      <c r="E319">
        <v>214</v>
      </c>
      <c r="F319" t="s">
        <v>295</v>
      </c>
    </row>
    <row r="320" spans="1:6" x14ac:dyDescent="0.3">
      <c r="A320" s="700">
        <v>45834.969502314816</v>
      </c>
      <c r="B320">
        <v>542361075</v>
      </c>
      <c r="C320" t="s">
        <v>293</v>
      </c>
      <c r="D320" t="s">
        <v>294</v>
      </c>
      <c r="E320">
        <v>33</v>
      </c>
      <c r="F320" t="s">
        <v>295</v>
      </c>
    </row>
    <row r="321" spans="1:6" x14ac:dyDescent="0.3">
      <c r="A321" s="700">
        <v>45834.967499999999</v>
      </c>
      <c r="B321">
        <v>542361075</v>
      </c>
      <c r="C321" t="s">
        <v>293</v>
      </c>
      <c r="D321" t="s">
        <v>294</v>
      </c>
      <c r="E321">
        <v>29</v>
      </c>
      <c r="F321" t="s">
        <v>295</v>
      </c>
    </row>
    <row r="322" spans="1:6" x14ac:dyDescent="0.3">
      <c r="A322" s="700">
        <v>45834.966631944444</v>
      </c>
      <c r="B322">
        <v>542361075</v>
      </c>
      <c r="C322" t="s">
        <v>293</v>
      </c>
      <c r="D322" t="s">
        <v>294</v>
      </c>
      <c r="E322">
        <v>94</v>
      </c>
      <c r="F322" t="s">
        <v>295</v>
      </c>
    </row>
    <row r="323" spans="1:6" x14ac:dyDescent="0.3">
      <c r="A323" s="700">
        <v>45834.950057870374</v>
      </c>
      <c r="B323">
        <v>542361075</v>
      </c>
      <c r="C323" t="s">
        <v>293</v>
      </c>
      <c r="D323" t="s">
        <v>294</v>
      </c>
      <c r="E323">
        <v>227</v>
      </c>
      <c r="F323" t="s">
        <v>295</v>
      </c>
    </row>
    <row r="324" spans="1:6" x14ac:dyDescent="0.3">
      <c r="A324" s="700">
        <v>45834.949444444443</v>
      </c>
      <c r="B324">
        <v>542361075</v>
      </c>
      <c r="C324" t="s">
        <v>293</v>
      </c>
      <c r="D324" t="s">
        <v>294</v>
      </c>
      <c r="E324">
        <v>215</v>
      </c>
      <c r="F324" t="s">
        <v>295</v>
      </c>
    </row>
    <row r="325" spans="1:6" x14ac:dyDescent="0.3">
      <c r="A325" s="700">
        <v>45834.94939814815</v>
      </c>
      <c r="B325">
        <v>542361075</v>
      </c>
      <c r="C325" t="s">
        <v>293</v>
      </c>
      <c r="D325" t="s">
        <v>294</v>
      </c>
      <c r="E325">
        <v>74</v>
      </c>
      <c r="F325" t="s">
        <v>295</v>
      </c>
    </row>
    <row r="326" spans="1:6" x14ac:dyDescent="0.3">
      <c r="A326" s="700">
        <v>45834.808912037035</v>
      </c>
      <c r="B326">
        <v>542361075</v>
      </c>
      <c r="C326" t="s">
        <v>293</v>
      </c>
      <c r="D326" t="s">
        <v>294</v>
      </c>
      <c r="E326">
        <v>158</v>
      </c>
      <c r="F326" t="s">
        <v>295</v>
      </c>
    </row>
    <row r="327" spans="1:6" x14ac:dyDescent="0.3">
      <c r="A327" s="700">
        <v>45834.800335648149</v>
      </c>
      <c r="B327">
        <v>542361075</v>
      </c>
      <c r="C327" t="s">
        <v>293</v>
      </c>
      <c r="D327" t="s">
        <v>294</v>
      </c>
      <c r="E327">
        <v>264</v>
      </c>
      <c r="F327" t="s">
        <v>295</v>
      </c>
    </row>
    <row r="328" spans="1:6" x14ac:dyDescent="0.3">
      <c r="A328" s="700">
        <v>45834.794768518521</v>
      </c>
      <c r="B328">
        <v>542361075</v>
      </c>
      <c r="C328" t="s">
        <v>293</v>
      </c>
      <c r="D328" t="s">
        <v>294</v>
      </c>
      <c r="E328">
        <v>158</v>
      </c>
      <c r="F328" t="s">
        <v>295</v>
      </c>
    </row>
    <row r="329" spans="1:6" x14ac:dyDescent="0.3">
      <c r="A329" s="700">
        <v>45834.793692129628</v>
      </c>
      <c r="B329">
        <v>542361075</v>
      </c>
      <c r="C329" t="s">
        <v>293</v>
      </c>
      <c r="D329" t="s">
        <v>294</v>
      </c>
      <c r="E329">
        <v>239</v>
      </c>
      <c r="F329" t="s">
        <v>295</v>
      </c>
    </row>
    <row r="330" spans="1:6" x14ac:dyDescent="0.3">
      <c r="A330" s="700">
        <v>45834.793182870373</v>
      </c>
      <c r="B330">
        <v>542361075</v>
      </c>
      <c r="C330" t="s">
        <v>293</v>
      </c>
      <c r="D330" t="s">
        <v>294</v>
      </c>
      <c r="E330">
        <v>239</v>
      </c>
      <c r="F330" t="s">
        <v>295</v>
      </c>
    </row>
    <row r="331" spans="1:6" x14ac:dyDescent="0.3">
      <c r="A331" s="700">
        <v>45834.793124999997</v>
      </c>
      <c r="B331">
        <v>542361075</v>
      </c>
      <c r="C331" t="s">
        <v>293</v>
      </c>
      <c r="D331" t="s">
        <v>294</v>
      </c>
      <c r="E331">
        <v>239</v>
      </c>
      <c r="F331" t="s">
        <v>295</v>
      </c>
    </row>
    <row r="332" spans="1:6" x14ac:dyDescent="0.3">
      <c r="A332" s="700">
        <v>45834.706354166665</v>
      </c>
      <c r="B332">
        <v>542361075</v>
      </c>
      <c r="C332" t="s">
        <v>293</v>
      </c>
      <c r="D332" t="s">
        <v>294</v>
      </c>
      <c r="E332">
        <v>89</v>
      </c>
      <c r="F332" t="s">
        <v>295</v>
      </c>
    </row>
    <row r="333" spans="1:6" x14ac:dyDescent="0.3">
      <c r="A333" s="700">
        <v>45834.705949074072</v>
      </c>
      <c r="B333">
        <v>542361075</v>
      </c>
      <c r="C333" t="s">
        <v>293</v>
      </c>
      <c r="D333" t="s">
        <v>294</v>
      </c>
      <c r="E333">
        <v>41</v>
      </c>
      <c r="F333" t="s">
        <v>295</v>
      </c>
    </row>
    <row r="334" spans="1:6" x14ac:dyDescent="0.3">
      <c r="A334" s="700">
        <v>45834.705891203703</v>
      </c>
      <c r="B334">
        <v>542361075</v>
      </c>
      <c r="C334" t="s">
        <v>293</v>
      </c>
      <c r="D334" t="s">
        <v>294</v>
      </c>
      <c r="E334">
        <v>97</v>
      </c>
      <c r="F334" t="s">
        <v>295</v>
      </c>
    </row>
    <row r="335" spans="1:6" x14ac:dyDescent="0.3">
      <c r="A335" s="700">
        <v>45834.705625000002</v>
      </c>
      <c r="B335">
        <v>542361075</v>
      </c>
      <c r="C335" t="s">
        <v>293</v>
      </c>
      <c r="D335" t="s">
        <v>294</v>
      </c>
      <c r="E335">
        <v>256</v>
      </c>
      <c r="F335" t="s">
        <v>295</v>
      </c>
    </row>
    <row r="336" spans="1:6" x14ac:dyDescent="0.3">
      <c r="A336" s="700">
        <v>45834.70553240741</v>
      </c>
      <c r="B336">
        <v>542361075</v>
      </c>
      <c r="C336" t="s">
        <v>293</v>
      </c>
      <c r="D336" t="s">
        <v>294</v>
      </c>
      <c r="E336">
        <v>245</v>
      </c>
      <c r="F336" t="s">
        <v>295</v>
      </c>
    </row>
    <row r="337" spans="1:6" x14ac:dyDescent="0.3">
      <c r="A337" s="700">
        <v>45834.705208333333</v>
      </c>
      <c r="B337">
        <v>542361075</v>
      </c>
      <c r="C337" t="s">
        <v>293</v>
      </c>
      <c r="F337" t="s">
        <v>298</v>
      </c>
    </row>
    <row r="338" spans="1:6" x14ac:dyDescent="0.3">
      <c r="A338" s="700">
        <v>45834.703715277778</v>
      </c>
      <c r="B338">
        <v>542361075</v>
      </c>
      <c r="C338" t="s">
        <v>293</v>
      </c>
      <c r="D338" t="s">
        <v>294</v>
      </c>
      <c r="E338">
        <v>34</v>
      </c>
      <c r="F338" t="s">
        <v>295</v>
      </c>
    </row>
    <row r="339" spans="1:6" x14ac:dyDescent="0.3">
      <c r="A339" s="700">
        <v>45834.688831018517</v>
      </c>
      <c r="B339">
        <v>542361075</v>
      </c>
      <c r="C339" t="s">
        <v>293</v>
      </c>
      <c r="D339" t="s">
        <v>294</v>
      </c>
      <c r="E339">
        <v>145</v>
      </c>
      <c r="F339" t="s">
        <v>295</v>
      </c>
    </row>
    <row r="340" spans="1:6" x14ac:dyDescent="0.3">
      <c r="A340" s="700">
        <v>45834.680625000001</v>
      </c>
      <c r="B340">
        <v>542361075</v>
      </c>
      <c r="C340" t="s">
        <v>293</v>
      </c>
      <c r="D340" t="s">
        <v>294</v>
      </c>
      <c r="E340">
        <v>172</v>
      </c>
      <c r="F340" t="s">
        <v>295</v>
      </c>
    </row>
    <row r="341" spans="1:6" x14ac:dyDescent="0.3">
      <c r="A341" s="700">
        <v>45834.655694444446</v>
      </c>
      <c r="B341">
        <v>542361075</v>
      </c>
      <c r="C341" t="s">
        <v>293</v>
      </c>
      <c r="D341" t="s">
        <v>294</v>
      </c>
      <c r="E341">
        <v>63</v>
      </c>
      <c r="F341" t="s">
        <v>295</v>
      </c>
    </row>
    <row r="342" spans="1:6" x14ac:dyDescent="0.3">
      <c r="A342" s="700">
        <v>45834.653055555558</v>
      </c>
      <c r="B342">
        <v>542361075</v>
      </c>
      <c r="C342" t="s">
        <v>293</v>
      </c>
      <c r="D342" t="s">
        <v>294</v>
      </c>
      <c r="E342">
        <v>19</v>
      </c>
      <c r="F342" t="s">
        <v>295</v>
      </c>
    </row>
    <row r="343" spans="1:6" x14ac:dyDescent="0.3">
      <c r="A343" s="700">
        <v>45834.652905092589</v>
      </c>
      <c r="B343">
        <v>542361075</v>
      </c>
      <c r="C343" t="s">
        <v>293</v>
      </c>
      <c r="D343" t="s">
        <v>294</v>
      </c>
      <c r="E343">
        <v>247</v>
      </c>
      <c r="F343" t="s">
        <v>295</v>
      </c>
    </row>
    <row r="344" spans="1:6" x14ac:dyDescent="0.3">
      <c r="A344" s="700">
        <v>45834.649351851855</v>
      </c>
      <c r="B344">
        <v>542361075</v>
      </c>
      <c r="C344" t="s">
        <v>293</v>
      </c>
      <c r="D344" t="s">
        <v>294</v>
      </c>
      <c r="E344">
        <v>141</v>
      </c>
      <c r="F344" t="s">
        <v>295</v>
      </c>
    </row>
    <row r="345" spans="1:6" x14ac:dyDescent="0.3">
      <c r="A345" s="700">
        <v>45834.649305555555</v>
      </c>
      <c r="B345">
        <v>542361075</v>
      </c>
      <c r="C345" t="s">
        <v>293</v>
      </c>
      <c r="D345" t="s">
        <v>294</v>
      </c>
      <c r="E345">
        <v>166</v>
      </c>
      <c r="F345" t="s">
        <v>295</v>
      </c>
    </row>
    <row r="346" spans="1:6" x14ac:dyDescent="0.3">
      <c r="A346" s="700">
        <v>45834.648217592592</v>
      </c>
      <c r="B346">
        <v>542361075</v>
      </c>
      <c r="C346" t="s">
        <v>293</v>
      </c>
      <c r="D346" t="s">
        <v>294</v>
      </c>
      <c r="E346">
        <v>158</v>
      </c>
      <c r="F346" t="s">
        <v>295</v>
      </c>
    </row>
    <row r="347" spans="1:6" x14ac:dyDescent="0.3">
      <c r="A347" s="700">
        <v>45834.647164351853</v>
      </c>
      <c r="B347">
        <v>542361075</v>
      </c>
      <c r="C347" t="s">
        <v>293</v>
      </c>
      <c r="D347" t="s">
        <v>294</v>
      </c>
      <c r="E347">
        <v>51</v>
      </c>
      <c r="F347" t="s">
        <v>295</v>
      </c>
    </row>
    <row r="348" spans="1:6" x14ac:dyDescent="0.3">
      <c r="A348" s="700">
        <v>45834.647048611114</v>
      </c>
      <c r="B348">
        <v>542361075</v>
      </c>
      <c r="C348" t="s">
        <v>293</v>
      </c>
      <c r="D348" t="s">
        <v>294</v>
      </c>
      <c r="E348">
        <v>169</v>
      </c>
      <c r="F348" t="s">
        <v>295</v>
      </c>
    </row>
    <row r="349" spans="1:6" x14ac:dyDescent="0.3">
      <c r="A349" s="700">
        <v>45834.646736111114</v>
      </c>
      <c r="B349">
        <v>542361075</v>
      </c>
      <c r="C349" t="s">
        <v>293</v>
      </c>
      <c r="D349" t="s">
        <v>294</v>
      </c>
      <c r="E349">
        <v>146</v>
      </c>
      <c r="F349" t="s">
        <v>295</v>
      </c>
    </row>
    <row r="350" spans="1:6" x14ac:dyDescent="0.3">
      <c r="A350" s="700">
        <v>45834.646678240744</v>
      </c>
      <c r="B350">
        <v>542361075</v>
      </c>
      <c r="C350" t="s">
        <v>293</v>
      </c>
      <c r="D350" t="s">
        <v>294</v>
      </c>
      <c r="E350">
        <v>269</v>
      </c>
      <c r="F350" t="s">
        <v>295</v>
      </c>
    </row>
    <row r="351" spans="1:6" x14ac:dyDescent="0.3">
      <c r="A351" s="700">
        <v>45834.646620370368</v>
      </c>
      <c r="B351">
        <v>542361075</v>
      </c>
      <c r="C351" t="s">
        <v>293</v>
      </c>
      <c r="F351" t="s">
        <v>296</v>
      </c>
    </row>
    <row r="352" spans="1:6" x14ac:dyDescent="0.3">
      <c r="A352" s="700">
        <v>45834.646423611113</v>
      </c>
      <c r="B352">
        <v>542361075</v>
      </c>
      <c r="C352" t="s">
        <v>293</v>
      </c>
      <c r="D352" t="s">
        <v>294</v>
      </c>
      <c r="E352">
        <v>222</v>
      </c>
      <c r="F352" t="s">
        <v>295</v>
      </c>
    </row>
    <row r="353" spans="1:6" x14ac:dyDescent="0.3">
      <c r="A353" s="700">
        <v>45834.646377314813</v>
      </c>
      <c r="B353">
        <v>542361075</v>
      </c>
      <c r="C353" t="s">
        <v>293</v>
      </c>
      <c r="D353" t="s">
        <v>294</v>
      </c>
      <c r="E353">
        <v>12</v>
      </c>
      <c r="F353" t="s">
        <v>295</v>
      </c>
    </row>
    <row r="354" spans="1:6" x14ac:dyDescent="0.3">
      <c r="A354" s="700">
        <v>45834.646331018521</v>
      </c>
      <c r="B354">
        <v>542361075</v>
      </c>
      <c r="C354" t="s">
        <v>293</v>
      </c>
      <c r="D354" t="s">
        <v>294</v>
      </c>
      <c r="E354">
        <v>81</v>
      </c>
      <c r="F354" t="s">
        <v>295</v>
      </c>
    </row>
    <row r="355" spans="1:6" x14ac:dyDescent="0.3">
      <c r="A355" s="700">
        <v>45834.646273148152</v>
      </c>
      <c r="B355">
        <v>542361075</v>
      </c>
      <c r="C355" t="s">
        <v>293</v>
      </c>
      <c r="D355" t="s">
        <v>294</v>
      </c>
      <c r="E355">
        <v>262</v>
      </c>
      <c r="F355" t="s">
        <v>295</v>
      </c>
    </row>
    <row r="356" spans="1:6" x14ac:dyDescent="0.3">
      <c r="A356" s="700">
        <v>45834.646238425928</v>
      </c>
      <c r="B356">
        <v>542361075</v>
      </c>
      <c r="C356" t="s">
        <v>293</v>
      </c>
      <c r="D356" t="s">
        <v>294</v>
      </c>
      <c r="E356">
        <v>241</v>
      </c>
      <c r="F356" t="s">
        <v>295</v>
      </c>
    </row>
    <row r="357" spans="1:6" x14ac:dyDescent="0.3">
      <c r="A357" s="700">
        <v>45834.646192129629</v>
      </c>
      <c r="B357">
        <v>542361075</v>
      </c>
      <c r="C357" t="s">
        <v>293</v>
      </c>
      <c r="D357" t="s">
        <v>294</v>
      </c>
      <c r="E357">
        <v>73</v>
      </c>
      <c r="F357" t="s">
        <v>295</v>
      </c>
    </row>
    <row r="358" spans="1:6" x14ac:dyDescent="0.3">
      <c r="A358" s="700">
        <v>45834.646157407406</v>
      </c>
      <c r="B358">
        <v>542361075</v>
      </c>
      <c r="C358" t="s">
        <v>293</v>
      </c>
      <c r="D358" t="s">
        <v>294</v>
      </c>
      <c r="E358">
        <v>230</v>
      </c>
      <c r="F358" t="s">
        <v>295</v>
      </c>
    </row>
    <row r="359" spans="1:6" x14ac:dyDescent="0.3">
      <c r="A359" s="700">
        <v>45834.646018518521</v>
      </c>
      <c r="B359">
        <v>542361075</v>
      </c>
      <c r="C359" t="s">
        <v>293</v>
      </c>
      <c r="D359" t="s">
        <v>294</v>
      </c>
      <c r="E359">
        <v>226</v>
      </c>
      <c r="F359" t="s">
        <v>295</v>
      </c>
    </row>
    <row r="360" spans="1:6" x14ac:dyDescent="0.3">
      <c r="A360" s="700">
        <v>45834.644004629627</v>
      </c>
      <c r="B360">
        <v>542361075</v>
      </c>
      <c r="C360" t="s">
        <v>293</v>
      </c>
      <c r="D360" t="s">
        <v>294</v>
      </c>
      <c r="E360">
        <v>271</v>
      </c>
      <c r="F360" t="s">
        <v>295</v>
      </c>
    </row>
    <row r="361" spans="1:6" x14ac:dyDescent="0.3">
      <c r="A361" s="700">
        <v>45834.643969907411</v>
      </c>
      <c r="B361">
        <v>542361075</v>
      </c>
      <c r="C361" t="s">
        <v>293</v>
      </c>
      <c r="D361" t="s">
        <v>294</v>
      </c>
      <c r="E361">
        <v>70</v>
      </c>
      <c r="F361" t="s">
        <v>295</v>
      </c>
    </row>
    <row r="362" spans="1:6" x14ac:dyDescent="0.3">
      <c r="A362" s="700">
        <v>45834.643912037034</v>
      </c>
      <c r="B362">
        <v>542361075</v>
      </c>
      <c r="C362" t="s">
        <v>293</v>
      </c>
      <c r="D362" t="s">
        <v>294</v>
      </c>
      <c r="E362">
        <v>30</v>
      </c>
      <c r="F362" t="s">
        <v>295</v>
      </c>
    </row>
    <row r="363" spans="1:6" x14ac:dyDescent="0.3">
      <c r="A363" s="700">
        <v>45834.635115740741</v>
      </c>
      <c r="B363">
        <v>542361075</v>
      </c>
      <c r="C363" t="s">
        <v>293</v>
      </c>
      <c r="D363" t="s">
        <v>294</v>
      </c>
      <c r="E363">
        <v>264</v>
      </c>
      <c r="F363" t="s">
        <v>295</v>
      </c>
    </row>
    <row r="364" spans="1:6" x14ac:dyDescent="0.3">
      <c r="A364" s="700">
        <v>45834.528877314813</v>
      </c>
      <c r="B364">
        <v>542361075</v>
      </c>
      <c r="C364" t="s">
        <v>293</v>
      </c>
      <c r="D364" t="s">
        <v>294</v>
      </c>
      <c r="E364">
        <v>107</v>
      </c>
      <c r="F364" t="s">
        <v>295</v>
      </c>
    </row>
    <row r="365" spans="1:6" x14ac:dyDescent="0.3">
      <c r="A365" s="700">
        <v>45834.473657407405</v>
      </c>
      <c r="B365">
        <v>542361075</v>
      </c>
      <c r="C365" t="s">
        <v>293</v>
      </c>
      <c r="D365" t="s">
        <v>294</v>
      </c>
      <c r="E365">
        <v>256</v>
      </c>
      <c r="F365" t="s">
        <v>295</v>
      </c>
    </row>
    <row r="366" spans="1:6" x14ac:dyDescent="0.3">
      <c r="A366" s="700">
        <v>45834.464791666665</v>
      </c>
      <c r="B366">
        <v>542361075</v>
      </c>
      <c r="C366" t="s">
        <v>293</v>
      </c>
      <c r="D366" t="s">
        <v>294</v>
      </c>
      <c r="E366">
        <v>146</v>
      </c>
      <c r="F366" t="s">
        <v>295</v>
      </c>
    </row>
    <row r="367" spans="1:6" x14ac:dyDescent="0.3">
      <c r="A367" s="700">
        <v>45834.4453587963</v>
      </c>
      <c r="B367">
        <v>542361075</v>
      </c>
      <c r="C367" t="s">
        <v>293</v>
      </c>
      <c r="D367" t="s">
        <v>294</v>
      </c>
      <c r="E367">
        <v>146</v>
      </c>
      <c r="F367" t="s">
        <v>295</v>
      </c>
    </row>
    <row r="368" spans="1:6" x14ac:dyDescent="0.3">
      <c r="A368" s="700">
        <v>45834.441064814811</v>
      </c>
      <c r="B368">
        <v>542361075</v>
      </c>
      <c r="C368" t="s">
        <v>293</v>
      </c>
      <c r="D368" t="s">
        <v>294</v>
      </c>
      <c r="E368">
        <v>95</v>
      </c>
      <c r="F368" t="s">
        <v>295</v>
      </c>
    </row>
    <row r="369" spans="1:6" x14ac:dyDescent="0.3">
      <c r="A369" s="700">
        <v>45834.441006944442</v>
      </c>
      <c r="B369">
        <v>542361075</v>
      </c>
      <c r="C369" t="s">
        <v>293</v>
      </c>
      <c r="D369" t="s">
        <v>294</v>
      </c>
      <c r="E369">
        <v>269</v>
      </c>
      <c r="F369" t="s">
        <v>295</v>
      </c>
    </row>
    <row r="370" spans="1:6" x14ac:dyDescent="0.3">
      <c r="A370" s="700">
        <v>45834.421689814815</v>
      </c>
      <c r="B370">
        <v>542361075</v>
      </c>
      <c r="C370" t="s">
        <v>293</v>
      </c>
      <c r="F370" t="s">
        <v>299</v>
      </c>
    </row>
    <row r="371" spans="1:6" x14ac:dyDescent="0.3">
      <c r="A371" s="700">
        <v>45834.420474537037</v>
      </c>
      <c r="B371">
        <v>542361075</v>
      </c>
      <c r="C371" t="s">
        <v>293</v>
      </c>
      <c r="F371" t="s">
        <v>298</v>
      </c>
    </row>
    <row r="372" spans="1:6" x14ac:dyDescent="0.3">
      <c r="A372" s="700">
        <v>45834.418877314813</v>
      </c>
      <c r="B372">
        <v>542361075</v>
      </c>
      <c r="C372" t="s">
        <v>293</v>
      </c>
      <c r="D372" t="s">
        <v>294</v>
      </c>
      <c r="E372">
        <v>95</v>
      </c>
      <c r="F372" t="s">
        <v>295</v>
      </c>
    </row>
    <row r="373" spans="1:6" x14ac:dyDescent="0.3">
      <c r="A373" s="700">
        <v>45834.417303240742</v>
      </c>
      <c r="B373">
        <v>542361075</v>
      </c>
      <c r="C373" t="s">
        <v>293</v>
      </c>
      <c r="D373" t="s">
        <v>294</v>
      </c>
      <c r="E373">
        <v>222</v>
      </c>
      <c r="F373" t="s">
        <v>295</v>
      </c>
    </row>
    <row r="374" spans="1:6" x14ac:dyDescent="0.3">
      <c r="A374" s="700">
        <v>45834.416527777779</v>
      </c>
      <c r="B374">
        <v>542361075</v>
      </c>
      <c r="C374" t="s">
        <v>293</v>
      </c>
      <c r="D374" t="s">
        <v>294</v>
      </c>
      <c r="E374">
        <v>269</v>
      </c>
      <c r="F374" t="s">
        <v>295</v>
      </c>
    </row>
    <row r="375" spans="1:6" x14ac:dyDescent="0.3">
      <c r="A375" s="700">
        <v>45834.377743055556</v>
      </c>
      <c r="B375">
        <v>542361075</v>
      </c>
      <c r="C375" t="s">
        <v>293</v>
      </c>
      <c r="D375" t="s">
        <v>294</v>
      </c>
      <c r="E375">
        <v>34</v>
      </c>
      <c r="F375" t="s">
        <v>295</v>
      </c>
    </row>
    <row r="376" spans="1:6" x14ac:dyDescent="0.3">
      <c r="A376" s="700">
        <v>45834.349988425929</v>
      </c>
      <c r="B376">
        <v>542361075</v>
      </c>
      <c r="C376" t="s">
        <v>293</v>
      </c>
      <c r="D376" t="s">
        <v>294</v>
      </c>
      <c r="E376">
        <v>89</v>
      </c>
      <c r="F376" t="s">
        <v>295</v>
      </c>
    </row>
    <row r="377" spans="1:6" x14ac:dyDescent="0.3">
      <c r="A377" s="700">
        <v>45834.348113425927</v>
      </c>
      <c r="B377">
        <v>542361075</v>
      </c>
      <c r="C377" t="s">
        <v>293</v>
      </c>
      <c r="F377" t="s">
        <v>299</v>
      </c>
    </row>
    <row r="378" spans="1:6" x14ac:dyDescent="0.3">
      <c r="A378" s="700">
        <v>45834.346620370372</v>
      </c>
      <c r="B378">
        <v>542361075</v>
      </c>
      <c r="C378" t="s">
        <v>293</v>
      </c>
      <c r="D378" t="s">
        <v>294</v>
      </c>
      <c r="E378">
        <v>41</v>
      </c>
      <c r="F378" t="s">
        <v>295</v>
      </c>
    </row>
    <row r="379" spans="1:6" x14ac:dyDescent="0.3">
      <c r="A379" s="700">
        <v>45834.338958333334</v>
      </c>
      <c r="B379">
        <v>542361075</v>
      </c>
      <c r="C379" t="s">
        <v>293</v>
      </c>
      <c r="D379" t="s">
        <v>294</v>
      </c>
      <c r="E379">
        <v>97</v>
      </c>
      <c r="F379" t="s">
        <v>295</v>
      </c>
    </row>
    <row r="380" spans="1:6" x14ac:dyDescent="0.3">
      <c r="A380" s="700">
        <v>45834.327002314814</v>
      </c>
      <c r="B380">
        <v>542361075</v>
      </c>
      <c r="C380" t="s">
        <v>293</v>
      </c>
      <c r="D380" t="s">
        <v>294</v>
      </c>
      <c r="E380">
        <v>35</v>
      </c>
      <c r="F380" t="s">
        <v>295</v>
      </c>
    </row>
    <row r="381" spans="1:6" x14ac:dyDescent="0.3">
      <c r="A381" s="700">
        <v>45834.326967592591</v>
      </c>
      <c r="B381">
        <v>542361075</v>
      </c>
      <c r="C381" t="s">
        <v>293</v>
      </c>
      <c r="D381" t="s">
        <v>294</v>
      </c>
      <c r="E381">
        <v>35</v>
      </c>
      <c r="F381" t="s">
        <v>295</v>
      </c>
    </row>
    <row r="382" spans="1:6" x14ac:dyDescent="0.3">
      <c r="A382" s="700">
        <v>45834.32471064815</v>
      </c>
      <c r="B382">
        <v>542361075</v>
      </c>
      <c r="C382" t="s">
        <v>293</v>
      </c>
      <c r="D382" t="s">
        <v>294</v>
      </c>
      <c r="E382">
        <v>94</v>
      </c>
      <c r="F382" t="s">
        <v>295</v>
      </c>
    </row>
    <row r="383" spans="1:6" x14ac:dyDescent="0.3">
      <c r="A383" s="700">
        <v>45834.320370370369</v>
      </c>
      <c r="B383">
        <v>542361075</v>
      </c>
      <c r="C383" t="s">
        <v>293</v>
      </c>
      <c r="D383" t="s">
        <v>294</v>
      </c>
      <c r="E383">
        <v>256</v>
      </c>
      <c r="F383" t="s">
        <v>295</v>
      </c>
    </row>
    <row r="384" spans="1:6" x14ac:dyDescent="0.3">
      <c r="A384" s="700">
        <v>45834.319351851853</v>
      </c>
      <c r="B384">
        <v>542361075</v>
      </c>
      <c r="C384" t="s">
        <v>293</v>
      </c>
      <c r="D384" t="s">
        <v>294</v>
      </c>
      <c r="E384">
        <v>247</v>
      </c>
      <c r="F384" t="s">
        <v>295</v>
      </c>
    </row>
    <row r="385" spans="1:6" x14ac:dyDescent="0.3">
      <c r="A385" s="700">
        <v>45834.318831018521</v>
      </c>
      <c r="B385">
        <v>542361075</v>
      </c>
      <c r="C385" t="s">
        <v>293</v>
      </c>
      <c r="D385" t="s">
        <v>294</v>
      </c>
      <c r="E385">
        <v>9</v>
      </c>
      <c r="F385" t="s">
        <v>295</v>
      </c>
    </row>
    <row r="386" spans="1:6" x14ac:dyDescent="0.3">
      <c r="A386" s="700">
        <v>45834.317152777781</v>
      </c>
      <c r="B386">
        <v>542361075</v>
      </c>
      <c r="C386" t="s">
        <v>293</v>
      </c>
      <c r="D386" t="s">
        <v>294</v>
      </c>
      <c r="E386">
        <v>135</v>
      </c>
      <c r="F386" t="s">
        <v>295</v>
      </c>
    </row>
    <row r="387" spans="1:6" x14ac:dyDescent="0.3">
      <c r="A387" s="700">
        <v>45834.316168981481</v>
      </c>
      <c r="B387">
        <v>542361075</v>
      </c>
      <c r="C387" t="s">
        <v>293</v>
      </c>
      <c r="D387" t="s">
        <v>294</v>
      </c>
      <c r="E387">
        <v>269</v>
      </c>
      <c r="F387" t="s">
        <v>295</v>
      </c>
    </row>
    <row r="388" spans="1:6" x14ac:dyDescent="0.3">
      <c r="A388" s="700">
        <v>45834.316006944442</v>
      </c>
      <c r="B388">
        <v>542361075</v>
      </c>
      <c r="C388" t="s">
        <v>293</v>
      </c>
      <c r="D388" t="s">
        <v>294</v>
      </c>
      <c r="E388">
        <v>159</v>
      </c>
      <c r="F388" t="s">
        <v>295</v>
      </c>
    </row>
    <row r="389" spans="1:6" x14ac:dyDescent="0.3">
      <c r="A389" s="700">
        <v>45834.315405092595</v>
      </c>
      <c r="B389">
        <v>542361075</v>
      </c>
      <c r="C389" t="s">
        <v>293</v>
      </c>
      <c r="D389" t="s">
        <v>294</v>
      </c>
      <c r="E389">
        <v>19</v>
      </c>
      <c r="F389" t="s">
        <v>295</v>
      </c>
    </row>
    <row r="390" spans="1:6" x14ac:dyDescent="0.3">
      <c r="A390" s="700">
        <v>45834.315300925926</v>
      </c>
      <c r="B390">
        <v>542361075</v>
      </c>
      <c r="C390" t="s">
        <v>293</v>
      </c>
      <c r="D390" t="s">
        <v>294</v>
      </c>
      <c r="E390">
        <v>51</v>
      </c>
      <c r="F390" t="s">
        <v>295</v>
      </c>
    </row>
    <row r="391" spans="1:6" x14ac:dyDescent="0.3">
      <c r="A391" s="700">
        <v>45834.314641203702</v>
      </c>
      <c r="B391">
        <v>542361075</v>
      </c>
      <c r="C391" t="s">
        <v>293</v>
      </c>
      <c r="D391" t="s">
        <v>294</v>
      </c>
      <c r="E391">
        <v>75</v>
      </c>
      <c r="F391" t="s">
        <v>295</v>
      </c>
    </row>
    <row r="392" spans="1:6" x14ac:dyDescent="0.3">
      <c r="A392" s="700">
        <v>45834.314317129632</v>
      </c>
      <c r="B392">
        <v>542361075</v>
      </c>
      <c r="C392" t="s">
        <v>293</v>
      </c>
      <c r="D392" t="s">
        <v>294</v>
      </c>
      <c r="E392">
        <v>95</v>
      </c>
      <c r="F392" t="s">
        <v>295</v>
      </c>
    </row>
    <row r="393" spans="1:6" x14ac:dyDescent="0.3">
      <c r="A393" s="700">
        <v>45834.314097222225</v>
      </c>
      <c r="B393">
        <v>542361075</v>
      </c>
      <c r="C393" t="s">
        <v>293</v>
      </c>
      <c r="D393" t="s">
        <v>294</v>
      </c>
      <c r="E393">
        <v>262</v>
      </c>
      <c r="F393" t="s">
        <v>295</v>
      </c>
    </row>
    <row r="394" spans="1:6" x14ac:dyDescent="0.3">
      <c r="A394" s="700">
        <v>45834.314039351855</v>
      </c>
      <c r="B394">
        <v>542361075</v>
      </c>
      <c r="C394" t="s">
        <v>293</v>
      </c>
      <c r="D394" t="s">
        <v>294</v>
      </c>
      <c r="E394">
        <v>226</v>
      </c>
      <c r="F394" t="s">
        <v>295</v>
      </c>
    </row>
    <row r="395" spans="1:6" x14ac:dyDescent="0.3">
      <c r="A395" s="700">
        <v>45834.313888888886</v>
      </c>
      <c r="B395">
        <v>542361075</v>
      </c>
      <c r="C395" t="s">
        <v>293</v>
      </c>
      <c r="D395" t="s">
        <v>294</v>
      </c>
      <c r="E395">
        <v>210</v>
      </c>
      <c r="F395" t="s">
        <v>295</v>
      </c>
    </row>
    <row r="396" spans="1:6" x14ac:dyDescent="0.3">
      <c r="A396" s="700">
        <v>45834.313854166663</v>
      </c>
      <c r="B396">
        <v>542361075</v>
      </c>
      <c r="C396" t="s">
        <v>293</v>
      </c>
      <c r="D396" t="s">
        <v>294</v>
      </c>
      <c r="E396">
        <v>266</v>
      </c>
      <c r="F396" t="s">
        <v>295</v>
      </c>
    </row>
    <row r="397" spans="1:6" x14ac:dyDescent="0.3">
      <c r="A397" s="700">
        <v>45834.313460648147</v>
      </c>
      <c r="B397">
        <v>542361075</v>
      </c>
      <c r="C397" t="s">
        <v>293</v>
      </c>
      <c r="D397" t="s">
        <v>294</v>
      </c>
      <c r="E397">
        <v>29</v>
      </c>
      <c r="F397" t="s">
        <v>295</v>
      </c>
    </row>
    <row r="398" spans="1:6" x14ac:dyDescent="0.3">
      <c r="A398" s="700">
        <v>45834.313414351855</v>
      </c>
      <c r="B398">
        <v>542361075</v>
      </c>
      <c r="C398" t="s">
        <v>293</v>
      </c>
      <c r="D398" t="s">
        <v>294</v>
      </c>
      <c r="E398">
        <v>267</v>
      </c>
      <c r="F398" t="s">
        <v>295</v>
      </c>
    </row>
    <row r="399" spans="1:6" x14ac:dyDescent="0.3">
      <c r="A399" s="700">
        <v>45834.313368055555</v>
      </c>
      <c r="B399">
        <v>542361075</v>
      </c>
      <c r="C399" t="s">
        <v>293</v>
      </c>
      <c r="D399" t="s">
        <v>294</v>
      </c>
      <c r="E399">
        <v>74</v>
      </c>
      <c r="F399" t="s">
        <v>295</v>
      </c>
    </row>
    <row r="400" spans="1:6" x14ac:dyDescent="0.3">
      <c r="A400" s="700">
        <v>45834.313333333332</v>
      </c>
      <c r="B400">
        <v>542361075</v>
      </c>
      <c r="C400" t="s">
        <v>293</v>
      </c>
      <c r="D400" t="s">
        <v>294</v>
      </c>
      <c r="E400">
        <v>118</v>
      </c>
      <c r="F400" t="s">
        <v>295</v>
      </c>
    </row>
    <row r="401" spans="1:6" x14ac:dyDescent="0.3">
      <c r="A401" s="700">
        <v>45834.313287037039</v>
      </c>
      <c r="B401">
        <v>542361075</v>
      </c>
      <c r="C401" t="s">
        <v>293</v>
      </c>
      <c r="D401" t="s">
        <v>294</v>
      </c>
      <c r="E401">
        <v>254</v>
      </c>
      <c r="F401" t="s">
        <v>295</v>
      </c>
    </row>
    <row r="402" spans="1:6" x14ac:dyDescent="0.3">
      <c r="A402" s="700">
        <v>45834.313171296293</v>
      </c>
      <c r="B402">
        <v>542361075</v>
      </c>
      <c r="C402" t="s">
        <v>293</v>
      </c>
      <c r="D402" t="s">
        <v>294</v>
      </c>
      <c r="E402">
        <v>28</v>
      </c>
      <c r="F402" t="s">
        <v>295</v>
      </c>
    </row>
    <row r="403" spans="1:6" x14ac:dyDescent="0.3">
      <c r="A403" s="700">
        <v>45834.313113425924</v>
      </c>
      <c r="B403">
        <v>542361075</v>
      </c>
      <c r="C403" t="s">
        <v>293</v>
      </c>
      <c r="D403" t="s">
        <v>294</v>
      </c>
      <c r="E403">
        <v>228</v>
      </c>
      <c r="F403" t="s">
        <v>295</v>
      </c>
    </row>
    <row r="404" spans="1:6" x14ac:dyDescent="0.3">
      <c r="A404" s="700">
        <v>45834.313078703701</v>
      </c>
      <c r="B404">
        <v>542361075</v>
      </c>
      <c r="C404" t="s">
        <v>293</v>
      </c>
      <c r="D404" t="s">
        <v>294</v>
      </c>
      <c r="E404">
        <v>59</v>
      </c>
      <c r="F404" t="s">
        <v>295</v>
      </c>
    </row>
    <row r="405" spans="1:6" x14ac:dyDescent="0.3">
      <c r="A405" s="700">
        <v>45834.313032407408</v>
      </c>
      <c r="B405">
        <v>542361075</v>
      </c>
      <c r="C405" t="s">
        <v>293</v>
      </c>
      <c r="D405" t="s">
        <v>294</v>
      </c>
      <c r="E405">
        <v>227</v>
      </c>
      <c r="F405" t="s">
        <v>295</v>
      </c>
    </row>
    <row r="406" spans="1:6" x14ac:dyDescent="0.3">
      <c r="A406" s="700">
        <v>45834.312928240739</v>
      </c>
      <c r="B406">
        <v>542361075</v>
      </c>
      <c r="C406" t="s">
        <v>293</v>
      </c>
      <c r="D406" t="s">
        <v>294</v>
      </c>
      <c r="E406">
        <v>250</v>
      </c>
      <c r="F406" t="s">
        <v>295</v>
      </c>
    </row>
    <row r="407" spans="1:6" x14ac:dyDescent="0.3">
      <c r="A407" s="700">
        <v>45834.312881944446</v>
      </c>
      <c r="B407">
        <v>542361075</v>
      </c>
      <c r="C407" t="s">
        <v>293</v>
      </c>
      <c r="D407" t="s">
        <v>294</v>
      </c>
      <c r="E407">
        <v>214</v>
      </c>
      <c r="F407" t="s">
        <v>295</v>
      </c>
    </row>
    <row r="408" spans="1:6" x14ac:dyDescent="0.3">
      <c r="A408" s="700">
        <v>45834.312847222223</v>
      </c>
      <c r="B408">
        <v>542361075</v>
      </c>
      <c r="C408" t="s">
        <v>293</v>
      </c>
      <c r="D408" t="s">
        <v>294</v>
      </c>
      <c r="E408">
        <v>215</v>
      </c>
      <c r="F408" t="s">
        <v>295</v>
      </c>
    </row>
    <row r="409" spans="1:6" x14ac:dyDescent="0.3">
      <c r="A409" s="700">
        <v>45834.312685185185</v>
      </c>
      <c r="B409">
        <v>542361075</v>
      </c>
      <c r="C409" t="s">
        <v>293</v>
      </c>
      <c r="D409" t="s">
        <v>294</v>
      </c>
      <c r="E409">
        <v>220</v>
      </c>
      <c r="F409" t="s">
        <v>295</v>
      </c>
    </row>
    <row r="410" spans="1:6" x14ac:dyDescent="0.3">
      <c r="A410" s="700">
        <v>45834.312650462962</v>
      </c>
      <c r="B410">
        <v>542361075</v>
      </c>
      <c r="C410" t="s">
        <v>293</v>
      </c>
      <c r="D410" t="s">
        <v>294</v>
      </c>
      <c r="E410">
        <v>63</v>
      </c>
      <c r="F410" t="s">
        <v>295</v>
      </c>
    </row>
    <row r="411" spans="1:6" x14ac:dyDescent="0.3">
      <c r="A411" s="700">
        <v>45834.310474537036</v>
      </c>
      <c r="B411">
        <v>542361075</v>
      </c>
      <c r="C411" t="s">
        <v>293</v>
      </c>
      <c r="D411" t="s">
        <v>294</v>
      </c>
      <c r="E411">
        <v>145</v>
      </c>
      <c r="F411" t="s">
        <v>295</v>
      </c>
    </row>
    <row r="412" spans="1:6" x14ac:dyDescent="0.3">
      <c r="A412" s="700">
        <v>45834.309027777781</v>
      </c>
      <c r="B412">
        <v>542361075</v>
      </c>
      <c r="C412" t="s">
        <v>293</v>
      </c>
      <c r="D412" t="s">
        <v>294</v>
      </c>
      <c r="E412">
        <v>141</v>
      </c>
      <c r="F412" t="s">
        <v>295</v>
      </c>
    </row>
    <row r="413" spans="1:6" x14ac:dyDescent="0.3">
      <c r="A413" s="700">
        <v>45834.308993055558</v>
      </c>
      <c r="B413">
        <v>542361075</v>
      </c>
      <c r="C413" t="s">
        <v>293</v>
      </c>
      <c r="D413" t="s">
        <v>294</v>
      </c>
      <c r="E413">
        <v>166</v>
      </c>
      <c r="F413" t="s">
        <v>295</v>
      </c>
    </row>
    <row r="414" spans="1:6" x14ac:dyDescent="0.3">
      <c r="A414" s="700">
        <v>45834.306134259263</v>
      </c>
      <c r="B414">
        <v>542361075</v>
      </c>
      <c r="C414" t="s">
        <v>293</v>
      </c>
      <c r="D414" t="s">
        <v>294</v>
      </c>
      <c r="E414">
        <v>146</v>
      </c>
      <c r="F414" t="s">
        <v>295</v>
      </c>
    </row>
    <row r="415" spans="1:6" x14ac:dyDescent="0.3">
      <c r="A415" s="700">
        <v>45834.305636574078</v>
      </c>
      <c r="B415">
        <v>542361075</v>
      </c>
      <c r="C415" t="s">
        <v>293</v>
      </c>
      <c r="D415" t="s">
        <v>294</v>
      </c>
      <c r="E415">
        <v>245</v>
      </c>
      <c r="F415" t="s">
        <v>295</v>
      </c>
    </row>
    <row r="416" spans="1:6" x14ac:dyDescent="0.3">
      <c r="A416" s="700">
        <v>45834.305428240739</v>
      </c>
      <c r="B416">
        <v>542361075</v>
      </c>
      <c r="C416" t="s">
        <v>293</v>
      </c>
      <c r="D416" t="s">
        <v>294</v>
      </c>
      <c r="E416">
        <v>222</v>
      </c>
      <c r="F416" t="s">
        <v>295</v>
      </c>
    </row>
    <row r="417" spans="1:6" x14ac:dyDescent="0.3">
      <c r="A417" s="700">
        <v>45834.300729166665</v>
      </c>
      <c r="B417">
        <v>542361075</v>
      </c>
      <c r="C417" t="s">
        <v>293</v>
      </c>
      <c r="D417" t="s">
        <v>294</v>
      </c>
      <c r="E417">
        <v>73</v>
      </c>
      <c r="F417" t="s">
        <v>295</v>
      </c>
    </row>
    <row r="418" spans="1:6" x14ac:dyDescent="0.3">
      <c r="A418" s="700">
        <v>45834.300671296296</v>
      </c>
      <c r="B418">
        <v>542361075</v>
      </c>
      <c r="C418" t="s">
        <v>293</v>
      </c>
      <c r="D418" t="s">
        <v>294</v>
      </c>
      <c r="E418">
        <v>239</v>
      </c>
      <c r="F418" t="s">
        <v>295</v>
      </c>
    </row>
    <row r="419" spans="1:6" x14ac:dyDescent="0.3">
      <c r="A419" s="700">
        <v>45834.30059027778</v>
      </c>
      <c r="B419">
        <v>542361075</v>
      </c>
      <c r="C419" t="s">
        <v>293</v>
      </c>
      <c r="D419" t="s">
        <v>294</v>
      </c>
      <c r="E419">
        <v>230</v>
      </c>
      <c r="F419" t="s">
        <v>295</v>
      </c>
    </row>
    <row r="420" spans="1:6" x14ac:dyDescent="0.3">
      <c r="A420" s="700">
        <v>45834.293136574073</v>
      </c>
      <c r="B420">
        <v>542361075</v>
      </c>
      <c r="C420" t="s">
        <v>293</v>
      </c>
      <c r="D420" t="s">
        <v>294</v>
      </c>
      <c r="E420">
        <v>241</v>
      </c>
      <c r="F420" t="s">
        <v>295</v>
      </c>
    </row>
    <row r="421" spans="1:6" x14ac:dyDescent="0.3">
      <c r="A421" s="700">
        <v>45834.284618055557</v>
      </c>
      <c r="B421">
        <v>542361075</v>
      </c>
      <c r="C421" t="s">
        <v>293</v>
      </c>
      <c r="D421" t="s">
        <v>294</v>
      </c>
      <c r="E421">
        <v>172</v>
      </c>
      <c r="F421" t="s">
        <v>295</v>
      </c>
    </row>
    <row r="422" spans="1:6" x14ac:dyDescent="0.3">
      <c r="A422" s="700">
        <v>45834.284583333334</v>
      </c>
      <c r="B422">
        <v>542361075</v>
      </c>
      <c r="C422" t="s">
        <v>293</v>
      </c>
      <c r="D422" t="s">
        <v>294</v>
      </c>
      <c r="E422">
        <v>172</v>
      </c>
      <c r="F422" t="s">
        <v>295</v>
      </c>
    </row>
    <row r="423" spans="1:6" x14ac:dyDescent="0.3">
      <c r="A423" s="700">
        <v>45834.160983796297</v>
      </c>
      <c r="B423">
        <v>542361075</v>
      </c>
      <c r="C423" t="s">
        <v>293</v>
      </c>
      <c r="D423" t="s">
        <v>294</v>
      </c>
      <c r="E423">
        <v>159</v>
      </c>
      <c r="F423" t="s">
        <v>295</v>
      </c>
    </row>
    <row r="424" spans="1:6" x14ac:dyDescent="0.3">
      <c r="A424" s="700">
        <v>45834.160949074074</v>
      </c>
      <c r="B424">
        <v>542361075</v>
      </c>
      <c r="C424" t="s">
        <v>293</v>
      </c>
      <c r="D424" t="s">
        <v>294</v>
      </c>
      <c r="E424">
        <v>250</v>
      </c>
      <c r="F424" t="s">
        <v>295</v>
      </c>
    </row>
    <row r="425" spans="1:6" x14ac:dyDescent="0.3">
      <c r="A425" s="700">
        <v>45834.160543981481</v>
      </c>
      <c r="B425">
        <v>542361075</v>
      </c>
      <c r="C425" t="s">
        <v>293</v>
      </c>
      <c r="D425" t="s">
        <v>294</v>
      </c>
      <c r="E425">
        <v>28</v>
      </c>
      <c r="F425" t="s">
        <v>295</v>
      </c>
    </row>
    <row r="426" spans="1:6" x14ac:dyDescent="0.3">
      <c r="A426" s="700">
        <v>45834.160509259258</v>
      </c>
      <c r="B426">
        <v>542361075</v>
      </c>
      <c r="C426" t="s">
        <v>293</v>
      </c>
      <c r="D426" t="s">
        <v>294</v>
      </c>
      <c r="E426">
        <v>9</v>
      </c>
      <c r="F426" t="s">
        <v>295</v>
      </c>
    </row>
    <row r="427" spans="1:6" x14ac:dyDescent="0.3">
      <c r="A427" s="700">
        <v>45834.159421296295</v>
      </c>
      <c r="B427">
        <v>542361075</v>
      </c>
      <c r="C427" t="s">
        <v>293</v>
      </c>
      <c r="D427" t="s">
        <v>294</v>
      </c>
      <c r="E427">
        <v>267</v>
      </c>
      <c r="F427" t="s">
        <v>295</v>
      </c>
    </row>
    <row r="428" spans="1:6" x14ac:dyDescent="0.3">
      <c r="A428" s="700">
        <v>45834.145914351851</v>
      </c>
      <c r="B428">
        <v>542361075</v>
      </c>
      <c r="C428" t="s">
        <v>293</v>
      </c>
      <c r="D428" t="s">
        <v>294</v>
      </c>
      <c r="E428">
        <v>228</v>
      </c>
      <c r="F428" t="s">
        <v>295</v>
      </c>
    </row>
    <row r="429" spans="1:6" x14ac:dyDescent="0.3">
      <c r="A429" s="700">
        <v>45834.131550925929</v>
      </c>
      <c r="B429">
        <v>542361075</v>
      </c>
      <c r="C429" t="s">
        <v>293</v>
      </c>
      <c r="D429" t="s">
        <v>294</v>
      </c>
      <c r="E429">
        <v>75</v>
      </c>
      <c r="F429" t="s">
        <v>295</v>
      </c>
    </row>
    <row r="430" spans="1:6" x14ac:dyDescent="0.3">
      <c r="A430" s="700">
        <v>45834.131388888891</v>
      </c>
      <c r="B430">
        <v>542361075</v>
      </c>
      <c r="C430" t="s">
        <v>293</v>
      </c>
      <c r="D430" t="s">
        <v>294</v>
      </c>
      <c r="E430">
        <v>9</v>
      </c>
      <c r="F430" t="s">
        <v>295</v>
      </c>
    </row>
    <row r="431" spans="1:6" x14ac:dyDescent="0.3">
      <c r="A431" s="700">
        <v>45834.131342592591</v>
      </c>
      <c r="B431">
        <v>542361075</v>
      </c>
      <c r="C431" t="s">
        <v>293</v>
      </c>
      <c r="D431" t="s">
        <v>294</v>
      </c>
      <c r="E431">
        <v>28</v>
      </c>
      <c r="F431" t="s">
        <v>295</v>
      </c>
    </row>
    <row r="432" spans="1:6" x14ac:dyDescent="0.3">
      <c r="A432" s="700">
        <v>45834.131307870368</v>
      </c>
      <c r="B432">
        <v>542361075</v>
      </c>
      <c r="C432" t="s">
        <v>293</v>
      </c>
      <c r="D432" t="s">
        <v>294</v>
      </c>
      <c r="E432">
        <v>267</v>
      </c>
      <c r="F432" t="s">
        <v>295</v>
      </c>
    </row>
    <row r="433" spans="1:6" x14ac:dyDescent="0.3">
      <c r="A433" s="700">
        <v>45834.129328703704</v>
      </c>
      <c r="B433">
        <v>542361075</v>
      </c>
      <c r="C433" t="s">
        <v>293</v>
      </c>
      <c r="D433" t="s">
        <v>294</v>
      </c>
      <c r="E433">
        <v>159</v>
      </c>
      <c r="F433" t="s">
        <v>295</v>
      </c>
    </row>
    <row r="434" spans="1:6" x14ac:dyDescent="0.3">
      <c r="A434" s="700">
        <v>45834.129224537035</v>
      </c>
      <c r="B434">
        <v>542361075</v>
      </c>
      <c r="C434" t="s">
        <v>293</v>
      </c>
      <c r="D434" t="s">
        <v>294</v>
      </c>
      <c r="E434">
        <v>250</v>
      </c>
      <c r="F434" t="s">
        <v>295</v>
      </c>
    </row>
    <row r="435" spans="1:6" x14ac:dyDescent="0.3">
      <c r="A435" s="700">
        <v>45834.122534722221</v>
      </c>
      <c r="B435">
        <v>542361075</v>
      </c>
      <c r="C435" t="s">
        <v>293</v>
      </c>
      <c r="D435" t="s">
        <v>294</v>
      </c>
      <c r="E435">
        <v>266</v>
      </c>
      <c r="F435" t="s">
        <v>295</v>
      </c>
    </row>
    <row r="436" spans="1:6" x14ac:dyDescent="0.3">
      <c r="A436" s="700">
        <v>45834.122476851851</v>
      </c>
      <c r="B436">
        <v>542361075</v>
      </c>
      <c r="C436" t="s">
        <v>293</v>
      </c>
      <c r="D436" t="s">
        <v>294</v>
      </c>
      <c r="E436">
        <v>210</v>
      </c>
      <c r="F436" t="s">
        <v>295</v>
      </c>
    </row>
    <row r="437" spans="1:6" x14ac:dyDescent="0.3">
      <c r="A437" s="700">
        <v>45834.122430555559</v>
      </c>
      <c r="B437">
        <v>542361075</v>
      </c>
      <c r="C437" t="s">
        <v>293</v>
      </c>
      <c r="D437" t="s">
        <v>294</v>
      </c>
      <c r="E437">
        <v>227</v>
      </c>
      <c r="F437" t="s">
        <v>295</v>
      </c>
    </row>
    <row r="438" spans="1:6" x14ac:dyDescent="0.3">
      <c r="A438" s="700">
        <v>45834.121342592596</v>
      </c>
      <c r="B438">
        <v>542361075</v>
      </c>
      <c r="C438" t="s">
        <v>293</v>
      </c>
      <c r="D438" t="s">
        <v>294</v>
      </c>
      <c r="E438">
        <v>228</v>
      </c>
      <c r="F438" t="s">
        <v>295</v>
      </c>
    </row>
    <row r="439" spans="1:6" x14ac:dyDescent="0.3">
      <c r="A439" s="700">
        <v>45834.111041666663</v>
      </c>
      <c r="B439">
        <v>542361075</v>
      </c>
      <c r="C439" t="s">
        <v>293</v>
      </c>
      <c r="D439" t="s">
        <v>294</v>
      </c>
      <c r="E439">
        <v>214</v>
      </c>
      <c r="F439" t="s">
        <v>295</v>
      </c>
    </row>
    <row r="440" spans="1:6" x14ac:dyDescent="0.3">
      <c r="A440" s="700">
        <v>45834.108460648145</v>
      </c>
      <c r="B440">
        <v>542361075</v>
      </c>
      <c r="C440" t="s">
        <v>293</v>
      </c>
      <c r="D440" t="s">
        <v>294</v>
      </c>
      <c r="E440">
        <v>75</v>
      </c>
      <c r="F440" t="s">
        <v>295</v>
      </c>
    </row>
    <row r="441" spans="1:6" x14ac:dyDescent="0.3">
      <c r="A441" s="700">
        <v>45834.093877314815</v>
      </c>
      <c r="B441">
        <v>542361075</v>
      </c>
      <c r="C441" t="s">
        <v>293</v>
      </c>
      <c r="D441" t="s">
        <v>294</v>
      </c>
      <c r="E441">
        <v>227</v>
      </c>
      <c r="F441" t="s">
        <v>295</v>
      </c>
    </row>
    <row r="442" spans="1:6" x14ac:dyDescent="0.3">
      <c r="A442" s="700">
        <v>45834.092951388891</v>
      </c>
      <c r="B442">
        <v>542361075</v>
      </c>
      <c r="C442" t="s">
        <v>293</v>
      </c>
      <c r="D442" t="s">
        <v>294</v>
      </c>
      <c r="E442">
        <v>210</v>
      </c>
      <c r="F442" t="s">
        <v>295</v>
      </c>
    </row>
    <row r="443" spans="1:6" x14ac:dyDescent="0.3">
      <c r="A443" s="700">
        <v>45834.092013888891</v>
      </c>
      <c r="B443">
        <v>542361075</v>
      </c>
      <c r="C443" t="s">
        <v>293</v>
      </c>
      <c r="D443" t="s">
        <v>294</v>
      </c>
      <c r="E443">
        <v>266</v>
      </c>
      <c r="F443" t="s">
        <v>295</v>
      </c>
    </row>
    <row r="444" spans="1:6" x14ac:dyDescent="0.3">
      <c r="A444" s="700">
        <v>45834.090995370374</v>
      </c>
      <c r="B444">
        <v>542361075</v>
      </c>
      <c r="C444" t="s">
        <v>293</v>
      </c>
      <c r="D444" t="s">
        <v>294</v>
      </c>
      <c r="E444">
        <v>214</v>
      </c>
      <c r="F444" t="s">
        <v>295</v>
      </c>
    </row>
    <row r="445" spans="1:6" x14ac:dyDescent="0.3">
      <c r="A445" s="700">
        <v>45834.089189814818</v>
      </c>
      <c r="B445">
        <v>542361075</v>
      </c>
      <c r="C445" t="s">
        <v>293</v>
      </c>
      <c r="D445" t="s">
        <v>294</v>
      </c>
      <c r="E445">
        <v>254</v>
      </c>
      <c r="F445" t="s">
        <v>295</v>
      </c>
    </row>
    <row r="446" spans="1:6" x14ac:dyDescent="0.3">
      <c r="A446" s="700">
        <v>45834.088773148149</v>
      </c>
      <c r="B446">
        <v>542361075</v>
      </c>
      <c r="C446" t="s">
        <v>293</v>
      </c>
      <c r="D446" t="s">
        <v>294</v>
      </c>
      <c r="E446">
        <v>29</v>
      </c>
      <c r="F446" t="s">
        <v>295</v>
      </c>
    </row>
    <row r="447" spans="1:6" x14ac:dyDescent="0.3">
      <c r="A447" s="700">
        <v>45834.088726851849</v>
      </c>
      <c r="B447">
        <v>542361075</v>
      </c>
      <c r="C447" t="s">
        <v>293</v>
      </c>
      <c r="D447" t="s">
        <v>294</v>
      </c>
      <c r="E447">
        <v>74</v>
      </c>
      <c r="F447" t="s">
        <v>295</v>
      </c>
    </row>
    <row r="448" spans="1:6" x14ac:dyDescent="0.3">
      <c r="A448" s="700">
        <v>45834.088171296295</v>
      </c>
      <c r="B448">
        <v>542361075</v>
      </c>
      <c r="C448" t="s">
        <v>293</v>
      </c>
      <c r="D448" t="s">
        <v>294</v>
      </c>
      <c r="E448">
        <v>215</v>
      </c>
      <c r="F448" t="s">
        <v>295</v>
      </c>
    </row>
    <row r="449" spans="1:6" x14ac:dyDescent="0.3">
      <c r="A449" s="700">
        <v>45834.066307870373</v>
      </c>
      <c r="B449">
        <v>542361075</v>
      </c>
      <c r="C449" t="s">
        <v>293</v>
      </c>
      <c r="D449" t="s">
        <v>294</v>
      </c>
      <c r="E449">
        <v>215</v>
      </c>
      <c r="F449" t="s">
        <v>295</v>
      </c>
    </row>
    <row r="450" spans="1:6" x14ac:dyDescent="0.3">
      <c r="A450" s="700">
        <v>45834.065891203703</v>
      </c>
      <c r="B450">
        <v>542361075</v>
      </c>
      <c r="C450" t="s">
        <v>293</v>
      </c>
      <c r="D450" t="s">
        <v>294</v>
      </c>
      <c r="E450">
        <v>74</v>
      </c>
      <c r="F450" t="s">
        <v>295</v>
      </c>
    </row>
    <row r="451" spans="1:6" x14ac:dyDescent="0.3">
      <c r="A451" s="700">
        <v>45834.065821759257</v>
      </c>
      <c r="B451">
        <v>542361075</v>
      </c>
      <c r="C451" t="s">
        <v>293</v>
      </c>
      <c r="D451" t="s">
        <v>294</v>
      </c>
      <c r="E451">
        <v>29</v>
      </c>
      <c r="F451" t="s">
        <v>295</v>
      </c>
    </row>
    <row r="452" spans="1:6" x14ac:dyDescent="0.3">
      <c r="A452" s="700">
        <v>45834.06212962963</v>
      </c>
      <c r="B452">
        <v>542361075</v>
      </c>
      <c r="C452" t="s">
        <v>293</v>
      </c>
      <c r="D452" t="s">
        <v>294</v>
      </c>
      <c r="E452">
        <v>254</v>
      </c>
      <c r="F452" t="s">
        <v>295</v>
      </c>
    </row>
    <row r="453" spans="1:6" x14ac:dyDescent="0.3">
      <c r="A453" s="700">
        <v>45834.062083333331</v>
      </c>
      <c r="B453">
        <v>542361075</v>
      </c>
      <c r="C453" t="s">
        <v>293</v>
      </c>
      <c r="D453" t="s">
        <v>294</v>
      </c>
      <c r="E453">
        <v>135</v>
      </c>
      <c r="F453" t="s">
        <v>295</v>
      </c>
    </row>
    <row r="454" spans="1:6" x14ac:dyDescent="0.3">
      <c r="A454" s="700">
        <v>45834.062037037038</v>
      </c>
      <c r="B454">
        <v>542361075</v>
      </c>
      <c r="C454" t="s">
        <v>293</v>
      </c>
      <c r="D454" t="s">
        <v>294</v>
      </c>
      <c r="E454">
        <v>118</v>
      </c>
      <c r="F454" t="s">
        <v>295</v>
      </c>
    </row>
    <row r="455" spans="1:6" x14ac:dyDescent="0.3">
      <c r="A455" s="700">
        <v>45834.023622685185</v>
      </c>
      <c r="B455">
        <v>542361075</v>
      </c>
      <c r="C455" t="s">
        <v>293</v>
      </c>
      <c r="D455" t="s">
        <v>294</v>
      </c>
      <c r="E455">
        <v>94</v>
      </c>
      <c r="F455" t="s">
        <v>295</v>
      </c>
    </row>
    <row r="456" spans="1:6" x14ac:dyDescent="0.3">
      <c r="A456" s="700">
        <v>45834.002523148149</v>
      </c>
      <c r="B456">
        <v>542361075</v>
      </c>
      <c r="C456" t="s">
        <v>293</v>
      </c>
      <c r="D456" t="s">
        <v>294</v>
      </c>
      <c r="E456">
        <v>94</v>
      </c>
      <c r="F456" t="s">
        <v>295</v>
      </c>
    </row>
    <row r="457" spans="1:6" x14ac:dyDescent="0.3">
      <c r="A457" s="700">
        <v>45833.986006944448</v>
      </c>
      <c r="B457">
        <v>542361075</v>
      </c>
      <c r="C457" t="s">
        <v>293</v>
      </c>
      <c r="D457" t="s">
        <v>294</v>
      </c>
      <c r="E457">
        <v>81</v>
      </c>
      <c r="F457" t="s">
        <v>295</v>
      </c>
    </row>
    <row r="458" spans="1:6" x14ac:dyDescent="0.3">
      <c r="A458" s="700">
        <v>45833.984618055554</v>
      </c>
      <c r="B458">
        <v>542361075</v>
      </c>
      <c r="C458" t="s">
        <v>293</v>
      </c>
      <c r="D458" t="s">
        <v>294</v>
      </c>
      <c r="E458">
        <v>107</v>
      </c>
      <c r="F458" t="s">
        <v>295</v>
      </c>
    </row>
    <row r="459" spans="1:6" x14ac:dyDescent="0.3">
      <c r="A459" s="700">
        <v>45833.984479166669</v>
      </c>
      <c r="B459">
        <v>542361075</v>
      </c>
      <c r="C459" t="s">
        <v>293</v>
      </c>
      <c r="D459" t="s">
        <v>294</v>
      </c>
      <c r="E459">
        <v>158</v>
      </c>
      <c r="F459" t="s">
        <v>295</v>
      </c>
    </row>
    <row r="460" spans="1:6" x14ac:dyDescent="0.3">
      <c r="A460" s="700">
        <v>45833.983703703707</v>
      </c>
      <c r="B460">
        <v>542361075</v>
      </c>
      <c r="C460" t="s">
        <v>293</v>
      </c>
      <c r="D460" t="s">
        <v>294</v>
      </c>
      <c r="E460">
        <v>12</v>
      </c>
      <c r="F460" t="s">
        <v>295</v>
      </c>
    </row>
    <row r="461" spans="1:6" x14ac:dyDescent="0.3">
      <c r="A461" s="700">
        <v>45833.98269675926</v>
      </c>
      <c r="B461">
        <v>542361075</v>
      </c>
      <c r="C461" t="s">
        <v>293</v>
      </c>
      <c r="D461" t="s">
        <v>294</v>
      </c>
      <c r="E461">
        <v>228</v>
      </c>
      <c r="F461" t="s">
        <v>295</v>
      </c>
    </row>
    <row r="462" spans="1:6" x14ac:dyDescent="0.3">
      <c r="A462" s="700">
        <v>45833.981898148151</v>
      </c>
      <c r="B462">
        <v>542361075</v>
      </c>
      <c r="C462" t="s">
        <v>293</v>
      </c>
      <c r="D462" t="s">
        <v>294</v>
      </c>
      <c r="E462">
        <v>210</v>
      </c>
      <c r="F462" t="s">
        <v>295</v>
      </c>
    </row>
    <row r="463" spans="1:6" x14ac:dyDescent="0.3">
      <c r="A463" s="700">
        <v>45833.981817129628</v>
      </c>
      <c r="B463">
        <v>542361075</v>
      </c>
      <c r="C463" t="s">
        <v>293</v>
      </c>
      <c r="D463" t="s">
        <v>294</v>
      </c>
      <c r="E463">
        <v>135</v>
      </c>
      <c r="F463" t="s">
        <v>295</v>
      </c>
    </row>
    <row r="464" spans="1:6" x14ac:dyDescent="0.3">
      <c r="A464" s="700">
        <v>45833.981759259259</v>
      </c>
      <c r="B464">
        <v>542361075</v>
      </c>
      <c r="C464" t="s">
        <v>293</v>
      </c>
      <c r="D464" t="s">
        <v>294</v>
      </c>
      <c r="E464">
        <v>118</v>
      </c>
      <c r="F464" t="s">
        <v>295</v>
      </c>
    </row>
    <row r="465" spans="1:6" x14ac:dyDescent="0.3">
      <c r="A465" s="700">
        <v>45833.980937499997</v>
      </c>
      <c r="B465">
        <v>542361075</v>
      </c>
      <c r="C465" t="s">
        <v>293</v>
      </c>
      <c r="D465" t="s">
        <v>294</v>
      </c>
      <c r="E465">
        <v>75</v>
      </c>
      <c r="F465" t="s">
        <v>295</v>
      </c>
    </row>
    <row r="466" spans="1:6" x14ac:dyDescent="0.3">
      <c r="A466" s="700">
        <v>45833.980682870373</v>
      </c>
      <c r="B466">
        <v>542361075</v>
      </c>
      <c r="C466" t="s">
        <v>293</v>
      </c>
      <c r="D466" t="s">
        <v>294</v>
      </c>
      <c r="E466">
        <v>159</v>
      </c>
      <c r="F466" t="s">
        <v>295</v>
      </c>
    </row>
    <row r="467" spans="1:6" x14ac:dyDescent="0.3">
      <c r="A467" s="700">
        <v>45833.980636574073</v>
      </c>
      <c r="B467">
        <v>542361075</v>
      </c>
      <c r="C467" t="s">
        <v>293</v>
      </c>
      <c r="D467" t="s">
        <v>294</v>
      </c>
      <c r="E467">
        <v>266</v>
      </c>
      <c r="F467" t="s">
        <v>295</v>
      </c>
    </row>
    <row r="468" spans="1:6" x14ac:dyDescent="0.3">
      <c r="A468" s="700">
        <v>45833.979942129627</v>
      </c>
      <c r="B468">
        <v>542361075</v>
      </c>
      <c r="C468" t="s">
        <v>293</v>
      </c>
      <c r="D468" t="s">
        <v>294</v>
      </c>
      <c r="E468">
        <v>212</v>
      </c>
      <c r="F468" t="s">
        <v>295</v>
      </c>
    </row>
    <row r="469" spans="1:6" x14ac:dyDescent="0.3">
      <c r="A469" s="700">
        <v>45833.979884259257</v>
      </c>
      <c r="B469">
        <v>542361075</v>
      </c>
      <c r="C469" t="s">
        <v>293</v>
      </c>
      <c r="D469" t="s">
        <v>294</v>
      </c>
      <c r="E469">
        <v>30</v>
      </c>
      <c r="F469" t="s">
        <v>295</v>
      </c>
    </row>
    <row r="470" spans="1:6" x14ac:dyDescent="0.3">
      <c r="A470" s="700">
        <v>45833.979849537034</v>
      </c>
      <c r="B470">
        <v>542361075</v>
      </c>
      <c r="C470" t="s">
        <v>293</v>
      </c>
      <c r="D470" t="s">
        <v>294</v>
      </c>
      <c r="E470">
        <v>70</v>
      </c>
      <c r="F470" t="s">
        <v>295</v>
      </c>
    </row>
    <row r="471" spans="1:6" x14ac:dyDescent="0.3">
      <c r="A471" s="700">
        <v>45833.979780092595</v>
      </c>
      <c r="B471">
        <v>542361075</v>
      </c>
      <c r="C471" t="s">
        <v>293</v>
      </c>
      <c r="D471" t="s">
        <v>294</v>
      </c>
      <c r="E471">
        <v>271</v>
      </c>
      <c r="F471" t="s">
        <v>295</v>
      </c>
    </row>
    <row r="472" spans="1:6" x14ac:dyDescent="0.3">
      <c r="A472" s="700">
        <v>45833.979328703703</v>
      </c>
      <c r="B472">
        <v>542361075</v>
      </c>
      <c r="C472" t="s">
        <v>293</v>
      </c>
      <c r="D472" t="s">
        <v>294</v>
      </c>
      <c r="E472">
        <v>264</v>
      </c>
      <c r="F472" t="s">
        <v>295</v>
      </c>
    </row>
    <row r="473" spans="1:6" x14ac:dyDescent="0.3">
      <c r="A473" s="700">
        <v>45833.979270833333</v>
      </c>
      <c r="B473">
        <v>542361075</v>
      </c>
      <c r="C473" t="s">
        <v>293</v>
      </c>
      <c r="D473" t="s">
        <v>294</v>
      </c>
      <c r="E473">
        <v>169</v>
      </c>
      <c r="F473" t="s">
        <v>295</v>
      </c>
    </row>
    <row r="474" spans="1:6" x14ac:dyDescent="0.3">
      <c r="A474" s="700">
        <v>45833.976990740739</v>
      </c>
      <c r="B474">
        <v>542361075</v>
      </c>
      <c r="C474" t="s">
        <v>293</v>
      </c>
      <c r="D474" t="s">
        <v>294</v>
      </c>
      <c r="E474">
        <v>250</v>
      </c>
      <c r="F474" t="s">
        <v>295</v>
      </c>
    </row>
    <row r="475" spans="1:6" x14ac:dyDescent="0.3">
      <c r="A475" s="700">
        <v>45833.975578703707</v>
      </c>
      <c r="B475">
        <v>542361075</v>
      </c>
      <c r="C475" t="s">
        <v>293</v>
      </c>
      <c r="D475" t="s">
        <v>294</v>
      </c>
      <c r="E475">
        <v>267</v>
      </c>
      <c r="F475" t="s">
        <v>295</v>
      </c>
    </row>
    <row r="476" spans="1:6" x14ac:dyDescent="0.3">
      <c r="A476" s="700">
        <v>45833.974282407406</v>
      </c>
      <c r="B476">
        <v>542361075</v>
      </c>
      <c r="C476" t="s">
        <v>293</v>
      </c>
      <c r="D476" t="s">
        <v>294</v>
      </c>
      <c r="E476">
        <v>28</v>
      </c>
      <c r="F476" t="s">
        <v>295</v>
      </c>
    </row>
    <row r="477" spans="1:6" x14ac:dyDescent="0.3">
      <c r="A477" s="700">
        <v>45833.974247685182</v>
      </c>
      <c r="B477">
        <v>542361075</v>
      </c>
      <c r="C477" t="s">
        <v>293</v>
      </c>
      <c r="D477" t="s">
        <v>294</v>
      </c>
      <c r="E477">
        <v>9</v>
      </c>
      <c r="F477" t="s">
        <v>295</v>
      </c>
    </row>
    <row r="478" spans="1:6" x14ac:dyDescent="0.3">
      <c r="A478" s="700">
        <v>45833.973692129628</v>
      </c>
      <c r="B478">
        <v>542361075</v>
      </c>
      <c r="C478" t="s">
        <v>293</v>
      </c>
      <c r="D478" t="s">
        <v>294</v>
      </c>
      <c r="E478">
        <v>59</v>
      </c>
      <c r="F478" t="s">
        <v>295</v>
      </c>
    </row>
    <row r="479" spans="1:6" x14ac:dyDescent="0.3">
      <c r="A479" s="700">
        <v>45833.97246527778</v>
      </c>
      <c r="B479">
        <v>542361075</v>
      </c>
      <c r="C479" t="s">
        <v>293</v>
      </c>
      <c r="D479" t="s">
        <v>294</v>
      </c>
      <c r="E479">
        <v>29</v>
      </c>
      <c r="F479" t="s">
        <v>295</v>
      </c>
    </row>
    <row r="480" spans="1:6" x14ac:dyDescent="0.3">
      <c r="A480" s="700">
        <v>45833.972418981481</v>
      </c>
      <c r="B480">
        <v>542361075</v>
      </c>
      <c r="C480" t="s">
        <v>293</v>
      </c>
      <c r="D480" t="s">
        <v>294</v>
      </c>
      <c r="E480">
        <v>254</v>
      </c>
      <c r="F480" t="s">
        <v>295</v>
      </c>
    </row>
    <row r="481" spans="1:6" x14ac:dyDescent="0.3">
      <c r="A481" s="700">
        <v>45833.96733796296</v>
      </c>
      <c r="B481">
        <v>542361075</v>
      </c>
      <c r="C481" t="s">
        <v>293</v>
      </c>
      <c r="D481" t="s">
        <v>294</v>
      </c>
      <c r="E481">
        <v>215</v>
      </c>
      <c r="F481" t="s">
        <v>295</v>
      </c>
    </row>
    <row r="482" spans="1:6" x14ac:dyDescent="0.3">
      <c r="A482" s="700">
        <v>45833.966863425929</v>
      </c>
      <c r="B482">
        <v>542361075</v>
      </c>
      <c r="C482" t="s">
        <v>293</v>
      </c>
      <c r="D482" t="s">
        <v>294</v>
      </c>
      <c r="E482">
        <v>214</v>
      </c>
      <c r="F482" t="s">
        <v>295</v>
      </c>
    </row>
    <row r="483" spans="1:6" x14ac:dyDescent="0.3">
      <c r="A483" s="700">
        <v>45833.966504629629</v>
      </c>
      <c r="B483">
        <v>542361075</v>
      </c>
      <c r="C483" t="s">
        <v>293</v>
      </c>
      <c r="D483" t="s">
        <v>294</v>
      </c>
      <c r="E483">
        <v>94</v>
      </c>
      <c r="F483" t="s">
        <v>295</v>
      </c>
    </row>
    <row r="484" spans="1:6" x14ac:dyDescent="0.3">
      <c r="A484" s="700">
        <v>45833.953425925924</v>
      </c>
      <c r="B484">
        <v>542361075</v>
      </c>
      <c r="C484" t="s">
        <v>293</v>
      </c>
      <c r="D484" t="s">
        <v>294</v>
      </c>
      <c r="E484">
        <v>74</v>
      </c>
      <c r="F484" t="s">
        <v>295</v>
      </c>
    </row>
    <row r="485" spans="1:6" x14ac:dyDescent="0.3">
      <c r="A485" s="700">
        <v>45833.953368055554</v>
      </c>
      <c r="B485">
        <v>542361075</v>
      </c>
      <c r="C485" t="s">
        <v>293</v>
      </c>
      <c r="D485" t="s">
        <v>294</v>
      </c>
      <c r="E485">
        <v>227</v>
      </c>
      <c r="F485" t="s">
        <v>295</v>
      </c>
    </row>
    <row r="486" spans="1:6" x14ac:dyDescent="0.3">
      <c r="A486" s="700">
        <v>45833.815740740742</v>
      </c>
      <c r="B486">
        <v>542361075</v>
      </c>
      <c r="C486" t="s">
        <v>293</v>
      </c>
      <c r="D486" t="s">
        <v>294</v>
      </c>
      <c r="E486">
        <v>158</v>
      </c>
      <c r="F486" t="s">
        <v>295</v>
      </c>
    </row>
    <row r="487" spans="1:6" x14ac:dyDescent="0.3">
      <c r="A487" s="700">
        <v>45833.708831018521</v>
      </c>
      <c r="B487">
        <v>542361075</v>
      </c>
      <c r="C487" t="s">
        <v>293</v>
      </c>
      <c r="D487" t="s">
        <v>294</v>
      </c>
      <c r="E487">
        <v>41</v>
      </c>
      <c r="F487" t="s">
        <v>295</v>
      </c>
    </row>
    <row r="488" spans="1:6" x14ac:dyDescent="0.3">
      <c r="A488" s="700">
        <v>45833.708668981482</v>
      </c>
      <c r="B488">
        <v>542361075</v>
      </c>
      <c r="C488" t="s">
        <v>293</v>
      </c>
      <c r="D488" t="s">
        <v>294</v>
      </c>
      <c r="E488">
        <v>97</v>
      </c>
      <c r="F488" t="s">
        <v>295</v>
      </c>
    </row>
    <row r="489" spans="1:6" x14ac:dyDescent="0.3">
      <c r="A489" s="700">
        <v>45833.708599537036</v>
      </c>
      <c r="B489">
        <v>542361075</v>
      </c>
      <c r="C489" t="s">
        <v>293</v>
      </c>
      <c r="D489" t="s">
        <v>294</v>
      </c>
      <c r="E489">
        <v>89</v>
      </c>
      <c r="F489" t="s">
        <v>295</v>
      </c>
    </row>
    <row r="490" spans="1:6" x14ac:dyDescent="0.3">
      <c r="A490" s="700">
        <v>45833.708506944444</v>
      </c>
      <c r="B490">
        <v>542361075</v>
      </c>
      <c r="C490" t="s">
        <v>293</v>
      </c>
      <c r="D490" t="s">
        <v>294</v>
      </c>
      <c r="E490">
        <v>239</v>
      </c>
      <c r="F490" t="s">
        <v>295</v>
      </c>
    </row>
    <row r="491" spans="1:6" x14ac:dyDescent="0.3">
      <c r="A491" s="700">
        <v>45833.708437499998</v>
      </c>
      <c r="B491">
        <v>542361075</v>
      </c>
      <c r="C491" t="s">
        <v>293</v>
      </c>
      <c r="D491" t="s">
        <v>294</v>
      </c>
      <c r="E491">
        <v>95</v>
      </c>
      <c r="F491" t="s">
        <v>295</v>
      </c>
    </row>
    <row r="492" spans="1:6" x14ac:dyDescent="0.3">
      <c r="A492" s="700">
        <v>45833.706909722219</v>
      </c>
      <c r="B492">
        <v>542361075</v>
      </c>
      <c r="C492" t="s">
        <v>293</v>
      </c>
      <c r="F492" t="s">
        <v>298</v>
      </c>
    </row>
    <row r="493" spans="1:6" x14ac:dyDescent="0.3">
      <c r="A493" s="700">
        <v>45833.706805555557</v>
      </c>
      <c r="B493">
        <v>542361075</v>
      </c>
      <c r="C493" t="s">
        <v>293</v>
      </c>
      <c r="D493" t="s">
        <v>294</v>
      </c>
      <c r="E493">
        <v>260</v>
      </c>
      <c r="F493" t="s">
        <v>295</v>
      </c>
    </row>
    <row r="494" spans="1:6" x14ac:dyDescent="0.3">
      <c r="A494" s="700">
        <v>45833.706678240742</v>
      </c>
      <c r="B494">
        <v>542361075</v>
      </c>
      <c r="C494" t="s">
        <v>293</v>
      </c>
      <c r="D494" t="s">
        <v>294</v>
      </c>
      <c r="E494">
        <v>256</v>
      </c>
      <c r="F494" t="s">
        <v>295</v>
      </c>
    </row>
    <row r="495" spans="1:6" x14ac:dyDescent="0.3">
      <c r="A495" s="700">
        <v>45833.705995370372</v>
      </c>
      <c r="B495">
        <v>542361075</v>
      </c>
      <c r="C495" t="s">
        <v>293</v>
      </c>
      <c r="D495" t="s">
        <v>294</v>
      </c>
      <c r="E495">
        <v>245</v>
      </c>
      <c r="F495" t="s">
        <v>295</v>
      </c>
    </row>
    <row r="496" spans="1:6" x14ac:dyDescent="0.3">
      <c r="A496" s="700">
        <v>45833.705937500003</v>
      </c>
      <c r="B496">
        <v>542361075</v>
      </c>
      <c r="C496" t="s">
        <v>293</v>
      </c>
      <c r="D496" t="s">
        <v>294</v>
      </c>
      <c r="E496">
        <v>34</v>
      </c>
      <c r="F496" t="s">
        <v>295</v>
      </c>
    </row>
    <row r="497" spans="1:6" x14ac:dyDescent="0.3">
      <c r="A497" s="700">
        <v>45833.688576388886</v>
      </c>
      <c r="B497">
        <v>542361075</v>
      </c>
      <c r="C497" t="s">
        <v>293</v>
      </c>
      <c r="D497" t="s">
        <v>294</v>
      </c>
      <c r="E497">
        <v>145</v>
      </c>
      <c r="F497" t="s">
        <v>295</v>
      </c>
    </row>
    <row r="498" spans="1:6" x14ac:dyDescent="0.3">
      <c r="A498" s="700">
        <v>45833.680590277778</v>
      </c>
      <c r="B498">
        <v>542361075</v>
      </c>
      <c r="C498" t="s">
        <v>293</v>
      </c>
      <c r="D498" t="s">
        <v>294</v>
      </c>
      <c r="E498">
        <v>172</v>
      </c>
      <c r="F498" t="s">
        <v>295</v>
      </c>
    </row>
    <row r="499" spans="1:6" x14ac:dyDescent="0.3">
      <c r="A499" s="700">
        <v>45833.650787037041</v>
      </c>
      <c r="B499">
        <v>542361075</v>
      </c>
      <c r="C499" t="s">
        <v>293</v>
      </c>
      <c r="D499" t="s">
        <v>294</v>
      </c>
      <c r="E499">
        <v>19</v>
      </c>
      <c r="F499" t="s">
        <v>295</v>
      </c>
    </row>
    <row r="500" spans="1:6" x14ac:dyDescent="0.3">
      <c r="A500" s="700">
        <v>45833.650636574072</v>
      </c>
      <c r="B500">
        <v>542361075</v>
      </c>
      <c r="C500" t="s">
        <v>293</v>
      </c>
      <c r="F500" t="s">
        <v>296</v>
      </c>
    </row>
    <row r="501" spans="1:6" x14ac:dyDescent="0.3">
      <c r="A501" s="700">
        <v>45833.650543981479</v>
      </c>
      <c r="B501">
        <v>542361075</v>
      </c>
      <c r="C501" t="s">
        <v>293</v>
      </c>
      <c r="F501" t="s">
        <v>296</v>
      </c>
    </row>
    <row r="502" spans="1:6" x14ac:dyDescent="0.3">
      <c r="A502" s="700">
        <v>45833.65047453704</v>
      </c>
      <c r="B502">
        <v>542361075</v>
      </c>
      <c r="C502" t="s">
        <v>293</v>
      </c>
      <c r="F502" t="s">
        <v>296</v>
      </c>
    </row>
    <row r="503" spans="1:6" x14ac:dyDescent="0.3">
      <c r="A503" s="700">
        <v>45833.650358796294</v>
      </c>
      <c r="B503">
        <v>542361075</v>
      </c>
      <c r="C503" t="s">
        <v>293</v>
      </c>
      <c r="F503" t="s">
        <v>296</v>
      </c>
    </row>
    <row r="504" spans="1:6" x14ac:dyDescent="0.3">
      <c r="A504" s="700">
        <v>45833.650289351855</v>
      </c>
      <c r="B504">
        <v>542361075</v>
      </c>
      <c r="C504" t="s">
        <v>293</v>
      </c>
      <c r="F504" t="s">
        <v>296</v>
      </c>
    </row>
    <row r="505" spans="1:6" x14ac:dyDescent="0.3">
      <c r="A505" s="700">
        <v>45833.650150462963</v>
      </c>
      <c r="B505">
        <v>542361075</v>
      </c>
      <c r="C505" t="s">
        <v>293</v>
      </c>
      <c r="F505" t="s">
        <v>296</v>
      </c>
    </row>
    <row r="506" spans="1:6" x14ac:dyDescent="0.3">
      <c r="A506" s="700">
        <v>45833.650034722225</v>
      </c>
      <c r="B506">
        <v>542361075</v>
      </c>
      <c r="C506" t="s">
        <v>293</v>
      </c>
      <c r="D506" t="s">
        <v>294</v>
      </c>
      <c r="E506">
        <v>158</v>
      </c>
      <c r="F506" t="s">
        <v>295</v>
      </c>
    </row>
    <row r="507" spans="1:6" x14ac:dyDescent="0.3">
      <c r="A507" s="700">
        <v>45833.649953703702</v>
      </c>
      <c r="B507">
        <v>542361075</v>
      </c>
      <c r="C507" t="s">
        <v>293</v>
      </c>
      <c r="F507" t="s">
        <v>296</v>
      </c>
    </row>
    <row r="508" spans="1:6" x14ac:dyDescent="0.3">
      <c r="A508" s="700">
        <v>45833.649884259263</v>
      </c>
      <c r="B508">
        <v>542361075</v>
      </c>
      <c r="C508" t="s">
        <v>293</v>
      </c>
      <c r="F508" t="s">
        <v>296</v>
      </c>
    </row>
    <row r="509" spans="1:6" x14ac:dyDescent="0.3">
      <c r="A509" s="700">
        <v>45833.649756944447</v>
      </c>
      <c r="B509">
        <v>542361075</v>
      </c>
      <c r="C509" t="s">
        <v>293</v>
      </c>
      <c r="F509" t="s">
        <v>296</v>
      </c>
    </row>
    <row r="510" spans="1:6" x14ac:dyDescent="0.3">
      <c r="A510" s="700">
        <v>45833.649629629632</v>
      </c>
      <c r="B510">
        <v>542361075</v>
      </c>
      <c r="C510" t="s">
        <v>293</v>
      </c>
      <c r="D510" t="s">
        <v>294</v>
      </c>
      <c r="E510">
        <v>271</v>
      </c>
      <c r="F510" t="s">
        <v>295</v>
      </c>
    </row>
    <row r="511" spans="1:6" x14ac:dyDescent="0.3">
      <c r="A511" s="700">
        <v>45833.649571759262</v>
      </c>
      <c r="B511">
        <v>542361075</v>
      </c>
      <c r="C511" t="s">
        <v>293</v>
      </c>
      <c r="F511" t="s">
        <v>296</v>
      </c>
    </row>
    <row r="512" spans="1:6" x14ac:dyDescent="0.3">
      <c r="A512" s="700">
        <v>45833.649328703701</v>
      </c>
      <c r="B512">
        <v>542361075</v>
      </c>
      <c r="C512" t="s">
        <v>293</v>
      </c>
      <c r="F512" t="s">
        <v>296</v>
      </c>
    </row>
    <row r="513" spans="1:6" x14ac:dyDescent="0.3">
      <c r="A513" s="700">
        <v>45833.649259259262</v>
      </c>
      <c r="B513">
        <v>542361075</v>
      </c>
      <c r="C513" t="s">
        <v>293</v>
      </c>
      <c r="F513" t="s">
        <v>296</v>
      </c>
    </row>
    <row r="514" spans="1:6" x14ac:dyDescent="0.3">
      <c r="A514" s="700">
        <v>45833.649155092593</v>
      </c>
      <c r="B514">
        <v>542361075</v>
      </c>
      <c r="C514" t="s">
        <v>293</v>
      </c>
      <c r="F514" t="s">
        <v>296</v>
      </c>
    </row>
    <row r="515" spans="1:6" x14ac:dyDescent="0.3">
      <c r="A515" s="700">
        <v>45833.649039351854</v>
      </c>
      <c r="B515">
        <v>542361075</v>
      </c>
      <c r="C515" t="s">
        <v>293</v>
      </c>
      <c r="F515" t="s">
        <v>296</v>
      </c>
    </row>
    <row r="516" spans="1:6" x14ac:dyDescent="0.3">
      <c r="A516" s="700">
        <v>45833.648969907408</v>
      </c>
      <c r="B516">
        <v>542361075</v>
      </c>
      <c r="C516" t="s">
        <v>293</v>
      </c>
      <c r="F516" t="s">
        <v>296</v>
      </c>
    </row>
    <row r="517" spans="1:6" x14ac:dyDescent="0.3">
      <c r="A517" s="700">
        <v>45833.648865740739</v>
      </c>
      <c r="B517">
        <v>542361075</v>
      </c>
      <c r="C517" t="s">
        <v>293</v>
      </c>
      <c r="F517" t="s">
        <v>296</v>
      </c>
    </row>
    <row r="518" spans="1:6" x14ac:dyDescent="0.3">
      <c r="A518" s="700">
        <v>45833.648761574077</v>
      </c>
      <c r="B518">
        <v>542361075</v>
      </c>
      <c r="C518" t="s">
        <v>293</v>
      </c>
      <c r="F518" t="s">
        <v>296</v>
      </c>
    </row>
    <row r="519" spans="1:6" x14ac:dyDescent="0.3">
      <c r="A519" s="700">
        <v>45833.648668981485</v>
      </c>
      <c r="B519">
        <v>542361075</v>
      </c>
      <c r="C519" t="s">
        <v>293</v>
      </c>
      <c r="F519" t="s">
        <v>296</v>
      </c>
    </row>
    <row r="520" spans="1:6" x14ac:dyDescent="0.3">
      <c r="A520" s="700">
        <v>45833.648553240739</v>
      </c>
      <c r="B520">
        <v>542361075</v>
      </c>
      <c r="C520" t="s">
        <v>293</v>
      </c>
      <c r="F520" t="s">
        <v>296</v>
      </c>
    </row>
    <row r="521" spans="1:6" x14ac:dyDescent="0.3">
      <c r="A521" s="700">
        <v>45833.648379629631</v>
      </c>
      <c r="B521">
        <v>542361075</v>
      </c>
      <c r="C521" t="s">
        <v>293</v>
      </c>
      <c r="F521" t="s">
        <v>296</v>
      </c>
    </row>
    <row r="522" spans="1:6" x14ac:dyDescent="0.3">
      <c r="A522" s="700">
        <v>45833.648275462961</v>
      </c>
      <c r="B522">
        <v>542361075</v>
      </c>
      <c r="C522" t="s">
        <v>293</v>
      </c>
      <c r="D522" t="s">
        <v>294</v>
      </c>
      <c r="E522">
        <v>247</v>
      </c>
      <c r="F522" t="s">
        <v>295</v>
      </c>
    </row>
    <row r="523" spans="1:6" x14ac:dyDescent="0.3">
      <c r="A523" s="700">
        <v>45833.648217592592</v>
      </c>
      <c r="B523">
        <v>542361075</v>
      </c>
      <c r="C523" t="s">
        <v>293</v>
      </c>
      <c r="F523" t="s">
        <v>296</v>
      </c>
    </row>
    <row r="524" spans="1:6" x14ac:dyDescent="0.3">
      <c r="A524" s="700">
        <v>45833.648078703707</v>
      </c>
      <c r="B524">
        <v>542361075</v>
      </c>
      <c r="C524" t="s">
        <v>293</v>
      </c>
      <c r="F524" t="s">
        <v>296</v>
      </c>
    </row>
    <row r="525" spans="1:6" x14ac:dyDescent="0.3">
      <c r="A525" s="700">
        <v>45833.647939814815</v>
      </c>
      <c r="B525">
        <v>542361075</v>
      </c>
      <c r="C525" t="s">
        <v>293</v>
      </c>
      <c r="F525" t="s">
        <v>296</v>
      </c>
    </row>
    <row r="526" spans="1:6" x14ac:dyDescent="0.3">
      <c r="A526" s="700">
        <v>45833.647789351853</v>
      </c>
      <c r="B526">
        <v>542361075</v>
      </c>
      <c r="C526" t="s">
        <v>293</v>
      </c>
      <c r="F526" t="s">
        <v>296</v>
      </c>
    </row>
    <row r="527" spans="1:6" x14ac:dyDescent="0.3">
      <c r="A527" s="700">
        <v>45833.647650462961</v>
      </c>
      <c r="B527">
        <v>542361075</v>
      </c>
      <c r="C527" t="s">
        <v>293</v>
      </c>
      <c r="F527" t="s">
        <v>296</v>
      </c>
    </row>
    <row r="528" spans="1:6" x14ac:dyDescent="0.3">
      <c r="A528" s="700">
        <v>45833.647534722222</v>
      </c>
      <c r="B528">
        <v>542361075</v>
      </c>
      <c r="C528" t="s">
        <v>293</v>
      </c>
      <c r="D528" t="s">
        <v>294</v>
      </c>
      <c r="E528">
        <v>247</v>
      </c>
      <c r="F528" t="s">
        <v>295</v>
      </c>
    </row>
    <row r="529" spans="1:6" x14ac:dyDescent="0.3">
      <c r="A529" s="700">
        <v>45833.647175925929</v>
      </c>
      <c r="B529">
        <v>542361075</v>
      </c>
      <c r="C529" t="s">
        <v>293</v>
      </c>
      <c r="D529" t="s">
        <v>294</v>
      </c>
      <c r="E529">
        <v>226</v>
      </c>
      <c r="F529" t="s">
        <v>295</v>
      </c>
    </row>
    <row r="530" spans="1:6" x14ac:dyDescent="0.3">
      <c r="A530" s="700">
        <v>45833.647129629629</v>
      </c>
      <c r="B530">
        <v>542361075</v>
      </c>
      <c r="C530" t="s">
        <v>293</v>
      </c>
      <c r="D530" t="s">
        <v>294</v>
      </c>
      <c r="E530">
        <v>141</v>
      </c>
      <c r="F530" t="s">
        <v>295</v>
      </c>
    </row>
    <row r="531" spans="1:6" x14ac:dyDescent="0.3">
      <c r="A531" s="700">
        <v>45833.647094907406</v>
      </c>
      <c r="B531">
        <v>542361075</v>
      </c>
      <c r="C531" t="s">
        <v>293</v>
      </c>
      <c r="D531" t="s">
        <v>294</v>
      </c>
      <c r="E531">
        <v>166</v>
      </c>
      <c r="F531" t="s">
        <v>295</v>
      </c>
    </row>
    <row r="532" spans="1:6" x14ac:dyDescent="0.3">
      <c r="A532" s="700">
        <v>45833.647048611114</v>
      </c>
      <c r="B532">
        <v>542361075</v>
      </c>
      <c r="C532" t="s">
        <v>293</v>
      </c>
      <c r="D532" t="s">
        <v>294</v>
      </c>
      <c r="E532">
        <v>220</v>
      </c>
      <c r="F532" t="s">
        <v>295</v>
      </c>
    </row>
    <row r="533" spans="1:6" x14ac:dyDescent="0.3">
      <c r="A533" s="700">
        <v>45833.647013888891</v>
      </c>
      <c r="B533">
        <v>542361075</v>
      </c>
      <c r="C533" t="s">
        <v>293</v>
      </c>
      <c r="D533" t="s">
        <v>294</v>
      </c>
      <c r="E533">
        <v>220</v>
      </c>
      <c r="F533" t="s">
        <v>295</v>
      </c>
    </row>
    <row r="534" spans="1:6" x14ac:dyDescent="0.3">
      <c r="A534" s="700">
        <v>45833.646909722222</v>
      </c>
      <c r="B534">
        <v>542361075</v>
      </c>
      <c r="C534" t="s">
        <v>293</v>
      </c>
      <c r="D534" t="s">
        <v>294</v>
      </c>
      <c r="E534">
        <v>269</v>
      </c>
      <c r="F534" t="s">
        <v>295</v>
      </c>
    </row>
    <row r="535" spans="1:6" x14ac:dyDescent="0.3">
      <c r="A535" s="700">
        <v>45833.646828703706</v>
      </c>
      <c r="B535">
        <v>542361075</v>
      </c>
      <c r="C535" t="s">
        <v>293</v>
      </c>
      <c r="D535" t="s">
        <v>294</v>
      </c>
      <c r="E535">
        <v>169</v>
      </c>
      <c r="F535" t="s">
        <v>295</v>
      </c>
    </row>
    <row r="536" spans="1:6" x14ac:dyDescent="0.3">
      <c r="A536" s="700">
        <v>45833.646724537037</v>
      </c>
      <c r="B536">
        <v>542361075</v>
      </c>
      <c r="C536" t="s">
        <v>293</v>
      </c>
      <c r="D536" t="s">
        <v>294</v>
      </c>
      <c r="E536">
        <v>70</v>
      </c>
      <c r="F536" t="s">
        <v>295</v>
      </c>
    </row>
    <row r="537" spans="1:6" x14ac:dyDescent="0.3">
      <c r="A537" s="700">
        <v>45833.646678240744</v>
      </c>
      <c r="B537">
        <v>542361075</v>
      </c>
      <c r="C537" t="s">
        <v>293</v>
      </c>
      <c r="D537" t="s">
        <v>294</v>
      </c>
      <c r="E537">
        <v>30</v>
      </c>
      <c r="F537" t="s">
        <v>295</v>
      </c>
    </row>
    <row r="538" spans="1:6" x14ac:dyDescent="0.3">
      <c r="A538" s="700">
        <v>45833.646122685182</v>
      </c>
      <c r="B538">
        <v>542361075</v>
      </c>
      <c r="C538" t="s">
        <v>293</v>
      </c>
      <c r="D538" t="s">
        <v>294</v>
      </c>
      <c r="E538">
        <v>262</v>
      </c>
      <c r="F538" t="s">
        <v>295</v>
      </c>
    </row>
    <row r="539" spans="1:6" x14ac:dyDescent="0.3">
      <c r="A539" s="700">
        <v>45833.646087962959</v>
      </c>
      <c r="B539">
        <v>542361075</v>
      </c>
      <c r="C539" t="s">
        <v>293</v>
      </c>
      <c r="D539" t="s">
        <v>294</v>
      </c>
      <c r="E539">
        <v>241</v>
      </c>
      <c r="F539" t="s">
        <v>295</v>
      </c>
    </row>
    <row r="540" spans="1:6" x14ac:dyDescent="0.3">
      <c r="A540" s="700">
        <v>45833.646053240744</v>
      </c>
      <c r="B540">
        <v>542361075</v>
      </c>
      <c r="C540" t="s">
        <v>293</v>
      </c>
      <c r="D540" t="s">
        <v>294</v>
      </c>
      <c r="E540">
        <v>230</v>
      </c>
      <c r="F540" t="s">
        <v>295</v>
      </c>
    </row>
    <row r="541" spans="1:6" x14ac:dyDescent="0.3">
      <c r="A541" s="700">
        <v>45833.645833333336</v>
      </c>
      <c r="B541">
        <v>542361075</v>
      </c>
      <c r="C541" t="s">
        <v>293</v>
      </c>
      <c r="D541" t="s">
        <v>294</v>
      </c>
      <c r="E541">
        <v>51</v>
      </c>
      <c r="F541" t="s">
        <v>295</v>
      </c>
    </row>
    <row r="542" spans="1:6" x14ac:dyDescent="0.3">
      <c r="A542" s="700">
        <v>45833.645127314812</v>
      </c>
      <c r="B542">
        <v>542361075</v>
      </c>
      <c r="C542" t="s">
        <v>293</v>
      </c>
      <c r="D542" t="s">
        <v>294</v>
      </c>
      <c r="E542">
        <v>81</v>
      </c>
      <c r="F542" t="s">
        <v>295</v>
      </c>
    </row>
    <row r="543" spans="1:6" x14ac:dyDescent="0.3">
      <c r="A543" s="700">
        <v>45833.643703703703</v>
      </c>
      <c r="B543">
        <v>542361075</v>
      </c>
      <c r="C543" t="s">
        <v>293</v>
      </c>
      <c r="D543" t="s">
        <v>294</v>
      </c>
      <c r="E543">
        <v>107</v>
      </c>
      <c r="F543" t="s">
        <v>295</v>
      </c>
    </row>
    <row r="544" spans="1:6" x14ac:dyDescent="0.3">
      <c r="A544" s="700">
        <v>45833.641909722224</v>
      </c>
      <c r="B544">
        <v>542361075</v>
      </c>
      <c r="C544" t="s">
        <v>293</v>
      </c>
      <c r="D544" t="s">
        <v>294</v>
      </c>
      <c r="E544">
        <v>212</v>
      </c>
      <c r="F544" t="s">
        <v>295</v>
      </c>
    </row>
    <row r="545" spans="1:6" x14ac:dyDescent="0.3">
      <c r="A545" s="700">
        <v>45833.641851851855</v>
      </c>
      <c r="B545">
        <v>542361075</v>
      </c>
      <c r="C545" t="s">
        <v>293</v>
      </c>
      <c r="D545" t="s">
        <v>294</v>
      </c>
      <c r="E545">
        <v>12</v>
      </c>
      <c r="F545" t="s">
        <v>295</v>
      </c>
    </row>
    <row r="546" spans="1:6" x14ac:dyDescent="0.3">
      <c r="A546" s="700">
        <v>45833.635069444441</v>
      </c>
      <c r="B546">
        <v>542361075</v>
      </c>
      <c r="C546" t="s">
        <v>293</v>
      </c>
      <c r="D546" t="s">
        <v>294</v>
      </c>
      <c r="E546">
        <v>264</v>
      </c>
      <c r="F546" t="s">
        <v>295</v>
      </c>
    </row>
    <row r="547" spans="1:6" x14ac:dyDescent="0.3">
      <c r="A547" s="700">
        <v>45833.52076388889</v>
      </c>
      <c r="B547">
        <v>542361075</v>
      </c>
      <c r="C547" t="s">
        <v>293</v>
      </c>
      <c r="D547" t="s">
        <v>294</v>
      </c>
      <c r="E547">
        <v>220</v>
      </c>
      <c r="F547" t="s">
        <v>295</v>
      </c>
    </row>
    <row r="548" spans="1:6" x14ac:dyDescent="0.3">
      <c r="A548" s="700">
        <v>45833.496388888889</v>
      </c>
      <c r="B548">
        <v>542361075</v>
      </c>
      <c r="C548" t="s">
        <v>293</v>
      </c>
      <c r="D548" t="s">
        <v>294</v>
      </c>
      <c r="E548">
        <v>220</v>
      </c>
      <c r="F548" t="s">
        <v>295</v>
      </c>
    </row>
    <row r="549" spans="1:6" x14ac:dyDescent="0.3">
      <c r="A549" s="700">
        <v>45833.443067129629</v>
      </c>
      <c r="B549">
        <v>542361075</v>
      </c>
      <c r="C549" t="s">
        <v>293</v>
      </c>
      <c r="D549" t="s">
        <v>294</v>
      </c>
      <c r="E549">
        <v>269</v>
      </c>
      <c r="F549" t="s">
        <v>295</v>
      </c>
    </row>
    <row r="550" spans="1:6" x14ac:dyDescent="0.3">
      <c r="A550" s="700">
        <v>45833.443009259259</v>
      </c>
      <c r="B550">
        <v>542361075</v>
      </c>
      <c r="C550" t="s">
        <v>293</v>
      </c>
      <c r="D550" t="s">
        <v>294</v>
      </c>
      <c r="E550">
        <v>95</v>
      </c>
      <c r="F550" t="s">
        <v>295</v>
      </c>
    </row>
    <row r="551" spans="1:6" x14ac:dyDescent="0.3">
      <c r="A551" s="700">
        <v>45833.416435185187</v>
      </c>
      <c r="B551">
        <v>542361075</v>
      </c>
      <c r="C551" t="s">
        <v>293</v>
      </c>
      <c r="D551" t="s">
        <v>294</v>
      </c>
      <c r="E551">
        <v>269</v>
      </c>
      <c r="F551" t="s">
        <v>295</v>
      </c>
    </row>
    <row r="552" spans="1:6" x14ac:dyDescent="0.3">
      <c r="A552" s="700">
        <v>45833.416331018518</v>
      </c>
      <c r="B552">
        <v>542361075</v>
      </c>
      <c r="C552" t="s">
        <v>293</v>
      </c>
      <c r="D552" t="s">
        <v>294</v>
      </c>
      <c r="E552">
        <v>95</v>
      </c>
      <c r="F552" t="s">
        <v>295</v>
      </c>
    </row>
    <row r="553" spans="1:6" x14ac:dyDescent="0.3">
      <c r="A553" s="700">
        <v>45833.341481481482</v>
      </c>
      <c r="B553">
        <v>542361075</v>
      </c>
      <c r="C553" t="s">
        <v>293</v>
      </c>
      <c r="D553" t="s">
        <v>294</v>
      </c>
      <c r="E553">
        <v>97</v>
      </c>
      <c r="F553" t="s">
        <v>295</v>
      </c>
    </row>
    <row r="554" spans="1:6" x14ac:dyDescent="0.3">
      <c r="A554" s="700">
        <v>45833.337384259263</v>
      </c>
      <c r="B554">
        <v>542361075</v>
      </c>
      <c r="C554" t="s">
        <v>293</v>
      </c>
      <c r="D554" t="s">
        <v>294</v>
      </c>
      <c r="E554">
        <v>34</v>
      </c>
      <c r="F554" t="s">
        <v>295</v>
      </c>
    </row>
    <row r="555" spans="1:6" x14ac:dyDescent="0.3">
      <c r="A555" s="700">
        <v>45833.332395833335</v>
      </c>
      <c r="B555">
        <v>542361075</v>
      </c>
      <c r="C555" t="s">
        <v>293</v>
      </c>
      <c r="F555" t="s">
        <v>299</v>
      </c>
    </row>
    <row r="556" spans="1:6" x14ac:dyDescent="0.3">
      <c r="A556" s="700">
        <v>45833.331516203703</v>
      </c>
      <c r="B556">
        <v>542361075</v>
      </c>
      <c r="C556" t="s">
        <v>293</v>
      </c>
      <c r="D556" t="s">
        <v>294</v>
      </c>
      <c r="E556">
        <v>41</v>
      </c>
      <c r="F556" t="s">
        <v>295</v>
      </c>
    </row>
    <row r="557" spans="1:6" x14ac:dyDescent="0.3">
      <c r="A557" s="700">
        <v>45833.324699074074</v>
      </c>
      <c r="B557">
        <v>542361075</v>
      </c>
      <c r="C557" t="s">
        <v>293</v>
      </c>
      <c r="D557" t="s">
        <v>294</v>
      </c>
      <c r="E557">
        <v>9</v>
      </c>
      <c r="F557" t="s">
        <v>295</v>
      </c>
    </row>
    <row r="558" spans="1:6" x14ac:dyDescent="0.3">
      <c r="A558" s="700">
        <v>45833.321863425925</v>
      </c>
      <c r="B558">
        <v>542361075</v>
      </c>
      <c r="C558" t="s">
        <v>293</v>
      </c>
      <c r="D558" t="s">
        <v>294</v>
      </c>
      <c r="E558">
        <v>260</v>
      </c>
      <c r="F558" t="s">
        <v>295</v>
      </c>
    </row>
    <row r="559" spans="1:6" x14ac:dyDescent="0.3">
      <c r="A559" s="700">
        <v>45833.321342592593</v>
      </c>
      <c r="B559">
        <v>542361075</v>
      </c>
      <c r="C559" t="s">
        <v>293</v>
      </c>
      <c r="D559" t="s">
        <v>294</v>
      </c>
      <c r="E559">
        <v>269</v>
      </c>
      <c r="F559" t="s">
        <v>295</v>
      </c>
    </row>
    <row r="560" spans="1:6" x14ac:dyDescent="0.3">
      <c r="A560" s="700">
        <v>45833.321273148147</v>
      </c>
      <c r="B560">
        <v>542361075</v>
      </c>
      <c r="C560" t="s">
        <v>293</v>
      </c>
      <c r="D560" t="s">
        <v>294</v>
      </c>
      <c r="E560">
        <v>94</v>
      </c>
      <c r="F560" t="s">
        <v>295</v>
      </c>
    </row>
    <row r="561" spans="1:6" x14ac:dyDescent="0.3">
      <c r="A561" s="700">
        <v>45833.320798611108</v>
      </c>
      <c r="B561">
        <v>542361075</v>
      </c>
      <c r="C561" t="s">
        <v>293</v>
      </c>
      <c r="D561" t="s">
        <v>294</v>
      </c>
      <c r="E561">
        <v>256</v>
      </c>
      <c r="F561" t="s">
        <v>295</v>
      </c>
    </row>
    <row r="562" spans="1:6" x14ac:dyDescent="0.3">
      <c r="A562" s="700">
        <v>45833.31890046296</v>
      </c>
      <c r="B562">
        <v>542361075</v>
      </c>
      <c r="C562" t="s">
        <v>293</v>
      </c>
      <c r="D562" t="s">
        <v>294</v>
      </c>
      <c r="E562">
        <v>226</v>
      </c>
      <c r="F562" t="s">
        <v>295</v>
      </c>
    </row>
    <row r="563" spans="1:6" x14ac:dyDescent="0.3">
      <c r="A563" s="700">
        <v>45833.318171296298</v>
      </c>
      <c r="B563">
        <v>542361075</v>
      </c>
      <c r="C563" t="s">
        <v>293</v>
      </c>
      <c r="D563" t="s">
        <v>294</v>
      </c>
      <c r="E563">
        <v>159</v>
      </c>
      <c r="F563" t="s">
        <v>295</v>
      </c>
    </row>
    <row r="564" spans="1:6" x14ac:dyDescent="0.3">
      <c r="A564" s="700">
        <v>45833.317604166667</v>
      </c>
      <c r="B564">
        <v>542361075</v>
      </c>
      <c r="C564" t="s">
        <v>293</v>
      </c>
      <c r="D564" t="s">
        <v>294</v>
      </c>
      <c r="E564">
        <v>51</v>
      </c>
      <c r="F564" t="s">
        <v>295</v>
      </c>
    </row>
    <row r="565" spans="1:6" x14ac:dyDescent="0.3">
      <c r="A565" s="700">
        <v>45833.317245370374</v>
      </c>
      <c r="B565">
        <v>542361075</v>
      </c>
      <c r="C565" t="s">
        <v>293</v>
      </c>
      <c r="D565" t="s">
        <v>294</v>
      </c>
      <c r="E565">
        <v>29</v>
      </c>
      <c r="F565" t="s">
        <v>295</v>
      </c>
    </row>
    <row r="566" spans="1:6" x14ac:dyDescent="0.3">
      <c r="A566" s="700">
        <v>45833.317210648151</v>
      </c>
      <c r="B566">
        <v>542361075</v>
      </c>
      <c r="C566" t="s">
        <v>293</v>
      </c>
      <c r="D566" t="s">
        <v>294</v>
      </c>
      <c r="E566">
        <v>75</v>
      </c>
      <c r="F566" t="s">
        <v>295</v>
      </c>
    </row>
    <row r="567" spans="1:6" x14ac:dyDescent="0.3">
      <c r="A567" s="700">
        <v>45833.316550925927</v>
      </c>
      <c r="B567">
        <v>542361075</v>
      </c>
      <c r="C567" t="s">
        <v>293</v>
      </c>
      <c r="D567" t="s">
        <v>294</v>
      </c>
      <c r="E567">
        <v>89</v>
      </c>
      <c r="F567" t="s">
        <v>295</v>
      </c>
    </row>
    <row r="568" spans="1:6" x14ac:dyDescent="0.3">
      <c r="A568" s="700">
        <v>45833.315648148149</v>
      </c>
      <c r="B568">
        <v>542361075</v>
      </c>
      <c r="C568" t="s">
        <v>293</v>
      </c>
      <c r="D568" t="s">
        <v>294</v>
      </c>
      <c r="E568">
        <v>247</v>
      </c>
      <c r="F568" t="s">
        <v>295</v>
      </c>
    </row>
    <row r="569" spans="1:6" x14ac:dyDescent="0.3">
      <c r="A569" s="700">
        <v>45833.31523148148</v>
      </c>
      <c r="B569">
        <v>542361075</v>
      </c>
      <c r="C569" t="s">
        <v>293</v>
      </c>
      <c r="D569" t="s">
        <v>294</v>
      </c>
      <c r="E569">
        <v>95</v>
      </c>
      <c r="F569" t="s">
        <v>295</v>
      </c>
    </row>
    <row r="570" spans="1:6" x14ac:dyDescent="0.3">
      <c r="A570" s="700">
        <v>45833.314074074071</v>
      </c>
      <c r="B570">
        <v>542361075</v>
      </c>
      <c r="C570" t="s">
        <v>293</v>
      </c>
      <c r="D570" t="s">
        <v>294</v>
      </c>
      <c r="E570">
        <v>35</v>
      </c>
      <c r="F570" t="s">
        <v>295</v>
      </c>
    </row>
    <row r="571" spans="1:6" x14ac:dyDescent="0.3">
      <c r="A571" s="700">
        <v>45833.314039351855</v>
      </c>
      <c r="B571">
        <v>542361075</v>
      </c>
      <c r="C571" t="s">
        <v>293</v>
      </c>
      <c r="D571" t="s">
        <v>294</v>
      </c>
      <c r="E571">
        <v>35</v>
      </c>
      <c r="F571" t="s">
        <v>295</v>
      </c>
    </row>
    <row r="572" spans="1:6" x14ac:dyDescent="0.3">
      <c r="A572" s="700">
        <v>45833.313564814816</v>
      </c>
      <c r="B572">
        <v>542361075</v>
      </c>
      <c r="C572" t="s">
        <v>293</v>
      </c>
      <c r="D572" t="s">
        <v>294</v>
      </c>
      <c r="E572">
        <v>210</v>
      </c>
      <c r="F572" t="s">
        <v>295</v>
      </c>
    </row>
    <row r="573" spans="1:6" x14ac:dyDescent="0.3">
      <c r="A573" s="700">
        <v>45833.313298611109</v>
      </c>
      <c r="B573">
        <v>542361075</v>
      </c>
      <c r="C573" t="s">
        <v>293</v>
      </c>
      <c r="D573" t="s">
        <v>294</v>
      </c>
      <c r="E573">
        <v>19</v>
      </c>
      <c r="F573" t="s">
        <v>295</v>
      </c>
    </row>
    <row r="574" spans="1:6" x14ac:dyDescent="0.3">
      <c r="A574" s="700">
        <v>45833.313263888886</v>
      </c>
      <c r="B574">
        <v>542361075</v>
      </c>
      <c r="C574" t="s">
        <v>293</v>
      </c>
      <c r="D574" t="s">
        <v>294</v>
      </c>
      <c r="E574">
        <v>28</v>
      </c>
      <c r="F574" t="s">
        <v>295</v>
      </c>
    </row>
    <row r="575" spans="1:6" x14ac:dyDescent="0.3">
      <c r="A575" s="700">
        <v>45833.313217592593</v>
      </c>
      <c r="B575">
        <v>542361075</v>
      </c>
      <c r="C575" t="s">
        <v>293</v>
      </c>
      <c r="D575" t="s">
        <v>294</v>
      </c>
      <c r="E575">
        <v>59</v>
      </c>
      <c r="F575" t="s">
        <v>295</v>
      </c>
    </row>
    <row r="576" spans="1:6" x14ac:dyDescent="0.3">
      <c r="A576" s="700">
        <v>45833.313055555554</v>
      </c>
      <c r="B576">
        <v>542361075</v>
      </c>
      <c r="C576" t="s">
        <v>293</v>
      </c>
      <c r="D576" t="s">
        <v>294</v>
      </c>
      <c r="E576">
        <v>135</v>
      </c>
      <c r="F576" t="s">
        <v>295</v>
      </c>
    </row>
    <row r="577" spans="1:6" x14ac:dyDescent="0.3">
      <c r="A577" s="700">
        <v>45833.312997685185</v>
      </c>
      <c r="B577">
        <v>542361075</v>
      </c>
      <c r="C577" t="s">
        <v>293</v>
      </c>
      <c r="D577" t="s">
        <v>294</v>
      </c>
      <c r="E577">
        <v>118</v>
      </c>
      <c r="F577" t="s">
        <v>295</v>
      </c>
    </row>
    <row r="578" spans="1:6" x14ac:dyDescent="0.3">
      <c r="A578" s="700">
        <v>45833.312951388885</v>
      </c>
      <c r="B578">
        <v>542361075</v>
      </c>
      <c r="C578" t="s">
        <v>293</v>
      </c>
      <c r="D578" t="s">
        <v>294</v>
      </c>
      <c r="E578">
        <v>254</v>
      </c>
      <c r="F578" t="s">
        <v>295</v>
      </c>
    </row>
    <row r="579" spans="1:6" x14ac:dyDescent="0.3">
      <c r="A579" s="700">
        <v>45833.312881944446</v>
      </c>
      <c r="B579">
        <v>542361075</v>
      </c>
      <c r="C579" t="s">
        <v>293</v>
      </c>
      <c r="D579" t="s">
        <v>294</v>
      </c>
      <c r="E579">
        <v>227</v>
      </c>
      <c r="F579" t="s">
        <v>295</v>
      </c>
    </row>
    <row r="580" spans="1:6" x14ac:dyDescent="0.3">
      <c r="A580" s="700">
        <v>45833.312800925924</v>
      </c>
      <c r="B580">
        <v>542361075</v>
      </c>
      <c r="C580" t="s">
        <v>293</v>
      </c>
      <c r="D580" t="s">
        <v>294</v>
      </c>
      <c r="E580">
        <v>228</v>
      </c>
      <c r="F580" t="s">
        <v>295</v>
      </c>
    </row>
    <row r="581" spans="1:6" x14ac:dyDescent="0.3">
      <c r="A581" s="700">
        <v>45833.3125462963</v>
      </c>
      <c r="B581">
        <v>542361075</v>
      </c>
      <c r="C581" t="s">
        <v>293</v>
      </c>
      <c r="D581" t="s">
        <v>294</v>
      </c>
      <c r="E581">
        <v>266</v>
      </c>
      <c r="F581" t="s">
        <v>295</v>
      </c>
    </row>
    <row r="582" spans="1:6" x14ac:dyDescent="0.3">
      <c r="A582" s="700">
        <v>45833.312523148146</v>
      </c>
      <c r="B582">
        <v>542361075</v>
      </c>
      <c r="C582" t="s">
        <v>293</v>
      </c>
      <c r="D582" t="s">
        <v>294</v>
      </c>
      <c r="E582">
        <v>250</v>
      </c>
      <c r="F582" t="s">
        <v>295</v>
      </c>
    </row>
    <row r="583" spans="1:6" x14ac:dyDescent="0.3">
      <c r="A583" s="700">
        <v>45833.312002314815</v>
      </c>
      <c r="B583">
        <v>542361075</v>
      </c>
      <c r="C583" t="s">
        <v>293</v>
      </c>
      <c r="D583" t="s">
        <v>294</v>
      </c>
      <c r="E583">
        <v>220</v>
      </c>
      <c r="F583" t="s">
        <v>295</v>
      </c>
    </row>
    <row r="584" spans="1:6" x14ac:dyDescent="0.3">
      <c r="A584" s="700">
        <v>45833.311701388891</v>
      </c>
      <c r="B584">
        <v>542361075</v>
      </c>
      <c r="C584" t="s">
        <v>293</v>
      </c>
      <c r="D584" t="s">
        <v>294</v>
      </c>
      <c r="E584">
        <v>145</v>
      </c>
      <c r="F584" t="s">
        <v>295</v>
      </c>
    </row>
    <row r="585" spans="1:6" x14ac:dyDescent="0.3">
      <c r="A585" s="700">
        <v>45833.31040509259</v>
      </c>
      <c r="B585">
        <v>542361075</v>
      </c>
      <c r="C585" t="s">
        <v>293</v>
      </c>
      <c r="D585" t="s">
        <v>294</v>
      </c>
      <c r="E585">
        <v>63</v>
      </c>
      <c r="F585" t="s">
        <v>295</v>
      </c>
    </row>
    <row r="586" spans="1:6" x14ac:dyDescent="0.3">
      <c r="A586" s="700">
        <v>45833.308969907404</v>
      </c>
      <c r="B586">
        <v>542361075</v>
      </c>
      <c r="C586" t="s">
        <v>293</v>
      </c>
      <c r="D586" t="s">
        <v>294</v>
      </c>
      <c r="E586">
        <v>141</v>
      </c>
      <c r="F586" t="s">
        <v>295</v>
      </c>
    </row>
    <row r="587" spans="1:6" x14ac:dyDescent="0.3">
      <c r="A587" s="700">
        <v>45833.308923611112</v>
      </c>
      <c r="B587">
        <v>542361075</v>
      </c>
      <c r="C587" t="s">
        <v>293</v>
      </c>
      <c r="D587" t="s">
        <v>294</v>
      </c>
      <c r="E587">
        <v>166</v>
      </c>
      <c r="F587" t="s">
        <v>295</v>
      </c>
    </row>
    <row r="588" spans="1:6" x14ac:dyDescent="0.3">
      <c r="A588" s="700">
        <v>45833.306655092594</v>
      </c>
      <c r="B588">
        <v>542361075</v>
      </c>
      <c r="C588" t="s">
        <v>293</v>
      </c>
      <c r="D588" t="s">
        <v>294</v>
      </c>
      <c r="E588">
        <v>262</v>
      </c>
      <c r="F588" t="s">
        <v>295</v>
      </c>
    </row>
    <row r="589" spans="1:6" x14ac:dyDescent="0.3">
      <c r="A589" s="700">
        <v>45833.305844907409</v>
      </c>
      <c r="B589">
        <v>542361075</v>
      </c>
      <c r="C589" t="s">
        <v>293</v>
      </c>
      <c r="D589" t="s">
        <v>294</v>
      </c>
      <c r="E589">
        <v>33</v>
      </c>
      <c r="F589" t="s">
        <v>295</v>
      </c>
    </row>
    <row r="590" spans="1:6" x14ac:dyDescent="0.3">
      <c r="A590" s="700">
        <v>45833.30228009259</v>
      </c>
      <c r="B590">
        <v>542361075</v>
      </c>
      <c r="C590" t="s">
        <v>293</v>
      </c>
      <c r="D590" t="s">
        <v>294</v>
      </c>
      <c r="E590">
        <v>239</v>
      </c>
      <c r="F590" t="s">
        <v>295</v>
      </c>
    </row>
    <row r="591" spans="1:6" x14ac:dyDescent="0.3">
      <c r="A591" s="700">
        <v>45833.302222222221</v>
      </c>
      <c r="B591">
        <v>542361075</v>
      </c>
      <c r="C591" t="s">
        <v>293</v>
      </c>
      <c r="D591" t="s">
        <v>294</v>
      </c>
      <c r="E591">
        <v>230</v>
      </c>
      <c r="F591" t="s">
        <v>295</v>
      </c>
    </row>
    <row r="592" spans="1:6" x14ac:dyDescent="0.3">
      <c r="A592" s="700">
        <v>45833.301527777781</v>
      </c>
      <c r="B592">
        <v>542361075</v>
      </c>
      <c r="C592" t="s">
        <v>293</v>
      </c>
      <c r="D592" t="s">
        <v>294</v>
      </c>
      <c r="E592">
        <v>245</v>
      </c>
      <c r="F592" t="s">
        <v>295</v>
      </c>
    </row>
    <row r="593" spans="1:6" x14ac:dyDescent="0.3">
      <c r="A593" s="700">
        <v>45833.29415509259</v>
      </c>
      <c r="B593">
        <v>542361075</v>
      </c>
      <c r="C593" t="s">
        <v>293</v>
      </c>
      <c r="D593" t="s">
        <v>294</v>
      </c>
      <c r="E593">
        <v>241</v>
      </c>
      <c r="F593" t="s">
        <v>295</v>
      </c>
    </row>
    <row r="594" spans="1:6" x14ac:dyDescent="0.3">
      <c r="A594" s="700">
        <v>45833.283599537041</v>
      </c>
      <c r="B594">
        <v>542361075</v>
      </c>
      <c r="C594" t="s">
        <v>293</v>
      </c>
      <c r="D594" t="s">
        <v>294</v>
      </c>
      <c r="E594">
        <v>172</v>
      </c>
      <c r="F594" t="s">
        <v>295</v>
      </c>
    </row>
    <row r="595" spans="1:6" x14ac:dyDescent="0.3">
      <c r="A595" s="700">
        <v>45833.283564814818</v>
      </c>
      <c r="B595">
        <v>542361075</v>
      </c>
      <c r="C595" t="s">
        <v>293</v>
      </c>
      <c r="D595" t="s">
        <v>294</v>
      </c>
      <c r="E595">
        <v>172</v>
      </c>
      <c r="F595" t="s">
        <v>295</v>
      </c>
    </row>
    <row r="596" spans="1:6" x14ac:dyDescent="0.3">
      <c r="A596" s="700">
        <v>45833.251504629632</v>
      </c>
      <c r="B596">
        <v>542361075</v>
      </c>
      <c r="C596" t="s">
        <v>293</v>
      </c>
      <c r="D596" t="s">
        <v>294</v>
      </c>
      <c r="E596">
        <v>267</v>
      </c>
      <c r="F596" t="s">
        <v>295</v>
      </c>
    </row>
    <row r="597" spans="1:6" x14ac:dyDescent="0.3">
      <c r="A597" s="700">
        <v>45833.192430555559</v>
      </c>
      <c r="B597">
        <v>542361075</v>
      </c>
      <c r="C597" t="s">
        <v>293</v>
      </c>
      <c r="D597" t="s">
        <v>294</v>
      </c>
      <c r="E597">
        <v>29</v>
      </c>
      <c r="F597" t="s">
        <v>295</v>
      </c>
    </row>
    <row r="598" spans="1:6" x14ac:dyDescent="0.3">
      <c r="A598" s="700">
        <v>45833.168912037036</v>
      </c>
      <c r="B598">
        <v>542361075</v>
      </c>
      <c r="C598" t="s">
        <v>293</v>
      </c>
      <c r="D598" t="s">
        <v>294</v>
      </c>
      <c r="E598">
        <v>29</v>
      </c>
      <c r="F598" t="s">
        <v>295</v>
      </c>
    </row>
    <row r="599" spans="1:6" x14ac:dyDescent="0.3">
      <c r="A599" s="700">
        <v>45833.161574074074</v>
      </c>
      <c r="B599">
        <v>542361075</v>
      </c>
      <c r="C599" t="s">
        <v>293</v>
      </c>
      <c r="D599" t="s">
        <v>294</v>
      </c>
      <c r="E599">
        <v>159</v>
      </c>
      <c r="F599" t="s">
        <v>295</v>
      </c>
    </row>
    <row r="600" spans="1:6" x14ac:dyDescent="0.3">
      <c r="A600" s="700">
        <v>45833.161527777775</v>
      </c>
      <c r="B600">
        <v>542361075</v>
      </c>
      <c r="C600" t="s">
        <v>293</v>
      </c>
      <c r="D600" t="s">
        <v>294</v>
      </c>
      <c r="E600">
        <v>250</v>
      </c>
      <c r="F600" t="s">
        <v>295</v>
      </c>
    </row>
    <row r="601" spans="1:6" x14ac:dyDescent="0.3">
      <c r="A601" s="700">
        <v>45833.161469907405</v>
      </c>
      <c r="B601">
        <v>542361075</v>
      </c>
      <c r="C601" t="s">
        <v>293</v>
      </c>
      <c r="D601" t="s">
        <v>294</v>
      </c>
      <c r="E601">
        <v>9</v>
      </c>
      <c r="F601" t="s">
        <v>295</v>
      </c>
    </row>
    <row r="602" spans="1:6" x14ac:dyDescent="0.3">
      <c r="A602" s="700">
        <v>45833.160451388889</v>
      </c>
      <c r="B602">
        <v>542361075</v>
      </c>
      <c r="C602" t="s">
        <v>293</v>
      </c>
      <c r="D602" t="s">
        <v>294</v>
      </c>
      <c r="E602">
        <v>28</v>
      </c>
      <c r="F602" t="s">
        <v>295</v>
      </c>
    </row>
    <row r="603" spans="1:6" x14ac:dyDescent="0.3">
      <c r="A603" s="700">
        <v>45833.142638888887</v>
      </c>
      <c r="B603">
        <v>542361075</v>
      </c>
      <c r="C603" t="s">
        <v>293</v>
      </c>
      <c r="F603" t="s">
        <v>296</v>
      </c>
    </row>
    <row r="604" spans="1:6" x14ac:dyDescent="0.3">
      <c r="A604" s="700">
        <v>45833.142500000002</v>
      </c>
      <c r="B604">
        <v>542361075</v>
      </c>
      <c r="C604" t="s">
        <v>293</v>
      </c>
      <c r="D604" t="s">
        <v>294</v>
      </c>
      <c r="E604">
        <v>266</v>
      </c>
      <c r="F604" t="s">
        <v>295</v>
      </c>
    </row>
    <row r="605" spans="1:6" x14ac:dyDescent="0.3">
      <c r="A605" s="700">
        <v>45833.137245370373</v>
      </c>
      <c r="B605">
        <v>542361075</v>
      </c>
      <c r="C605" t="s">
        <v>293</v>
      </c>
      <c r="D605" t="s">
        <v>294</v>
      </c>
      <c r="E605">
        <v>28</v>
      </c>
      <c r="F605" t="s">
        <v>295</v>
      </c>
    </row>
    <row r="606" spans="1:6" x14ac:dyDescent="0.3">
      <c r="A606" s="700">
        <v>45833.137060185189</v>
      </c>
      <c r="B606">
        <v>542361075</v>
      </c>
      <c r="C606" t="s">
        <v>293</v>
      </c>
      <c r="D606" t="s">
        <v>294</v>
      </c>
      <c r="E606">
        <v>9</v>
      </c>
      <c r="F606" t="s">
        <v>295</v>
      </c>
    </row>
    <row r="607" spans="1:6" x14ac:dyDescent="0.3">
      <c r="A607" s="700">
        <v>45833.136932870373</v>
      </c>
      <c r="B607">
        <v>542361075</v>
      </c>
      <c r="C607" t="s">
        <v>293</v>
      </c>
      <c r="D607" t="s">
        <v>294</v>
      </c>
      <c r="E607">
        <v>159</v>
      </c>
      <c r="F607" t="s">
        <v>295</v>
      </c>
    </row>
    <row r="608" spans="1:6" x14ac:dyDescent="0.3">
      <c r="A608" s="700">
        <v>45833.136759259258</v>
      </c>
      <c r="B608">
        <v>542361075</v>
      </c>
      <c r="C608" t="s">
        <v>293</v>
      </c>
      <c r="D608" t="s">
        <v>294</v>
      </c>
      <c r="E608">
        <v>250</v>
      </c>
      <c r="F608" t="s">
        <v>295</v>
      </c>
    </row>
    <row r="609" spans="1:6" x14ac:dyDescent="0.3">
      <c r="A609" s="700">
        <v>45833.133761574078</v>
      </c>
      <c r="B609">
        <v>542361075</v>
      </c>
      <c r="C609" t="s">
        <v>293</v>
      </c>
      <c r="D609" t="s">
        <v>294</v>
      </c>
      <c r="E609">
        <v>33</v>
      </c>
      <c r="F609" t="s">
        <v>295</v>
      </c>
    </row>
    <row r="610" spans="1:6" x14ac:dyDescent="0.3">
      <c r="A610" s="700">
        <v>45833.133680555555</v>
      </c>
      <c r="B610">
        <v>542361075</v>
      </c>
      <c r="C610" t="s">
        <v>293</v>
      </c>
      <c r="D610" t="s">
        <v>294</v>
      </c>
      <c r="E610">
        <v>75</v>
      </c>
      <c r="F610" t="s">
        <v>295</v>
      </c>
    </row>
    <row r="611" spans="1:6" x14ac:dyDescent="0.3">
      <c r="A611" s="700">
        <v>45833.120891203704</v>
      </c>
      <c r="B611">
        <v>542361075</v>
      </c>
      <c r="C611" t="s">
        <v>293</v>
      </c>
      <c r="D611" t="s">
        <v>294</v>
      </c>
      <c r="E611">
        <v>227</v>
      </c>
      <c r="F611" t="s">
        <v>295</v>
      </c>
    </row>
    <row r="612" spans="1:6" x14ac:dyDescent="0.3">
      <c r="A612" s="700">
        <v>45833.120844907404</v>
      </c>
      <c r="B612">
        <v>542361075</v>
      </c>
      <c r="C612" t="s">
        <v>293</v>
      </c>
      <c r="D612" t="s">
        <v>294</v>
      </c>
      <c r="E612">
        <v>210</v>
      </c>
      <c r="F612" t="s">
        <v>295</v>
      </c>
    </row>
    <row r="613" spans="1:6" x14ac:dyDescent="0.3">
      <c r="A613" s="700">
        <v>45833.12054398148</v>
      </c>
      <c r="B613">
        <v>542361075</v>
      </c>
      <c r="C613" t="s">
        <v>293</v>
      </c>
      <c r="D613" t="s">
        <v>294</v>
      </c>
      <c r="E613">
        <v>266</v>
      </c>
      <c r="F613" t="s">
        <v>295</v>
      </c>
    </row>
    <row r="614" spans="1:6" x14ac:dyDescent="0.3">
      <c r="A614" s="700">
        <v>45833.111944444441</v>
      </c>
      <c r="B614">
        <v>542361075</v>
      </c>
      <c r="C614" t="s">
        <v>293</v>
      </c>
      <c r="D614" t="s">
        <v>294</v>
      </c>
      <c r="E614">
        <v>75</v>
      </c>
      <c r="F614" t="s">
        <v>295</v>
      </c>
    </row>
    <row r="615" spans="1:6" x14ac:dyDescent="0.3">
      <c r="A615" s="700">
        <v>45833.110983796294</v>
      </c>
      <c r="B615">
        <v>542361075</v>
      </c>
      <c r="C615" t="s">
        <v>293</v>
      </c>
      <c r="D615" t="s">
        <v>294</v>
      </c>
      <c r="E615">
        <v>33</v>
      </c>
      <c r="F615" t="s">
        <v>295</v>
      </c>
    </row>
    <row r="616" spans="1:6" x14ac:dyDescent="0.3">
      <c r="A616" s="700">
        <v>45833.110868055555</v>
      </c>
      <c r="B616">
        <v>542361075</v>
      </c>
      <c r="C616" t="s">
        <v>293</v>
      </c>
      <c r="D616" t="s">
        <v>294</v>
      </c>
      <c r="E616">
        <v>267</v>
      </c>
      <c r="F616" t="s">
        <v>295</v>
      </c>
    </row>
    <row r="617" spans="1:6" x14ac:dyDescent="0.3">
      <c r="A617" s="700">
        <v>45833.110335648147</v>
      </c>
      <c r="B617">
        <v>542361075</v>
      </c>
      <c r="C617" t="s">
        <v>293</v>
      </c>
      <c r="D617" t="s">
        <v>294</v>
      </c>
      <c r="E617">
        <v>228</v>
      </c>
      <c r="F617" t="s">
        <v>295</v>
      </c>
    </row>
    <row r="618" spans="1:6" x14ac:dyDescent="0.3">
      <c r="A618" s="700">
        <v>45833.094247685185</v>
      </c>
      <c r="B618">
        <v>542361075</v>
      </c>
      <c r="C618" t="s">
        <v>293</v>
      </c>
      <c r="D618" t="s">
        <v>294</v>
      </c>
      <c r="E618">
        <v>227</v>
      </c>
      <c r="F618" t="s">
        <v>295</v>
      </c>
    </row>
    <row r="619" spans="1:6" x14ac:dyDescent="0.3">
      <c r="A619" s="700">
        <v>45833.092546296299</v>
      </c>
      <c r="B619">
        <v>542361075</v>
      </c>
      <c r="C619" t="s">
        <v>293</v>
      </c>
      <c r="D619" t="s">
        <v>294</v>
      </c>
      <c r="E619">
        <v>210</v>
      </c>
      <c r="F619" t="s">
        <v>295</v>
      </c>
    </row>
    <row r="620" spans="1:6" x14ac:dyDescent="0.3">
      <c r="A620" s="700">
        <v>45833.090613425928</v>
      </c>
      <c r="B620">
        <v>542361075</v>
      </c>
      <c r="C620" t="s">
        <v>293</v>
      </c>
      <c r="D620" t="s">
        <v>294</v>
      </c>
      <c r="E620">
        <v>254</v>
      </c>
      <c r="F620" t="s">
        <v>295</v>
      </c>
    </row>
    <row r="621" spans="1:6" x14ac:dyDescent="0.3">
      <c r="A621" s="700">
        <v>45833.090567129628</v>
      </c>
      <c r="B621">
        <v>542361075</v>
      </c>
      <c r="C621" t="s">
        <v>293</v>
      </c>
      <c r="D621" t="s">
        <v>294</v>
      </c>
      <c r="E621">
        <v>118</v>
      </c>
      <c r="F621" t="s">
        <v>295</v>
      </c>
    </row>
    <row r="622" spans="1:6" x14ac:dyDescent="0.3">
      <c r="A622" s="700">
        <v>45833.090520833335</v>
      </c>
      <c r="B622">
        <v>542361075</v>
      </c>
      <c r="C622" t="s">
        <v>293</v>
      </c>
      <c r="D622" t="s">
        <v>294</v>
      </c>
      <c r="E622">
        <v>135</v>
      </c>
      <c r="F622" t="s">
        <v>295</v>
      </c>
    </row>
    <row r="623" spans="1:6" x14ac:dyDescent="0.3">
      <c r="A623" s="700">
        <v>45833.089259259257</v>
      </c>
      <c r="B623">
        <v>542361075</v>
      </c>
      <c r="C623" t="s">
        <v>293</v>
      </c>
      <c r="D623" t="s">
        <v>294</v>
      </c>
      <c r="E623">
        <v>267</v>
      </c>
      <c r="F623" t="s">
        <v>295</v>
      </c>
    </row>
    <row r="624" spans="1:6" x14ac:dyDescent="0.3">
      <c r="A624" s="700">
        <v>45833.082442129627</v>
      </c>
      <c r="B624">
        <v>542361075</v>
      </c>
      <c r="C624" t="s">
        <v>293</v>
      </c>
      <c r="D624" t="s">
        <v>294</v>
      </c>
      <c r="E624">
        <v>228</v>
      </c>
      <c r="F624" t="s">
        <v>295</v>
      </c>
    </row>
    <row r="625" spans="1:6" x14ac:dyDescent="0.3">
      <c r="A625" s="700">
        <v>45833.064143518517</v>
      </c>
      <c r="B625">
        <v>542361075</v>
      </c>
      <c r="C625" t="s">
        <v>293</v>
      </c>
      <c r="D625" t="s">
        <v>294</v>
      </c>
      <c r="E625">
        <v>118</v>
      </c>
      <c r="F625" t="s">
        <v>295</v>
      </c>
    </row>
    <row r="626" spans="1:6" x14ac:dyDescent="0.3">
      <c r="A626" s="700">
        <v>45833.064108796294</v>
      </c>
      <c r="B626">
        <v>542361075</v>
      </c>
      <c r="C626" t="s">
        <v>293</v>
      </c>
      <c r="D626" t="s">
        <v>294</v>
      </c>
      <c r="E626">
        <v>135</v>
      </c>
      <c r="F626" t="s">
        <v>295</v>
      </c>
    </row>
    <row r="627" spans="1:6" x14ac:dyDescent="0.3">
      <c r="A627" s="700">
        <v>45833.064062500001</v>
      </c>
      <c r="B627">
        <v>542361075</v>
      </c>
      <c r="C627" t="s">
        <v>293</v>
      </c>
      <c r="D627" t="s">
        <v>294</v>
      </c>
      <c r="E627">
        <v>254</v>
      </c>
      <c r="F627" t="s">
        <v>295</v>
      </c>
    </row>
    <row r="628" spans="1:6" x14ac:dyDescent="0.3">
      <c r="A628" s="700">
        <v>45833.038425925923</v>
      </c>
      <c r="B628">
        <v>542361075</v>
      </c>
      <c r="C628" t="s">
        <v>293</v>
      </c>
      <c r="D628" t="s">
        <v>294</v>
      </c>
      <c r="E628">
        <v>94</v>
      </c>
      <c r="F628" t="s">
        <v>295</v>
      </c>
    </row>
    <row r="629" spans="1:6" x14ac:dyDescent="0.3">
      <c r="A629" s="700">
        <v>45833.0153125</v>
      </c>
      <c r="B629">
        <v>542361075</v>
      </c>
      <c r="C629" t="s">
        <v>293</v>
      </c>
      <c r="D629" t="s">
        <v>294</v>
      </c>
      <c r="E629">
        <v>94</v>
      </c>
      <c r="F629" t="s">
        <v>295</v>
      </c>
    </row>
    <row r="630" spans="1:6" x14ac:dyDescent="0.3">
      <c r="A630" s="700">
        <v>45833.015277777777</v>
      </c>
      <c r="B630">
        <v>542361075</v>
      </c>
      <c r="C630" t="s">
        <v>293</v>
      </c>
      <c r="F630" t="s">
        <v>296</v>
      </c>
    </row>
    <row r="631" spans="1:6" x14ac:dyDescent="0.3">
      <c r="A631" s="700">
        <v>45832.98642361111</v>
      </c>
      <c r="B631">
        <v>542361075</v>
      </c>
      <c r="C631" t="s">
        <v>293</v>
      </c>
      <c r="D631" t="s">
        <v>294</v>
      </c>
      <c r="E631">
        <v>210</v>
      </c>
      <c r="F631" t="s">
        <v>295</v>
      </c>
    </row>
    <row r="632" spans="1:6" x14ac:dyDescent="0.3">
      <c r="A632" s="700">
        <v>45832.984571759262</v>
      </c>
      <c r="B632">
        <v>542361075</v>
      </c>
      <c r="C632" t="s">
        <v>293</v>
      </c>
      <c r="D632" t="s">
        <v>294</v>
      </c>
      <c r="E632">
        <v>63</v>
      </c>
      <c r="F632" t="s">
        <v>295</v>
      </c>
    </row>
    <row r="633" spans="1:6" x14ac:dyDescent="0.3">
      <c r="A633" s="700">
        <v>45832.982638888891</v>
      </c>
      <c r="B633">
        <v>542361075</v>
      </c>
      <c r="C633" t="s">
        <v>293</v>
      </c>
      <c r="D633" t="s">
        <v>294</v>
      </c>
      <c r="E633">
        <v>228</v>
      </c>
      <c r="F633" t="s">
        <v>295</v>
      </c>
    </row>
    <row r="634" spans="1:6" x14ac:dyDescent="0.3">
      <c r="A634" s="700">
        <v>45832.981296296297</v>
      </c>
      <c r="B634">
        <v>542361075</v>
      </c>
      <c r="C634" t="s">
        <v>293</v>
      </c>
      <c r="D634" t="s">
        <v>294</v>
      </c>
      <c r="E634">
        <v>271</v>
      </c>
      <c r="F634" t="s">
        <v>295</v>
      </c>
    </row>
    <row r="635" spans="1:6" x14ac:dyDescent="0.3">
      <c r="A635" s="700">
        <v>45832.981226851851</v>
      </c>
      <c r="B635">
        <v>542361075</v>
      </c>
      <c r="C635" t="s">
        <v>293</v>
      </c>
      <c r="D635" t="s">
        <v>294</v>
      </c>
      <c r="E635">
        <v>30</v>
      </c>
      <c r="F635" t="s">
        <v>295</v>
      </c>
    </row>
    <row r="636" spans="1:6" x14ac:dyDescent="0.3">
      <c r="A636" s="700">
        <v>45832.981053240743</v>
      </c>
      <c r="B636">
        <v>542361075</v>
      </c>
      <c r="C636" t="s">
        <v>293</v>
      </c>
      <c r="D636" t="s">
        <v>294</v>
      </c>
      <c r="E636">
        <v>266</v>
      </c>
      <c r="F636" t="s">
        <v>295</v>
      </c>
    </row>
    <row r="637" spans="1:6" x14ac:dyDescent="0.3">
      <c r="A637" s="700">
        <v>45832.980995370373</v>
      </c>
      <c r="B637">
        <v>542361075</v>
      </c>
      <c r="C637" t="s">
        <v>293</v>
      </c>
      <c r="D637" t="s">
        <v>294</v>
      </c>
      <c r="E637">
        <v>135</v>
      </c>
      <c r="F637" t="s">
        <v>295</v>
      </c>
    </row>
    <row r="638" spans="1:6" x14ac:dyDescent="0.3">
      <c r="A638" s="700">
        <v>45832.980937499997</v>
      </c>
      <c r="B638">
        <v>542361075</v>
      </c>
      <c r="C638" t="s">
        <v>293</v>
      </c>
      <c r="D638" t="s">
        <v>294</v>
      </c>
      <c r="E638">
        <v>118</v>
      </c>
      <c r="F638" t="s">
        <v>295</v>
      </c>
    </row>
    <row r="639" spans="1:6" x14ac:dyDescent="0.3">
      <c r="A639" s="700">
        <v>45832.980891203704</v>
      </c>
      <c r="B639">
        <v>542361075</v>
      </c>
      <c r="C639" t="s">
        <v>293</v>
      </c>
      <c r="D639" t="s">
        <v>294</v>
      </c>
      <c r="E639">
        <v>75</v>
      </c>
      <c r="F639" t="s">
        <v>295</v>
      </c>
    </row>
    <row r="640" spans="1:6" x14ac:dyDescent="0.3">
      <c r="A640" s="700">
        <v>45832.980775462966</v>
      </c>
      <c r="B640">
        <v>542361075</v>
      </c>
      <c r="C640" t="s">
        <v>293</v>
      </c>
      <c r="D640" t="s">
        <v>294</v>
      </c>
      <c r="E640">
        <v>158</v>
      </c>
      <c r="F640" t="s">
        <v>295</v>
      </c>
    </row>
    <row r="641" spans="1:6" x14ac:dyDescent="0.3">
      <c r="A641" s="700">
        <v>45832.979953703703</v>
      </c>
      <c r="B641">
        <v>542361075</v>
      </c>
      <c r="C641" t="s">
        <v>293</v>
      </c>
      <c r="D641" t="s">
        <v>294</v>
      </c>
      <c r="E641">
        <v>212</v>
      </c>
      <c r="F641" t="s">
        <v>295</v>
      </c>
    </row>
    <row r="642" spans="1:6" x14ac:dyDescent="0.3">
      <c r="A642" s="700">
        <v>45832.979618055557</v>
      </c>
      <c r="B642">
        <v>542361075</v>
      </c>
      <c r="C642" t="s">
        <v>293</v>
      </c>
      <c r="D642" t="s">
        <v>294</v>
      </c>
      <c r="E642">
        <v>264</v>
      </c>
      <c r="F642" t="s">
        <v>295</v>
      </c>
    </row>
    <row r="643" spans="1:6" x14ac:dyDescent="0.3">
      <c r="A643" s="700">
        <v>45832.979479166665</v>
      </c>
      <c r="B643">
        <v>542361075</v>
      </c>
      <c r="C643" t="s">
        <v>293</v>
      </c>
      <c r="D643" t="s">
        <v>294</v>
      </c>
      <c r="E643">
        <v>81</v>
      </c>
      <c r="F643" t="s">
        <v>295</v>
      </c>
    </row>
    <row r="644" spans="1:6" x14ac:dyDescent="0.3">
      <c r="A644" s="700">
        <v>45832.979386574072</v>
      </c>
      <c r="B644">
        <v>542361075</v>
      </c>
      <c r="C644" t="s">
        <v>293</v>
      </c>
      <c r="D644" t="s">
        <v>294</v>
      </c>
      <c r="E644">
        <v>169</v>
      </c>
      <c r="F644" t="s">
        <v>295</v>
      </c>
    </row>
    <row r="645" spans="1:6" x14ac:dyDescent="0.3">
      <c r="A645" s="700">
        <v>45832.976481481484</v>
      </c>
      <c r="B645">
        <v>542361075</v>
      </c>
      <c r="C645" t="s">
        <v>293</v>
      </c>
      <c r="D645" t="s">
        <v>294</v>
      </c>
      <c r="E645">
        <v>159</v>
      </c>
      <c r="F645" t="s">
        <v>295</v>
      </c>
    </row>
    <row r="646" spans="1:6" x14ac:dyDescent="0.3">
      <c r="A646" s="700">
        <v>45832.976446759261</v>
      </c>
      <c r="B646">
        <v>542361075</v>
      </c>
      <c r="C646" t="s">
        <v>293</v>
      </c>
      <c r="D646" t="s">
        <v>294</v>
      </c>
      <c r="E646">
        <v>28</v>
      </c>
      <c r="F646" t="s">
        <v>295</v>
      </c>
    </row>
    <row r="647" spans="1:6" x14ac:dyDescent="0.3">
      <c r="A647" s="700">
        <v>45832.976388888892</v>
      </c>
      <c r="B647">
        <v>542361075</v>
      </c>
      <c r="C647" t="s">
        <v>293</v>
      </c>
      <c r="D647" t="s">
        <v>294</v>
      </c>
      <c r="E647">
        <v>59</v>
      </c>
      <c r="F647" t="s">
        <v>295</v>
      </c>
    </row>
    <row r="648" spans="1:6" x14ac:dyDescent="0.3">
      <c r="A648" s="700">
        <v>45832.975486111114</v>
      </c>
      <c r="B648">
        <v>542361075</v>
      </c>
      <c r="C648" t="s">
        <v>293</v>
      </c>
      <c r="D648" t="s">
        <v>294</v>
      </c>
      <c r="E648">
        <v>250</v>
      </c>
      <c r="F648" t="s">
        <v>295</v>
      </c>
    </row>
    <row r="649" spans="1:6" x14ac:dyDescent="0.3">
      <c r="A649" s="700">
        <v>45832.974999999999</v>
      </c>
      <c r="B649">
        <v>542361075</v>
      </c>
      <c r="C649" t="s">
        <v>293</v>
      </c>
      <c r="D649" t="s">
        <v>294</v>
      </c>
      <c r="E649">
        <v>33</v>
      </c>
      <c r="F649" t="s">
        <v>295</v>
      </c>
    </row>
    <row r="650" spans="1:6" x14ac:dyDescent="0.3">
      <c r="A650" s="700">
        <v>45832.973240740743</v>
      </c>
      <c r="B650">
        <v>542361075</v>
      </c>
      <c r="C650" t="s">
        <v>293</v>
      </c>
      <c r="D650" t="s">
        <v>294</v>
      </c>
      <c r="E650">
        <v>33</v>
      </c>
      <c r="F650" t="s">
        <v>295</v>
      </c>
    </row>
    <row r="651" spans="1:6" x14ac:dyDescent="0.3">
      <c r="A651" s="700">
        <v>45832.972685185188</v>
      </c>
      <c r="B651">
        <v>542361075</v>
      </c>
      <c r="C651" t="s">
        <v>293</v>
      </c>
      <c r="D651" t="s">
        <v>294</v>
      </c>
      <c r="E651">
        <v>9</v>
      </c>
      <c r="F651" t="s">
        <v>295</v>
      </c>
    </row>
    <row r="652" spans="1:6" x14ac:dyDescent="0.3">
      <c r="A652" s="700">
        <v>45832.972199074073</v>
      </c>
      <c r="B652">
        <v>542361075</v>
      </c>
      <c r="C652" t="s">
        <v>293</v>
      </c>
      <c r="D652" t="s">
        <v>294</v>
      </c>
      <c r="E652">
        <v>254</v>
      </c>
      <c r="F652" t="s">
        <v>295</v>
      </c>
    </row>
    <row r="653" spans="1:6" x14ac:dyDescent="0.3">
      <c r="A653" s="700">
        <v>45832.972141203703</v>
      </c>
      <c r="B653">
        <v>542361075</v>
      </c>
      <c r="C653" t="s">
        <v>293</v>
      </c>
      <c r="D653" t="s">
        <v>294</v>
      </c>
      <c r="E653">
        <v>29</v>
      </c>
      <c r="F653" t="s">
        <v>295</v>
      </c>
    </row>
    <row r="654" spans="1:6" x14ac:dyDescent="0.3">
      <c r="A654" s="700">
        <v>45832.972083333334</v>
      </c>
      <c r="B654">
        <v>542361075</v>
      </c>
      <c r="C654" t="s">
        <v>293</v>
      </c>
      <c r="D654" t="s">
        <v>294</v>
      </c>
      <c r="E654">
        <v>267</v>
      </c>
      <c r="F654" t="s">
        <v>295</v>
      </c>
    </row>
    <row r="655" spans="1:6" x14ac:dyDescent="0.3">
      <c r="A655" s="700">
        <v>45832.970856481479</v>
      </c>
      <c r="B655">
        <v>542361075</v>
      </c>
      <c r="C655" t="s">
        <v>293</v>
      </c>
      <c r="D655" t="s">
        <v>294</v>
      </c>
      <c r="E655">
        <v>94</v>
      </c>
      <c r="F655" t="s">
        <v>295</v>
      </c>
    </row>
    <row r="656" spans="1:6" x14ac:dyDescent="0.3">
      <c r="A656" s="700">
        <v>45832.951921296299</v>
      </c>
      <c r="B656">
        <v>542361075</v>
      </c>
      <c r="C656" t="s">
        <v>293</v>
      </c>
      <c r="D656" t="s">
        <v>294</v>
      </c>
      <c r="E656">
        <v>227</v>
      </c>
      <c r="F656" t="s">
        <v>295</v>
      </c>
    </row>
    <row r="657" spans="1:6" x14ac:dyDescent="0.3">
      <c r="A657" s="700">
        <v>45832.939884259256</v>
      </c>
      <c r="B657">
        <v>542361075</v>
      </c>
      <c r="C657" t="s">
        <v>293</v>
      </c>
      <c r="D657" t="s">
        <v>294</v>
      </c>
      <c r="E657">
        <v>264</v>
      </c>
      <c r="F657" t="s">
        <v>295</v>
      </c>
    </row>
    <row r="658" spans="1:6" x14ac:dyDescent="0.3">
      <c r="A658" s="700">
        <v>45832.823530092595</v>
      </c>
      <c r="B658">
        <v>542361075</v>
      </c>
      <c r="C658" t="s">
        <v>293</v>
      </c>
      <c r="D658" t="s">
        <v>294</v>
      </c>
      <c r="E658">
        <v>158</v>
      </c>
      <c r="F658" t="s">
        <v>295</v>
      </c>
    </row>
    <row r="659" spans="1:6" x14ac:dyDescent="0.3">
      <c r="A659" s="700">
        <v>45832.79859953704</v>
      </c>
      <c r="B659">
        <v>542361075</v>
      </c>
      <c r="C659" t="s">
        <v>293</v>
      </c>
      <c r="D659" t="s">
        <v>294</v>
      </c>
      <c r="E659">
        <v>158</v>
      </c>
      <c r="F659" t="s">
        <v>295</v>
      </c>
    </row>
    <row r="660" spans="1:6" x14ac:dyDescent="0.3">
      <c r="A660" s="700">
        <v>45832.794918981483</v>
      </c>
      <c r="B660">
        <v>542361075</v>
      </c>
      <c r="C660" t="s">
        <v>293</v>
      </c>
      <c r="D660" t="s">
        <v>294</v>
      </c>
      <c r="E660">
        <v>239</v>
      </c>
      <c r="F660" t="s">
        <v>295</v>
      </c>
    </row>
    <row r="661" spans="1:6" x14ac:dyDescent="0.3">
      <c r="A661" s="700">
        <v>45832.79483796296</v>
      </c>
      <c r="B661">
        <v>542361075</v>
      </c>
      <c r="C661" t="s">
        <v>293</v>
      </c>
      <c r="D661" t="s">
        <v>294</v>
      </c>
      <c r="E661">
        <v>239</v>
      </c>
      <c r="F661" t="s">
        <v>295</v>
      </c>
    </row>
    <row r="662" spans="1:6" x14ac:dyDescent="0.3">
      <c r="A662" s="700">
        <v>45832.709097222221</v>
      </c>
      <c r="B662">
        <v>542361075</v>
      </c>
      <c r="C662" t="s">
        <v>293</v>
      </c>
      <c r="D662" t="s">
        <v>294</v>
      </c>
      <c r="E662">
        <v>95</v>
      </c>
      <c r="F662" t="s">
        <v>295</v>
      </c>
    </row>
    <row r="663" spans="1:6" x14ac:dyDescent="0.3">
      <c r="A663" s="700">
        <v>45832.708854166667</v>
      </c>
      <c r="B663">
        <v>542361075</v>
      </c>
      <c r="C663" t="s">
        <v>293</v>
      </c>
      <c r="D663" t="s">
        <v>294</v>
      </c>
      <c r="E663">
        <v>256</v>
      </c>
      <c r="F663" t="s">
        <v>295</v>
      </c>
    </row>
    <row r="664" spans="1:6" x14ac:dyDescent="0.3">
      <c r="A664" s="700">
        <v>45832.708229166667</v>
      </c>
      <c r="B664">
        <v>542361075</v>
      </c>
      <c r="C664" t="s">
        <v>293</v>
      </c>
      <c r="D664" t="s">
        <v>294</v>
      </c>
      <c r="E664">
        <v>89</v>
      </c>
      <c r="F664" t="s">
        <v>295</v>
      </c>
    </row>
    <row r="665" spans="1:6" x14ac:dyDescent="0.3">
      <c r="A665" s="700">
        <v>45832.708078703705</v>
      </c>
      <c r="B665">
        <v>542361075</v>
      </c>
      <c r="C665" t="s">
        <v>293</v>
      </c>
      <c r="D665" t="s">
        <v>294</v>
      </c>
      <c r="E665">
        <v>245</v>
      </c>
      <c r="F665" t="s">
        <v>295</v>
      </c>
    </row>
    <row r="666" spans="1:6" x14ac:dyDescent="0.3">
      <c r="A666" s="700">
        <v>45832.707685185182</v>
      </c>
      <c r="B666">
        <v>542361075</v>
      </c>
      <c r="C666" t="s">
        <v>293</v>
      </c>
      <c r="D666" t="s">
        <v>294</v>
      </c>
      <c r="E666">
        <v>41</v>
      </c>
      <c r="F666" t="s">
        <v>295</v>
      </c>
    </row>
    <row r="667" spans="1:6" x14ac:dyDescent="0.3">
      <c r="A667" s="700">
        <v>45832.707650462966</v>
      </c>
      <c r="B667">
        <v>542361075</v>
      </c>
      <c r="C667" t="s">
        <v>293</v>
      </c>
      <c r="D667" t="s">
        <v>294</v>
      </c>
      <c r="E667">
        <v>97</v>
      </c>
      <c r="F667" t="s">
        <v>295</v>
      </c>
    </row>
    <row r="668" spans="1:6" x14ac:dyDescent="0.3">
      <c r="A668" s="700">
        <v>45832.707499999997</v>
      </c>
      <c r="B668">
        <v>542361075</v>
      </c>
      <c r="C668" t="s">
        <v>293</v>
      </c>
      <c r="F668" t="s">
        <v>298</v>
      </c>
    </row>
    <row r="669" spans="1:6" x14ac:dyDescent="0.3">
      <c r="A669" s="700">
        <v>45832.707395833335</v>
      </c>
      <c r="B669">
        <v>542361075</v>
      </c>
      <c r="C669" t="s">
        <v>293</v>
      </c>
      <c r="D669" t="s">
        <v>294</v>
      </c>
      <c r="E669">
        <v>34</v>
      </c>
      <c r="F669" t="s">
        <v>295</v>
      </c>
    </row>
    <row r="670" spans="1:6" x14ac:dyDescent="0.3">
      <c r="A670" s="700">
        <v>45832.689317129632</v>
      </c>
      <c r="B670">
        <v>542361075</v>
      </c>
      <c r="C670" t="s">
        <v>293</v>
      </c>
      <c r="D670" t="s">
        <v>294</v>
      </c>
      <c r="E670">
        <v>145</v>
      </c>
      <c r="F670" t="s">
        <v>295</v>
      </c>
    </row>
    <row r="671" spans="1:6" x14ac:dyDescent="0.3">
      <c r="A671" s="700">
        <v>45832.680844907409</v>
      </c>
      <c r="B671">
        <v>542361075</v>
      </c>
      <c r="C671" t="s">
        <v>293</v>
      </c>
      <c r="D671" t="s">
        <v>294</v>
      </c>
      <c r="E671">
        <v>172</v>
      </c>
      <c r="F671" t="s">
        <v>295</v>
      </c>
    </row>
    <row r="672" spans="1:6" x14ac:dyDescent="0.3">
      <c r="A672" s="700">
        <v>45832.680787037039</v>
      </c>
      <c r="B672">
        <v>542361075</v>
      </c>
      <c r="C672" t="s">
        <v>293</v>
      </c>
      <c r="D672" t="s">
        <v>294</v>
      </c>
      <c r="E672">
        <v>172</v>
      </c>
      <c r="F672" t="s">
        <v>295</v>
      </c>
    </row>
    <row r="673" spans="1:6" x14ac:dyDescent="0.3">
      <c r="A673" s="700">
        <v>45832.680717592593</v>
      </c>
      <c r="B673">
        <v>542361075</v>
      </c>
      <c r="C673" t="s">
        <v>293</v>
      </c>
      <c r="F673" t="s">
        <v>296</v>
      </c>
    </row>
    <row r="674" spans="1:6" x14ac:dyDescent="0.3">
      <c r="A674" s="700">
        <v>45832.651562500003</v>
      </c>
      <c r="B674">
        <v>542361075</v>
      </c>
      <c r="C674" t="s">
        <v>293</v>
      </c>
      <c r="D674" t="s">
        <v>294</v>
      </c>
      <c r="E674">
        <v>51</v>
      </c>
      <c r="F674" t="s">
        <v>295</v>
      </c>
    </row>
    <row r="675" spans="1:6" x14ac:dyDescent="0.3">
      <c r="A675" s="700">
        <v>45832.648692129631</v>
      </c>
      <c r="B675">
        <v>542361075</v>
      </c>
      <c r="C675" t="s">
        <v>293</v>
      </c>
      <c r="D675" t="s">
        <v>294</v>
      </c>
      <c r="E675">
        <v>226</v>
      </c>
      <c r="F675" t="s">
        <v>295</v>
      </c>
    </row>
    <row r="676" spans="1:6" x14ac:dyDescent="0.3">
      <c r="A676" s="700">
        <v>45832.648460648146</v>
      </c>
      <c r="B676">
        <v>542361075</v>
      </c>
      <c r="C676" t="s">
        <v>293</v>
      </c>
      <c r="D676" t="s">
        <v>294</v>
      </c>
      <c r="E676">
        <v>81</v>
      </c>
      <c r="F676" t="s">
        <v>295</v>
      </c>
    </row>
    <row r="677" spans="1:6" x14ac:dyDescent="0.3">
      <c r="A677" s="700">
        <v>45832.648194444446</v>
      </c>
      <c r="B677">
        <v>542361075</v>
      </c>
      <c r="C677" t="s">
        <v>293</v>
      </c>
      <c r="D677" t="s">
        <v>294</v>
      </c>
      <c r="E677">
        <v>19</v>
      </c>
      <c r="F677" t="s">
        <v>295</v>
      </c>
    </row>
    <row r="678" spans="1:6" x14ac:dyDescent="0.3">
      <c r="A678" s="700">
        <v>45832.648101851853</v>
      </c>
      <c r="B678">
        <v>542361075</v>
      </c>
      <c r="C678" t="s">
        <v>293</v>
      </c>
      <c r="F678" t="s">
        <v>296</v>
      </c>
    </row>
    <row r="679" spans="1:6" x14ac:dyDescent="0.3">
      <c r="A679" s="700">
        <v>45832.647916666669</v>
      </c>
      <c r="B679">
        <v>542361075</v>
      </c>
      <c r="C679" t="s">
        <v>293</v>
      </c>
      <c r="F679" t="s">
        <v>296</v>
      </c>
    </row>
    <row r="680" spans="1:6" x14ac:dyDescent="0.3">
      <c r="A680" s="700">
        <v>45832.647800925923</v>
      </c>
      <c r="B680">
        <v>542361075</v>
      </c>
      <c r="C680" t="s">
        <v>293</v>
      </c>
      <c r="D680" t="s">
        <v>294</v>
      </c>
      <c r="E680">
        <v>247</v>
      </c>
      <c r="F680" t="s">
        <v>295</v>
      </c>
    </row>
    <row r="681" spans="1:6" x14ac:dyDescent="0.3">
      <c r="A681" s="700">
        <v>45832.647326388891</v>
      </c>
      <c r="B681">
        <v>542361075</v>
      </c>
      <c r="C681" t="s">
        <v>293</v>
      </c>
      <c r="D681" t="s">
        <v>294</v>
      </c>
      <c r="E681">
        <v>220</v>
      </c>
      <c r="F681" t="s">
        <v>295</v>
      </c>
    </row>
    <row r="682" spans="1:6" x14ac:dyDescent="0.3">
      <c r="A682" s="700">
        <v>45832.647118055553</v>
      </c>
      <c r="B682">
        <v>542361075</v>
      </c>
      <c r="C682" t="s">
        <v>293</v>
      </c>
      <c r="D682" t="s">
        <v>294</v>
      </c>
      <c r="E682">
        <v>141</v>
      </c>
      <c r="F682" t="s">
        <v>295</v>
      </c>
    </row>
    <row r="683" spans="1:6" x14ac:dyDescent="0.3">
      <c r="A683" s="700">
        <v>45832.64707175926</v>
      </c>
      <c r="B683">
        <v>542361075</v>
      </c>
      <c r="C683" t="s">
        <v>293</v>
      </c>
      <c r="D683" t="s">
        <v>294</v>
      </c>
      <c r="E683">
        <v>166</v>
      </c>
      <c r="F683" t="s">
        <v>295</v>
      </c>
    </row>
    <row r="684" spans="1:6" x14ac:dyDescent="0.3">
      <c r="A684" s="700">
        <v>45832.647037037037</v>
      </c>
      <c r="B684">
        <v>542361075</v>
      </c>
      <c r="C684" t="s">
        <v>293</v>
      </c>
      <c r="D684" t="s">
        <v>294</v>
      </c>
      <c r="E684">
        <v>146</v>
      </c>
      <c r="F684" t="s">
        <v>295</v>
      </c>
    </row>
    <row r="685" spans="1:6" x14ac:dyDescent="0.3">
      <c r="A685" s="700">
        <v>45832.646666666667</v>
      </c>
      <c r="B685">
        <v>542361075</v>
      </c>
      <c r="C685" t="s">
        <v>293</v>
      </c>
      <c r="D685" t="s">
        <v>294</v>
      </c>
      <c r="E685">
        <v>269</v>
      </c>
      <c r="F685" t="s">
        <v>295</v>
      </c>
    </row>
    <row r="686" spans="1:6" x14ac:dyDescent="0.3">
      <c r="A686" s="700">
        <v>45832.646631944444</v>
      </c>
      <c r="B686">
        <v>542361075</v>
      </c>
      <c r="C686" t="s">
        <v>293</v>
      </c>
      <c r="D686" t="s">
        <v>294</v>
      </c>
      <c r="E686">
        <v>222</v>
      </c>
      <c r="F686" t="s">
        <v>295</v>
      </c>
    </row>
    <row r="687" spans="1:6" x14ac:dyDescent="0.3">
      <c r="A687" s="700">
        <v>45832.646597222221</v>
      </c>
      <c r="B687">
        <v>542361075</v>
      </c>
      <c r="C687" t="s">
        <v>293</v>
      </c>
      <c r="D687" t="s">
        <v>294</v>
      </c>
      <c r="E687">
        <v>241</v>
      </c>
      <c r="F687" t="s">
        <v>295</v>
      </c>
    </row>
    <row r="688" spans="1:6" x14ac:dyDescent="0.3">
      <c r="A688" s="700">
        <v>45832.646574074075</v>
      </c>
      <c r="B688">
        <v>542361075</v>
      </c>
      <c r="C688" t="s">
        <v>293</v>
      </c>
      <c r="D688" t="s">
        <v>294</v>
      </c>
      <c r="E688">
        <v>262</v>
      </c>
      <c r="F688" t="s">
        <v>295</v>
      </c>
    </row>
    <row r="689" spans="1:6" x14ac:dyDescent="0.3">
      <c r="A689" s="700">
        <v>45832.646527777775</v>
      </c>
      <c r="B689">
        <v>542361075</v>
      </c>
      <c r="C689" t="s">
        <v>293</v>
      </c>
      <c r="D689" t="s">
        <v>294</v>
      </c>
      <c r="E689">
        <v>230</v>
      </c>
      <c r="F689" t="s">
        <v>295</v>
      </c>
    </row>
    <row r="690" spans="1:6" x14ac:dyDescent="0.3">
      <c r="A690" s="700">
        <v>45832.645810185182</v>
      </c>
      <c r="B690">
        <v>542361075</v>
      </c>
      <c r="C690" t="s">
        <v>293</v>
      </c>
      <c r="D690" t="s">
        <v>294</v>
      </c>
      <c r="E690">
        <v>30</v>
      </c>
      <c r="F690" t="s">
        <v>295</v>
      </c>
    </row>
    <row r="691" spans="1:6" x14ac:dyDescent="0.3">
      <c r="A691" s="700">
        <v>45832.644942129627</v>
      </c>
      <c r="B691">
        <v>542361075</v>
      </c>
      <c r="C691" t="s">
        <v>293</v>
      </c>
      <c r="D691" t="s">
        <v>294</v>
      </c>
      <c r="E691">
        <v>169</v>
      </c>
      <c r="F691" t="s">
        <v>295</v>
      </c>
    </row>
    <row r="692" spans="1:6" x14ac:dyDescent="0.3">
      <c r="A692" s="700">
        <v>45832.644479166665</v>
      </c>
      <c r="B692">
        <v>542361075</v>
      </c>
      <c r="C692" t="s">
        <v>293</v>
      </c>
      <c r="D692" t="s">
        <v>294</v>
      </c>
      <c r="E692">
        <v>271</v>
      </c>
      <c r="F692" t="s">
        <v>295</v>
      </c>
    </row>
    <row r="693" spans="1:6" x14ac:dyDescent="0.3">
      <c r="A693" s="700">
        <v>45832.643865740742</v>
      </c>
      <c r="B693">
        <v>542361075</v>
      </c>
      <c r="C693" t="s">
        <v>293</v>
      </c>
      <c r="D693" t="s">
        <v>294</v>
      </c>
      <c r="E693">
        <v>12</v>
      </c>
      <c r="F693" t="s">
        <v>295</v>
      </c>
    </row>
    <row r="694" spans="1:6" x14ac:dyDescent="0.3">
      <c r="A694" s="700">
        <v>45832.643263888887</v>
      </c>
      <c r="B694">
        <v>542361075</v>
      </c>
      <c r="C694" t="s">
        <v>293</v>
      </c>
      <c r="D694" t="s">
        <v>294</v>
      </c>
      <c r="E694">
        <v>212</v>
      </c>
      <c r="F694" t="s">
        <v>295</v>
      </c>
    </row>
    <row r="695" spans="1:6" x14ac:dyDescent="0.3">
      <c r="A695" s="700">
        <v>45832.642141203702</v>
      </c>
      <c r="B695">
        <v>542361075</v>
      </c>
      <c r="C695" t="s">
        <v>293</v>
      </c>
      <c r="D695" t="s">
        <v>294</v>
      </c>
      <c r="E695">
        <v>158</v>
      </c>
      <c r="F695" t="s">
        <v>295</v>
      </c>
    </row>
    <row r="696" spans="1:6" x14ac:dyDescent="0.3">
      <c r="A696" s="700">
        <v>45832.634004629632</v>
      </c>
      <c r="B696">
        <v>542361075</v>
      </c>
      <c r="C696" t="s">
        <v>293</v>
      </c>
      <c r="D696" t="s">
        <v>294</v>
      </c>
      <c r="E696">
        <v>264</v>
      </c>
      <c r="F696" t="s">
        <v>295</v>
      </c>
    </row>
    <row r="697" spans="1:6" x14ac:dyDescent="0.3">
      <c r="A697" s="700">
        <v>45832.496331018519</v>
      </c>
      <c r="B697">
        <v>542361075</v>
      </c>
      <c r="C697" t="s">
        <v>293</v>
      </c>
      <c r="D697" t="s">
        <v>294</v>
      </c>
      <c r="E697">
        <v>220</v>
      </c>
      <c r="F697" t="s">
        <v>295</v>
      </c>
    </row>
    <row r="698" spans="1:6" x14ac:dyDescent="0.3">
      <c r="A698" s="700">
        <v>45832.485937500001</v>
      </c>
      <c r="B698">
        <v>542361075</v>
      </c>
      <c r="C698" t="s">
        <v>293</v>
      </c>
      <c r="D698" t="s">
        <v>294</v>
      </c>
      <c r="E698">
        <v>1446</v>
      </c>
      <c r="F698" t="s">
        <v>295</v>
      </c>
    </row>
    <row r="699" spans="1:6" x14ac:dyDescent="0.3">
      <c r="A699" s="700">
        <v>45832.473541666666</v>
      </c>
      <c r="B699">
        <v>542361075</v>
      </c>
      <c r="C699" t="s">
        <v>293</v>
      </c>
      <c r="D699" t="s">
        <v>294</v>
      </c>
      <c r="E699">
        <v>245</v>
      </c>
      <c r="F699" t="s">
        <v>295</v>
      </c>
    </row>
    <row r="700" spans="1:6" x14ac:dyDescent="0.3">
      <c r="A700" s="700">
        <v>45832.465381944443</v>
      </c>
      <c r="B700">
        <v>542361075</v>
      </c>
      <c r="C700" t="s">
        <v>293</v>
      </c>
      <c r="D700" t="s">
        <v>294</v>
      </c>
      <c r="E700">
        <v>146</v>
      </c>
      <c r="F700" t="s">
        <v>295</v>
      </c>
    </row>
    <row r="701" spans="1:6" x14ac:dyDescent="0.3">
      <c r="A701" s="700">
        <v>45832.446562500001</v>
      </c>
      <c r="B701">
        <v>542361075</v>
      </c>
      <c r="C701" t="s">
        <v>293</v>
      </c>
      <c r="D701" t="s">
        <v>294</v>
      </c>
      <c r="E701">
        <v>245</v>
      </c>
      <c r="F701" t="s">
        <v>295</v>
      </c>
    </row>
    <row r="702" spans="1:6" x14ac:dyDescent="0.3">
      <c r="A702" s="700">
        <v>45832.44599537037</v>
      </c>
      <c r="B702">
        <v>542361075</v>
      </c>
      <c r="C702" t="s">
        <v>293</v>
      </c>
      <c r="D702" t="s">
        <v>294</v>
      </c>
      <c r="E702">
        <v>256</v>
      </c>
      <c r="F702" t="s">
        <v>295</v>
      </c>
    </row>
    <row r="703" spans="1:6" x14ac:dyDescent="0.3">
      <c r="A703" s="700">
        <v>45832.445763888885</v>
      </c>
      <c r="B703">
        <v>542361075</v>
      </c>
      <c r="C703" t="s">
        <v>293</v>
      </c>
      <c r="D703" t="s">
        <v>294</v>
      </c>
      <c r="E703">
        <v>146</v>
      </c>
      <c r="F703" t="s">
        <v>295</v>
      </c>
    </row>
    <row r="704" spans="1:6" x14ac:dyDescent="0.3">
      <c r="A704" s="700">
        <v>45832.443194444444</v>
      </c>
      <c r="B704">
        <v>542361075</v>
      </c>
      <c r="C704" t="s">
        <v>293</v>
      </c>
      <c r="D704" t="s">
        <v>294</v>
      </c>
      <c r="E704">
        <v>269</v>
      </c>
      <c r="F704" t="s">
        <v>295</v>
      </c>
    </row>
    <row r="705" spans="1:6" x14ac:dyDescent="0.3">
      <c r="A705" s="700">
        <v>45832.443124999998</v>
      </c>
      <c r="B705">
        <v>542361075</v>
      </c>
      <c r="C705" t="s">
        <v>293</v>
      </c>
      <c r="D705" t="s">
        <v>294</v>
      </c>
      <c r="E705">
        <v>95</v>
      </c>
      <c r="F705" t="s">
        <v>295</v>
      </c>
    </row>
    <row r="706" spans="1:6" x14ac:dyDescent="0.3">
      <c r="A706" s="700">
        <v>45832.440879629627</v>
      </c>
      <c r="B706">
        <v>542361075</v>
      </c>
      <c r="C706" t="s">
        <v>293</v>
      </c>
      <c r="D706" t="s">
        <v>294</v>
      </c>
      <c r="E706">
        <v>222</v>
      </c>
      <c r="F706" t="s">
        <v>295</v>
      </c>
    </row>
    <row r="707" spans="1:6" x14ac:dyDescent="0.3">
      <c r="A707" s="700">
        <v>45832.418865740743</v>
      </c>
      <c r="B707">
        <v>542361075</v>
      </c>
      <c r="C707" t="s">
        <v>293</v>
      </c>
      <c r="D707" t="s">
        <v>294</v>
      </c>
      <c r="E707">
        <v>222</v>
      </c>
      <c r="F707" t="s">
        <v>295</v>
      </c>
    </row>
    <row r="708" spans="1:6" x14ac:dyDescent="0.3">
      <c r="A708" s="700">
        <v>45832.417638888888</v>
      </c>
      <c r="B708">
        <v>542361075</v>
      </c>
      <c r="C708" t="s">
        <v>293</v>
      </c>
      <c r="D708" t="s">
        <v>294</v>
      </c>
      <c r="E708">
        <v>95</v>
      </c>
      <c r="F708" t="s">
        <v>295</v>
      </c>
    </row>
    <row r="709" spans="1:6" x14ac:dyDescent="0.3">
      <c r="A709" s="700">
        <v>45832.416863425926</v>
      </c>
      <c r="B709">
        <v>542361075</v>
      </c>
      <c r="C709" t="s">
        <v>293</v>
      </c>
      <c r="D709" t="s">
        <v>294</v>
      </c>
      <c r="E709">
        <v>269</v>
      </c>
      <c r="F709" t="s">
        <v>295</v>
      </c>
    </row>
    <row r="710" spans="1:6" x14ac:dyDescent="0.3">
      <c r="A710" s="700">
        <v>45832.33803240741</v>
      </c>
      <c r="B710">
        <v>542361075</v>
      </c>
      <c r="C710" t="s">
        <v>293</v>
      </c>
      <c r="D710" t="s">
        <v>294</v>
      </c>
      <c r="E710">
        <v>97</v>
      </c>
      <c r="F710" t="s">
        <v>295</v>
      </c>
    </row>
    <row r="711" spans="1:6" x14ac:dyDescent="0.3">
      <c r="A711" s="700">
        <v>45832.334016203706</v>
      </c>
      <c r="B711">
        <v>542361075</v>
      </c>
      <c r="C711" t="s">
        <v>293</v>
      </c>
      <c r="F711" t="s">
        <v>299</v>
      </c>
    </row>
    <row r="712" spans="1:6" x14ac:dyDescent="0.3">
      <c r="A712" s="700">
        <v>45832.332835648151</v>
      </c>
      <c r="B712">
        <v>542361075</v>
      </c>
      <c r="C712" t="s">
        <v>293</v>
      </c>
      <c r="D712" t="s">
        <v>294</v>
      </c>
      <c r="E712">
        <v>41</v>
      </c>
      <c r="F712" t="s">
        <v>295</v>
      </c>
    </row>
    <row r="713" spans="1:6" x14ac:dyDescent="0.3">
      <c r="A713" s="700">
        <v>45832.329976851855</v>
      </c>
      <c r="B713">
        <v>542361075</v>
      </c>
      <c r="C713" t="s">
        <v>293</v>
      </c>
      <c r="D713" t="s">
        <v>294</v>
      </c>
      <c r="E713">
        <v>34</v>
      </c>
      <c r="F713" t="s">
        <v>295</v>
      </c>
    </row>
    <row r="714" spans="1:6" x14ac:dyDescent="0.3">
      <c r="A714" s="700">
        <v>45832.327013888891</v>
      </c>
      <c r="B714">
        <v>542361075</v>
      </c>
      <c r="C714" t="s">
        <v>293</v>
      </c>
      <c r="D714" t="s">
        <v>294</v>
      </c>
      <c r="E714">
        <v>35</v>
      </c>
      <c r="F714" t="s">
        <v>295</v>
      </c>
    </row>
    <row r="715" spans="1:6" x14ac:dyDescent="0.3">
      <c r="A715" s="700">
        <v>45832.326979166668</v>
      </c>
      <c r="B715">
        <v>542361075</v>
      </c>
      <c r="C715" t="s">
        <v>293</v>
      </c>
      <c r="D715" t="s">
        <v>294</v>
      </c>
      <c r="E715">
        <v>35</v>
      </c>
      <c r="F715" t="s">
        <v>295</v>
      </c>
    </row>
    <row r="716" spans="1:6" x14ac:dyDescent="0.3">
      <c r="A716" s="700">
        <v>45832.323576388888</v>
      </c>
      <c r="B716">
        <v>542361075</v>
      </c>
      <c r="C716" t="s">
        <v>293</v>
      </c>
      <c r="D716" t="s">
        <v>294</v>
      </c>
      <c r="E716">
        <v>268</v>
      </c>
      <c r="F716" t="s">
        <v>295</v>
      </c>
    </row>
    <row r="717" spans="1:6" x14ac:dyDescent="0.3">
      <c r="A717" s="700">
        <v>45832.323055555556</v>
      </c>
      <c r="B717">
        <v>542361075</v>
      </c>
      <c r="C717" t="s">
        <v>293</v>
      </c>
      <c r="D717" t="s">
        <v>294</v>
      </c>
      <c r="E717">
        <v>260</v>
      </c>
      <c r="F717" t="s">
        <v>295</v>
      </c>
    </row>
    <row r="718" spans="1:6" x14ac:dyDescent="0.3">
      <c r="A718" s="700">
        <v>45832.320740740739</v>
      </c>
      <c r="B718">
        <v>542361075</v>
      </c>
      <c r="C718" t="s">
        <v>293</v>
      </c>
      <c r="D718" t="s">
        <v>294</v>
      </c>
      <c r="E718">
        <v>256</v>
      </c>
      <c r="F718" t="s">
        <v>295</v>
      </c>
    </row>
    <row r="719" spans="1:6" x14ac:dyDescent="0.3">
      <c r="A719" s="700">
        <v>45832.319085648145</v>
      </c>
      <c r="B719">
        <v>542361075</v>
      </c>
      <c r="C719" t="s">
        <v>293</v>
      </c>
      <c r="D719" t="s">
        <v>294</v>
      </c>
      <c r="E719">
        <v>145</v>
      </c>
      <c r="F719" t="s">
        <v>295</v>
      </c>
    </row>
    <row r="720" spans="1:6" x14ac:dyDescent="0.3">
      <c r="A720" s="700">
        <v>45832.318923611114</v>
      </c>
      <c r="B720">
        <v>542361075</v>
      </c>
      <c r="C720" t="s">
        <v>293</v>
      </c>
      <c r="D720" t="s">
        <v>294</v>
      </c>
      <c r="E720">
        <v>261</v>
      </c>
      <c r="F720" t="s">
        <v>295</v>
      </c>
    </row>
    <row r="721" spans="1:6" x14ac:dyDescent="0.3">
      <c r="A721" s="700">
        <v>45832.317361111112</v>
      </c>
      <c r="B721">
        <v>542361075</v>
      </c>
      <c r="C721" t="s">
        <v>293</v>
      </c>
      <c r="D721" t="s">
        <v>294</v>
      </c>
      <c r="E721">
        <v>89</v>
      </c>
      <c r="F721" t="s">
        <v>295</v>
      </c>
    </row>
    <row r="722" spans="1:6" x14ac:dyDescent="0.3">
      <c r="A722" s="700">
        <v>45832.317245370374</v>
      </c>
      <c r="B722">
        <v>542361075</v>
      </c>
      <c r="C722" t="s">
        <v>293</v>
      </c>
      <c r="D722" t="s">
        <v>294</v>
      </c>
      <c r="E722">
        <v>94</v>
      </c>
      <c r="F722" t="s">
        <v>295</v>
      </c>
    </row>
    <row r="723" spans="1:6" x14ac:dyDescent="0.3">
      <c r="A723" s="700">
        <v>45832.314953703702</v>
      </c>
      <c r="B723">
        <v>542361075</v>
      </c>
      <c r="C723" t="s">
        <v>293</v>
      </c>
      <c r="D723" t="s">
        <v>294</v>
      </c>
      <c r="E723">
        <v>33</v>
      </c>
      <c r="F723" t="s">
        <v>295</v>
      </c>
    </row>
    <row r="724" spans="1:6" x14ac:dyDescent="0.3">
      <c r="A724" s="700">
        <v>45832.314872685187</v>
      </c>
      <c r="B724">
        <v>542361075</v>
      </c>
      <c r="C724" t="s">
        <v>293</v>
      </c>
      <c r="D724" t="s">
        <v>294</v>
      </c>
      <c r="E724">
        <v>59</v>
      </c>
      <c r="F724" t="s">
        <v>295</v>
      </c>
    </row>
    <row r="725" spans="1:6" x14ac:dyDescent="0.3">
      <c r="A725" s="700">
        <v>45832.314837962964</v>
      </c>
      <c r="B725">
        <v>542361075</v>
      </c>
      <c r="C725" t="s">
        <v>293</v>
      </c>
      <c r="D725" t="s">
        <v>294</v>
      </c>
      <c r="E725">
        <v>28</v>
      </c>
      <c r="F725" t="s">
        <v>295</v>
      </c>
    </row>
    <row r="726" spans="1:6" x14ac:dyDescent="0.3">
      <c r="A726" s="700">
        <v>45832.314282407409</v>
      </c>
      <c r="B726">
        <v>542361075</v>
      </c>
      <c r="C726" t="s">
        <v>293</v>
      </c>
      <c r="D726" t="s">
        <v>294</v>
      </c>
      <c r="E726">
        <v>75</v>
      </c>
      <c r="F726" t="s">
        <v>295</v>
      </c>
    </row>
    <row r="727" spans="1:6" x14ac:dyDescent="0.3">
      <c r="A727" s="700">
        <v>45832.314027777778</v>
      </c>
      <c r="B727">
        <v>542361075</v>
      </c>
      <c r="C727" t="s">
        <v>293</v>
      </c>
      <c r="D727" t="s">
        <v>294</v>
      </c>
      <c r="E727">
        <v>159</v>
      </c>
      <c r="F727" t="s">
        <v>295</v>
      </c>
    </row>
    <row r="728" spans="1:6" x14ac:dyDescent="0.3">
      <c r="A728" s="700">
        <v>45832.313379629632</v>
      </c>
      <c r="B728">
        <v>542361075</v>
      </c>
      <c r="C728" t="s">
        <v>293</v>
      </c>
      <c r="D728" t="s">
        <v>294</v>
      </c>
      <c r="E728">
        <v>19</v>
      </c>
      <c r="F728" t="s">
        <v>295</v>
      </c>
    </row>
    <row r="729" spans="1:6" x14ac:dyDescent="0.3">
      <c r="A729" s="700">
        <v>45832.313287037039</v>
      </c>
      <c r="B729">
        <v>542361075</v>
      </c>
      <c r="C729" t="s">
        <v>293</v>
      </c>
      <c r="D729" t="s">
        <v>294</v>
      </c>
      <c r="E729">
        <v>135</v>
      </c>
      <c r="F729" t="s">
        <v>295</v>
      </c>
    </row>
    <row r="730" spans="1:6" x14ac:dyDescent="0.3">
      <c r="A730" s="700">
        <v>45832.31322916667</v>
      </c>
      <c r="B730">
        <v>542361075</v>
      </c>
      <c r="C730" t="s">
        <v>293</v>
      </c>
      <c r="D730" t="s">
        <v>294</v>
      </c>
      <c r="E730">
        <v>210</v>
      </c>
      <c r="F730" t="s">
        <v>295</v>
      </c>
    </row>
    <row r="731" spans="1:6" x14ac:dyDescent="0.3">
      <c r="A731" s="700">
        <v>45832.313171296293</v>
      </c>
      <c r="B731">
        <v>542361075</v>
      </c>
      <c r="C731" t="s">
        <v>293</v>
      </c>
      <c r="D731" t="s">
        <v>294</v>
      </c>
      <c r="E731">
        <v>266</v>
      </c>
      <c r="F731" t="s">
        <v>295</v>
      </c>
    </row>
    <row r="732" spans="1:6" x14ac:dyDescent="0.3">
      <c r="A732" s="700">
        <v>45832.313136574077</v>
      </c>
      <c r="B732">
        <v>542361075</v>
      </c>
      <c r="C732" t="s">
        <v>293</v>
      </c>
      <c r="D732" t="s">
        <v>294</v>
      </c>
      <c r="E732">
        <v>29</v>
      </c>
      <c r="F732" t="s">
        <v>295</v>
      </c>
    </row>
    <row r="733" spans="1:6" x14ac:dyDescent="0.3">
      <c r="A733" s="700">
        <v>45832.313090277778</v>
      </c>
      <c r="B733">
        <v>542361075</v>
      </c>
      <c r="C733" t="s">
        <v>293</v>
      </c>
      <c r="D733" t="s">
        <v>294</v>
      </c>
      <c r="E733">
        <v>267</v>
      </c>
      <c r="F733" t="s">
        <v>295</v>
      </c>
    </row>
    <row r="734" spans="1:6" x14ac:dyDescent="0.3">
      <c r="A734" s="700">
        <v>45832.313078703701</v>
      </c>
      <c r="B734">
        <v>542361075</v>
      </c>
      <c r="C734" t="s">
        <v>293</v>
      </c>
      <c r="F734" t="s">
        <v>297</v>
      </c>
    </row>
    <row r="735" spans="1:6" x14ac:dyDescent="0.3">
      <c r="A735" s="700">
        <v>45832.313055555554</v>
      </c>
      <c r="B735">
        <v>542361075</v>
      </c>
      <c r="C735" t="s">
        <v>293</v>
      </c>
      <c r="D735" t="s">
        <v>294</v>
      </c>
      <c r="E735">
        <v>227</v>
      </c>
      <c r="F735" t="s">
        <v>295</v>
      </c>
    </row>
    <row r="736" spans="1:6" x14ac:dyDescent="0.3">
      <c r="A736" s="700">
        <v>45832.313055555554</v>
      </c>
      <c r="B736">
        <v>542361075</v>
      </c>
      <c r="C736" t="s">
        <v>293</v>
      </c>
      <c r="F736" t="s">
        <v>306</v>
      </c>
    </row>
    <row r="737" spans="1:6" x14ac:dyDescent="0.3">
      <c r="A737" s="700">
        <v>45832.313020833331</v>
      </c>
      <c r="B737">
        <v>542361075</v>
      </c>
      <c r="C737" t="s">
        <v>293</v>
      </c>
      <c r="D737" t="s">
        <v>294</v>
      </c>
      <c r="E737">
        <v>222</v>
      </c>
      <c r="F737" t="s">
        <v>295</v>
      </c>
    </row>
    <row r="738" spans="1:6" x14ac:dyDescent="0.3">
      <c r="A738" s="700">
        <v>45832.312986111108</v>
      </c>
      <c r="B738">
        <v>542361075</v>
      </c>
      <c r="C738" t="s">
        <v>293</v>
      </c>
      <c r="F738" t="s">
        <v>297</v>
      </c>
    </row>
    <row r="739" spans="1:6" x14ac:dyDescent="0.3">
      <c r="A739" s="700">
        <v>45832.312951388885</v>
      </c>
      <c r="B739">
        <v>542361075</v>
      </c>
      <c r="C739" t="s">
        <v>293</v>
      </c>
      <c r="D739" t="s">
        <v>294</v>
      </c>
      <c r="E739">
        <v>254</v>
      </c>
      <c r="F739" t="s">
        <v>295</v>
      </c>
    </row>
    <row r="740" spans="1:6" x14ac:dyDescent="0.3">
      <c r="A740" s="700">
        <v>45832.312916666669</v>
      </c>
      <c r="B740">
        <v>542361075</v>
      </c>
      <c r="C740" t="s">
        <v>293</v>
      </c>
      <c r="D740" t="s">
        <v>294</v>
      </c>
      <c r="E740">
        <v>220</v>
      </c>
      <c r="F740" t="s">
        <v>295</v>
      </c>
    </row>
    <row r="741" spans="1:6" x14ac:dyDescent="0.3">
      <c r="A741" s="700">
        <v>45832.312858796293</v>
      </c>
      <c r="B741">
        <v>542361075</v>
      </c>
      <c r="C741" t="s">
        <v>293</v>
      </c>
      <c r="D741" t="s">
        <v>294</v>
      </c>
      <c r="E741">
        <v>63</v>
      </c>
      <c r="F741" t="s">
        <v>295</v>
      </c>
    </row>
    <row r="742" spans="1:6" x14ac:dyDescent="0.3">
      <c r="A742" s="700">
        <v>45832.312754629631</v>
      </c>
      <c r="B742">
        <v>542361075</v>
      </c>
      <c r="C742" t="s">
        <v>293</v>
      </c>
      <c r="D742" t="s">
        <v>294</v>
      </c>
      <c r="E742">
        <v>118</v>
      </c>
      <c r="F742" t="s">
        <v>295</v>
      </c>
    </row>
    <row r="743" spans="1:6" x14ac:dyDescent="0.3">
      <c r="A743" s="700">
        <v>45832.312719907408</v>
      </c>
      <c r="B743">
        <v>542361075</v>
      </c>
      <c r="C743" t="s">
        <v>293</v>
      </c>
      <c r="D743" t="s">
        <v>294</v>
      </c>
      <c r="E743">
        <v>33</v>
      </c>
      <c r="F743" t="s">
        <v>295</v>
      </c>
    </row>
    <row r="744" spans="1:6" x14ac:dyDescent="0.3">
      <c r="A744" s="700">
        <v>45832.312673611108</v>
      </c>
      <c r="B744">
        <v>542361075</v>
      </c>
      <c r="C744" t="s">
        <v>293</v>
      </c>
      <c r="D744" t="s">
        <v>294</v>
      </c>
      <c r="E744">
        <v>214</v>
      </c>
      <c r="F744" t="s">
        <v>295</v>
      </c>
    </row>
    <row r="745" spans="1:6" x14ac:dyDescent="0.3">
      <c r="A745" s="700">
        <v>45832.312638888892</v>
      </c>
      <c r="B745">
        <v>542361075</v>
      </c>
      <c r="C745" t="s">
        <v>293</v>
      </c>
      <c r="D745" t="s">
        <v>294</v>
      </c>
      <c r="E745">
        <v>228</v>
      </c>
      <c r="F745" t="s">
        <v>295</v>
      </c>
    </row>
    <row r="746" spans="1:6" x14ac:dyDescent="0.3">
      <c r="A746" s="700">
        <v>45832.312557870369</v>
      </c>
      <c r="B746">
        <v>542361075</v>
      </c>
      <c r="C746" t="s">
        <v>293</v>
      </c>
      <c r="D746" t="s">
        <v>294</v>
      </c>
      <c r="E746">
        <v>250</v>
      </c>
      <c r="F746" t="s">
        <v>295</v>
      </c>
    </row>
    <row r="747" spans="1:6" x14ac:dyDescent="0.3">
      <c r="A747" s="700">
        <v>45832.311736111114</v>
      </c>
      <c r="B747">
        <v>542361075</v>
      </c>
      <c r="C747" t="s">
        <v>293</v>
      </c>
      <c r="F747" t="s">
        <v>444</v>
      </c>
    </row>
    <row r="748" spans="1:6" x14ac:dyDescent="0.3">
      <c r="A748" s="700">
        <v>45832.311597222222</v>
      </c>
      <c r="B748">
        <v>542361075</v>
      </c>
      <c r="C748" t="s">
        <v>293</v>
      </c>
      <c r="F748" t="s">
        <v>445</v>
      </c>
    </row>
    <row r="749" spans="1:6" x14ac:dyDescent="0.3">
      <c r="A749" s="700">
        <v>45832.311597222222</v>
      </c>
      <c r="B749">
        <v>542361075</v>
      </c>
      <c r="C749" t="s">
        <v>293</v>
      </c>
      <c r="F749" t="s">
        <v>306</v>
      </c>
    </row>
    <row r="750" spans="1:6" x14ac:dyDescent="0.3">
      <c r="A750" s="700">
        <v>45832.309861111113</v>
      </c>
      <c r="B750">
        <v>542361075</v>
      </c>
      <c r="C750" t="s">
        <v>293</v>
      </c>
      <c r="F750" t="s">
        <v>444</v>
      </c>
    </row>
    <row r="751" spans="1:6" x14ac:dyDescent="0.3">
      <c r="A751" s="700">
        <v>45832.30972222222</v>
      </c>
      <c r="B751">
        <v>542361075</v>
      </c>
      <c r="C751" t="s">
        <v>293</v>
      </c>
      <c r="F751" t="s">
        <v>445</v>
      </c>
    </row>
    <row r="752" spans="1:6" x14ac:dyDescent="0.3">
      <c r="A752" s="700">
        <v>45832.30972222222</v>
      </c>
      <c r="B752">
        <v>542361075</v>
      </c>
      <c r="C752" t="s">
        <v>293</v>
      </c>
      <c r="F752" t="s">
        <v>306</v>
      </c>
    </row>
    <row r="753" spans="1:6" x14ac:dyDescent="0.3">
      <c r="A753" s="700">
        <v>45832.30914351852</v>
      </c>
      <c r="B753">
        <v>542361075</v>
      </c>
      <c r="C753" t="s">
        <v>293</v>
      </c>
      <c r="D753" t="s">
        <v>294</v>
      </c>
      <c r="E753">
        <v>141</v>
      </c>
      <c r="F753" t="s">
        <v>295</v>
      </c>
    </row>
    <row r="754" spans="1:6" x14ac:dyDescent="0.3">
      <c r="A754" s="700">
        <v>45832.30909722222</v>
      </c>
      <c r="B754">
        <v>542361075</v>
      </c>
      <c r="C754" t="s">
        <v>293</v>
      </c>
      <c r="D754" t="s">
        <v>294</v>
      </c>
      <c r="E754">
        <v>269</v>
      </c>
      <c r="F754" t="s">
        <v>295</v>
      </c>
    </row>
    <row r="755" spans="1:6" x14ac:dyDescent="0.3">
      <c r="A755" s="700">
        <v>45832.309062499997</v>
      </c>
      <c r="B755">
        <v>542361075</v>
      </c>
      <c r="C755" t="s">
        <v>293</v>
      </c>
      <c r="D755" t="s">
        <v>294</v>
      </c>
      <c r="E755">
        <v>166</v>
      </c>
      <c r="F755" t="s">
        <v>295</v>
      </c>
    </row>
    <row r="756" spans="1:6" x14ac:dyDescent="0.3">
      <c r="A756" s="700">
        <v>45832.308252314811</v>
      </c>
      <c r="B756">
        <v>542361075</v>
      </c>
      <c r="C756" t="s">
        <v>293</v>
      </c>
      <c r="D756" t="s">
        <v>294</v>
      </c>
      <c r="E756">
        <v>247</v>
      </c>
      <c r="F756" t="s">
        <v>295</v>
      </c>
    </row>
    <row r="757" spans="1:6" x14ac:dyDescent="0.3">
      <c r="A757" s="700">
        <v>45832.30709490741</v>
      </c>
      <c r="B757">
        <v>542361075</v>
      </c>
      <c r="C757" t="s">
        <v>293</v>
      </c>
      <c r="D757" t="s">
        <v>294</v>
      </c>
      <c r="E757">
        <v>146</v>
      </c>
      <c r="F757" t="s">
        <v>295</v>
      </c>
    </row>
    <row r="758" spans="1:6" x14ac:dyDescent="0.3">
      <c r="A758" s="700">
        <v>45832.305462962962</v>
      </c>
      <c r="B758">
        <v>542361075</v>
      </c>
      <c r="C758" t="s">
        <v>293</v>
      </c>
      <c r="D758" t="s">
        <v>294</v>
      </c>
      <c r="E758">
        <v>245</v>
      </c>
      <c r="F758" t="s">
        <v>295</v>
      </c>
    </row>
    <row r="759" spans="1:6" x14ac:dyDescent="0.3">
      <c r="A759" s="700">
        <v>45832.300532407404</v>
      </c>
      <c r="B759">
        <v>542361075</v>
      </c>
      <c r="C759" t="s">
        <v>293</v>
      </c>
      <c r="D759" t="s">
        <v>294</v>
      </c>
      <c r="E759">
        <v>230</v>
      </c>
      <c r="F759" t="s">
        <v>295</v>
      </c>
    </row>
    <row r="760" spans="1:6" x14ac:dyDescent="0.3">
      <c r="A760" s="700">
        <v>45832.300486111111</v>
      </c>
      <c r="B760">
        <v>542361075</v>
      </c>
      <c r="C760" t="s">
        <v>293</v>
      </c>
      <c r="D760" t="s">
        <v>294</v>
      </c>
      <c r="E760">
        <v>262</v>
      </c>
      <c r="F760" t="s">
        <v>295</v>
      </c>
    </row>
    <row r="761" spans="1:6" x14ac:dyDescent="0.3">
      <c r="A761" s="700">
        <v>45832.300428240742</v>
      </c>
      <c r="B761">
        <v>542361075</v>
      </c>
      <c r="C761" t="s">
        <v>293</v>
      </c>
      <c r="D761" t="s">
        <v>294</v>
      </c>
      <c r="E761">
        <v>239</v>
      </c>
      <c r="F761" t="s">
        <v>295</v>
      </c>
    </row>
    <row r="762" spans="1:6" x14ac:dyDescent="0.3">
      <c r="A762" s="700">
        <v>45832.298506944448</v>
      </c>
      <c r="B762">
        <v>542361075</v>
      </c>
      <c r="C762" t="s">
        <v>293</v>
      </c>
      <c r="D762" t="s">
        <v>294</v>
      </c>
      <c r="E762">
        <v>241</v>
      </c>
      <c r="F762" t="s">
        <v>295</v>
      </c>
    </row>
    <row r="763" spans="1:6" x14ac:dyDescent="0.3">
      <c r="A763" s="700">
        <v>45832.296342592592</v>
      </c>
      <c r="B763">
        <v>542361075</v>
      </c>
      <c r="C763" t="s">
        <v>293</v>
      </c>
      <c r="D763" t="s">
        <v>294</v>
      </c>
      <c r="E763">
        <v>226</v>
      </c>
      <c r="F763" t="s">
        <v>295</v>
      </c>
    </row>
    <row r="764" spans="1:6" x14ac:dyDescent="0.3">
      <c r="A764" s="700">
        <v>45832.284479166665</v>
      </c>
      <c r="B764">
        <v>542361075</v>
      </c>
      <c r="C764" t="s">
        <v>293</v>
      </c>
      <c r="D764" t="s">
        <v>294</v>
      </c>
      <c r="E764">
        <v>172</v>
      </c>
      <c r="F764" t="s">
        <v>295</v>
      </c>
    </row>
    <row r="765" spans="1:6" x14ac:dyDescent="0.3">
      <c r="A765" s="700">
        <v>45832.212175925924</v>
      </c>
      <c r="B765">
        <v>542361075</v>
      </c>
      <c r="C765" t="s">
        <v>293</v>
      </c>
      <c r="D765" t="s">
        <v>294</v>
      </c>
      <c r="E765">
        <v>29</v>
      </c>
      <c r="F765" t="s">
        <v>295</v>
      </c>
    </row>
    <row r="766" spans="1:6" x14ac:dyDescent="0.3">
      <c r="A766" s="700">
        <v>45832.208726851852</v>
      </c>
      <c r="B766">
        <v>542361075</v>
      </c>
      <c r="C766" t="s">
        <v>293</v>
      </c>
      <c r="D766" t="s">
        <v>294</v>
      </c>
      <c r="E766">
        <v>28</v>
      </c>
      <c r="F766" t="s">
        <v>295</v>
      </c>
    </row>
    <row r="767" spans="1:6" x14ac:dyDescent="0.3">
      <c r="A767" s="700">
        <v>45832.189571759256</v>
      </c>
      <c r="B767">
        <v>542361075</v>
      </c>
      <c r="C767" t="s">
        <v>293</v>
      </c>
      <c r="D767" t="s">
        <v>294</v>
      </c>
      <c r="E767">
        <v>29</v>
      </c>
      <c r="F767" t="s">
        <v>295</v>
      </c>
    </row>
    <row r="768" spans="1:6" x14ac:dyDescent="0.3">
      <c r="A768" s="700">
        <v>45832.187557870369</v>
      </c>
      <c r="B768">
        <v>542361075</v>
      </c>
      <c r="C768" t="s">
        <v>293</v>
      </c>
      <c r="D768" t="s">
        <v>294</v>
      </c>
      <c r="E768">
        <v>28</v>
      </c>
      <c r="F768" t="s">
        <v>295</v>
      </c>
    </row>
    <row r="769" spans="1:6" x14ac:dyDescent="0.3">
      <c r="A769" s="700">
        <v>45832.173773148148</v>
      </c>
      <c r="B769">
        <v>542361075</v>
      </c>
      <c r="C769" t="s">
        <v>293</v>
      </c>
      <c r="D769" t="s">
        <v>294</v>
      </c>
      <c r="E769">
        <v>267</v>
      </c>
      <c r="F769" t="s">
        <v>295</v>
      </c>
    </row>
    <row r="770" spans="1:6" x14ac:dyDescent="0.3">
      <c r="A770" s="700">
        <v>45832.167025462964</v>
      </c>
      <c r="B770">
        <v>542361075</v>
      </c>
      <c r="C770" t="s">
        <v>293</v>
      </c>
      <c r="D770" t="s">
        <v>294</v>
      </c>
      <c r="E770">
        <v>250</v>
      </c>
      <c r="F770" t="s">
        <v>295</v>
      </c>
    </row>
    <row r="771" spans="1:6" x14ac:dyDescent="0.3">
      <c r="A771" s="700">
        <v>45832.166990740741</v>
      </c>
      <c r="B771">
        <v>542361075</v>
      </c>
      <c r="C771" t="s">
        <v>293</v>
      </c>
      <c r="D771" t="s">
        <v>294</v>
      </c>
      <c r="E771">
        <v>159</v>
      </c>
      <c r="F771" t="s">
        <v>295</v>
      </c>
    </row>
    <row r="772" spans="1:6" x14ac:dyDescent="0.3">
      <c r="A772" s="700">
        <v>45832.153541666667</v>
      </c>
      <c r="B772">
        <v>542361075</v>
      </c>
      <c r="C772" t="s">
        <v>293</v>
      </c>
      <c r="D772" t="s">
        <v>294</v>
      </c>
      <c r="E772">
        <v>267</v>
      </c>
      <c r="F772" t="s">
        <v>295</v>
      </c>
    </row>
    <row r="773" spans="1:6" x14ac:dyDescent="0.3">
      <c r="A773" s="700">
        <v>45832.139386574076</v>
      </c>
      <c r="B773">
        <v>542361075</v>
      </c>
      <c r="C773" t="s">
        <v>293</v>
      </c>
      <c r="D773" t="s">
        <v>294</v>
      </c>
      <c r="E773">
        <v>228</v>
      </c>
      <c r="F773" t="s">
        <v>295</v>
      </c>
    </row>
    <row r="774" spans="1:6" x14ac:dyDescent="0.3">
      <c r="A774" s="700">
        <v>45832.138113425928</v>
      </c>
      <c r="B774">
        <v>542361075</v>
      </c>
      <c r="C774" t="s">
        <v>293</v>
      </c>
      <c r="D774" t="s">
        <v>294</v>
      </c>
      <c r="E774">
        <v>159</v>
      </c>
      <c r="F774" t="s">
        <v>295</v>
      </c>
    </row>
    <row r="775" spans="1:6" x14ac:dyDescent="0.3">
      <c r="A775" s="700">
        <v>45832.138067129628</v>
      </c>
      <c r="B775">
        <v>542361075</v>
      </c>
      <c r="C775" t="s">
        <v>293</v>
      </c>
      <c r="D775" t="s">
        <v>294</v>
      </c>
      <c r="E775">
        <v>250</v>
      </c>
      <c r="F775" t="s">
        <v>295</v>
      </c>
    </row>
    <row r="776" spans="1:6" x14ac:dyDescent="0.3">
      <c r="A776" s="700">
        <v>45832.133344907408</v>
      </c>
      <c r="B776">
        <v>542361075</v>
      </c>
      <c r="C776" t="s">
        <v>293</v>
      </c>
      <c r="D776" t="s">
        <v>294</v>
      </c>
      <c r="E776">
        <v>75</v>
      </c>
      <c r="F776" t="s">
        <v>295</v>
      </c>
    </row>
    <row r="777" spans="1:6" x14ac:dyDescent="0.3">
      <c r="A777" s="700">
        <v>45832.133298611108</v>
      </c>
      <c r="B777">
        <v>542361075</v>
      </c>
      <c r="C777" t="s">
        <v>293</v>
      </c>
      <c r="D777" t="s">
        <v>294</v>
      </c>
      <c r="E777">
        <v>33</v>
      </c>
      <c r="F777" t="s">
        <v>295</v>
      </c>
    </row>
    <row r="778" spans="1:6" x14ac:dyDescent="0.3">
      <c r="A778" s="700">
        <v>45832.118368055555</v>
      </c>
      <c r="B778">
        <v>542361075</v>
      </c>
      <c r="C778" t="s">
        <v>293</v>
      </c>
      <c r="D778" t="s">
        <v>294</v>
      </c>
      <c r="E778">
        <v>228</v>
      </c>
      <c r="F778" t="s">
        <v>295</v>
      </c>
    </row>
    <row r="779" spans="1:6" x14ac:dyDescent="0.3">
      <c r="A779" s="700">
        <v>45832.118310185186</v>
      </c>
      <c r="B779">
        <v>542361075</v>
      </c>
      <c r="C779" t="s">
        <v>293</v>
      </c>
      <c r="D779" t="s">
        <v>294</v>
      </c>
      <c r="E779">
        <v>227</v>
      </c>
      <c r="F779" t="s">
        <v>295</v>
      </c>
    </row>
    <row r="780" spans="1:6" x14ac:dyDescent="0.3">
      <c r="A780" s="700">
        <v>45832.117939814816</v>
      </c>
      <c r="B780">
        <v>542361075</v>
      </c>
      <c r="C780" t="s">
        <v>293</v>
      </c>
      <c r="D780" t="s">
        <v>294</v>
      </c>
      <c r="E780">
        <v>210</v>
      </c>
      <c r="F780" t="s">
        <v>295</v>
      </c>
    </row>
    <row r="781" spans="1:6" x14ac:dyDescent="0.3">
      <c r="A781" s="700">
        <v>45832.117905092593</v>
      </c>
      <c r="B781">
        <v>542361075</v>
      </c>
      <c r="C781" t="s">
        <v>293</v>
      </c>
      <c r="D781" t="s">
        <v>294</v>
      </c>
      <c r="E781">
        <v>266</v>
      </c>
      <c r="F781" t="s">
        <v>295</v>
      </c>
    </row>
    <row r="782" spans="1:6" x14ac:dyDescent="0.3">
      <c r="A782" s="700">
        <v>45832.110219907408</v>
      </c>
      <c r="B782">
        <v>542361075</v>
      </c>
      <c r="C782" t="s">
        <v>293</v>
      </c>
      <c r="D782" t="s">
        <v>294</v>
      </c>
      <c r="E782">
        <v>33</v>
      </c>
      <c r="F782" t="s">
        <v>295</v>
      </c>
    </row>
    <row r="783" spans="1:6" x14ac:dyDescent="0.3">
      <c r="A783" s="700">
        <v>45832.109652777777</v>
      </c>
      <c r="B783">
        <v>542361075</v>
      </c>
      <c r="C783" t="s">
        <v>293</v>
      </c>
      <c r="D783" t="s">
        <v>294</v>
      </c>
      <c r="E783">
        <v>75</v>
      </c>
      <c r="F783" t="s">
        <v>295</v>
      </c>
    </row>
    <row r="784" spans="1:6" x14ac:dyDescent="0.3">
      <c r="A784" s="700">
        <v>45832.108252314814</v>
      </c>
      <c r="B784">
        <v>542361075</v>
      </c>
      <c r="C784" t="s">
        <v>293</v>
      </c>
      <c r="D784" t="s">
        <v>294</v>
      </c>
      <c r="E784">
        <v>214</v>
      </c>
      <c r="F784" t="s">
        <v>295</v>
      </c>
    </row>
    <row r="785" spans="1:6" x14ac:dyDescent="0.3">
      <c r="A785" s="700">
        <v>45832.096261574072</v>
      </c>
      <c r="B785">
        <v>542361075</v>
      </c>
      <c r="C785" t="s">
        <v>293</v>
      </c>
      <c r="D785" t="s">
        <v>294</v>
      </c>
      <c r="E785">
        <v>227</v>
      </c>
      <c r="F785" t="s">
        <v>295</v>
      </c>
    </row>
    <row r="786" spans="1:6" x14ac:dyDescent="0.3">
      <c r="A786" s="700">
        <v>45832.093900462962</v>
      </c>
      <c r="B786">
        <v>542361075</v>
      </c>
      <c r="C786" t="s">
        <v>293</v>
      </c>
      <c r="D786" t="s">
        <v>294</v>
      </c>
      <c r="E786">
        <v>266</v>
      </c>
      <c r="F786" t="s">
        <v>295</v>
      </c>
    </row>
    <row r="787" spans="1:6" x14ac:dyDescent="0.3">
      <c r="A787" s="700">
        <v>45832.08997685185</v>
      </c>
      <c r="B787">
        <v>542361075</v>
      </c>
      <c r="C787" t="s">
        <v>293</v>
      </c>
      <c r="D787" t="s">
        <v>294</v>
      </c>
      <c r="E787">
        <v>210</v>
      </c>
      <c r="F787" t="s">
        <v>295</v>
      </c>
    </row>
    <row r="788" spans="1:6" x14ac:dyDescent="0.3">
      <c r="A788" s="700">
        <v>45832.08966435185</v>
      </c>
      <c r="B788">
        <v>542361075</v>
      </c>
      <c r="C788" t="s">
        <v>293</v>
      </c>
      <c r="D788" t="s">
        <v>294</v>
      </c>
      <c r="E788">
        <v>135</v>
      </c>
      <c r="F788" t="s">
        <v>295</v>
      </c>
    </row>
    <row r="789" spans="1:6" x14ac:dyDescent="0.3">
      <c r="A789" s="700">
        <v>45832.089548611111</v>
      </c>
      <c r="B789">
        <v>542361075</v>
      </c>
      <c r="C789" t="s">
        <v>293</v>
      </c>
      <c r="D789" t="s">
        <v>294</v>
      </c>
      <c r="E789">
        <v>118</v>
      </c>
      <c r="F789" t="s">
        <v>295</v>
      </c>
    </row>
    <row r="790" spans="1:6" x14ac:dyDescent="0.3">
      <c r="A790" s="700">
        <v>45832.089490740742</v>
      </c>
      <c r="B790">
        <v>542361075</v>
      </c>
      <c r="C790" t="s">
        <v>293</v>
      </c>
      <c r="D790" t="s">
        <v>294</v>
      </c>
      <c r="E790">
        <v>254</v>
      </c>
      <c r="F790" t="s">
        <v>295</v>
      </c>
    </row>
    <row r="791" spans="1:6" x14ac:dyDescent="0.3">
      <c r="A791" s="700">
        <v>45832.087939814817</v>
      </c>
      <c r="B791">
        <v>542361075</v>
      </c>
      <c r="C791" t="s">
        <v>293</v>
      </c>
      <c r="D791" t="s">
        <v>294</v>
      </c>
      <c r="E791">
        <v>214</v>
      </c>
      <c r="F791" t="s">
        <v>295</v>
      </c>
    </row>
    <row r="792" spans="1:6" x14ac:dyDescent="0.3">
      <c r="A792" s="700">
        <v>45832.065208333333</v>
      </c>
      <c r="B792">
        <v>542361075</v>
      </c>
      <c r="C792" t="s">
        <v>293</v>
      </c>
      <c r="D792" t="s">
        <v>294</v>
      </c>
      <c r="E792">
        <v>118</v>
      </c>
      <c r="F792" t="s">
        <v>295</v>
      </c>
    </row>
    <row r="793" spans="1:6" x14ac:dyDescent="0.3">
      <c r="A793" s="700">
        <v>45832.065162037034</v>
      </c>
      <c r="B793">
        <v>542361075</v>
      </c>
      <c r="C793" t="s">
        <v>293</v>
      </c>
      <c r="D793" t="s">
        <v>294</v>
      </c>
      <c r="E793">
        <v>135</v>
      </c>
      <c r="F793" t="s">
        <v>295</v>
      </c>
    </row>
    <row r="794" spans="1:6" x14ac:dyDescent="0.3">
      <c r="A794" s="700">
        <v>45832.065115740741</v>
      </c>
      <c r="B794">
        <v>542361075</v>
      </c>
      <c r="C794" t="s">
        <v>293</v>
      </c>
      <c r="D794" t="s">
        <v>294</v>
      </c>
      <c r="E794">
        <v>254</v>
      </c>
      <c r="F794" t="s">
        <v>295</v>
      </c>
    </row>
    <row r="795" spans="1:6" x14ac:dyDescent="0.3">
      <c r="A795" s="700">
        <v>45832.032314814816</v>
      </c>
      <c r="B795">
        <v>542361075</v>
      </c>
      <c r="C795" t="s">
        <v>293</v>
      </c>
      <c r="D795" t="s">
        <v>294</v>
      </c>
      <c r="E795">
        <v>94</v>
      </c>
      <c r="F795" t="s">
        <v>295</v>
      </c>
    </row>
    <row r="796" spans="1:6" x14ac:dyDescent="0.3">
      <c r="A796" s="700">
        <v>45832.010891203703</v>
      </c>
      <c r="B796">
        <v>542361075</v>
      </c>
      <c r="C796" t="s">
        <v>293</v>
      </c>
      <c r="D796" t="s">
        <v>294</v>
      </c>
      <c r="E796">
        <v>94</v>
      </c>
      <c r="F796" t="s">
        <v>295</v>
      </c>
    </row>
    <row r="797" spans="1:6" x14ac:dyDescent="0.3">
      <c r="A797" s="700">
        <v>45832.00986111111</v>
      </c>
      <c r="B797">
        <v>542361075</v>
      </c>
      <c r="C797" t="s">
        <v>293</v>
      </c>
      <c r="D797" t="s">
        <v>294</v>
      </c>
      <c r="E797">
        <v>9</v>
      </c>
      <c r="F797" t="s">
        <v>295</v>
      </c>
    </row>
    <row r="798" spans="1:6" x14ac:dyDescent="0.3">
      <c r="A798" s="700">
        <v>45831.987615740742</v>
      </c>
      <c r="B798">
        <v>542361075</v>
      </c>
      <c r="C798" t="s">
        <v>293</v>
      </c>
      <c r="D798" t="s">
        <v>294</v>
      </c>
      <c r="E798">
        <v>118</v>
      </c>
      <c r="F798" t="s">
        <v>295</v>
      </c>
    </row>
    <row r="799" spans="1:6" x14ac:dyDescent="0.3">
      <c r="A799" s="700">
        <v>45831.985185185185</v>
      </c>
      <c r="B799">
        <v>542361075</v>
      </c>
      <c r="C799" t="s">
        <v>293</v>
      </c>
      <c r="D799" t="s">
        <v>294</v>
      </c>
      <c r="E799">
        <v>210</v>
      </c>
      <c r="F799" t="s">
        <v>295</v>
      </c>
    </row>
    <row r="800" spans="1:6" x14ac:dyDescent="0.3">
      <c r="A800" s="700">
        <v>45831.984953703701</v>
      </c>
      <c r="B800">
        <v>542361075</v>
      </c>
      <c r="C800" t="s">
        <v>293</v>
      </c>
      <c r="D800" t="s">
        <v>294</v>
      </c>
      <c r="E800">
        <v>107</v>
      </c>
      <c r="F800" t="s">
        <v>295</v>
      </c>
    </row>
    <row r="801" spans="1:6" x14ac:dyDescent="0.3">
      <c r="A801" s="700">
        <v>45831.983090277776</v>
      </c>
      <c r="B801">
        <v>542361075</v>
      </c>
      <c r="C801" t="s">
        <v>293</v>
      </c>
      <c r="D801" t="s">
        <v>294</v>
      </c>
      <c r="E801">
        <v>75</v>
      </c>
      <c r="F801" t="s">
        <v>295</v>
      </c>
    </row>
    <row r="802" spans="1:6" x14ac:dyDescent="0.3">
      <c r="A802" s="700">
        <v>45831.981620370374</v>
      </c>
      <c r="B802">
        <v>542361075</v>
      </c>
      <c r="C802" t="s">
        <v>293</v>
      </c>
      <c r="D802" t="s">
        <v>294</v>
      </c>
      <c r="E802">
        <v>81</v>
      </c>
      <c r="F802" t="s">
        <v>295</v>
      </c>
    </row>
    <row r="803" spans="1:6" x14ac:dyDescent="0.3">
      <c r="A803" s="700">
        <v>45831.981319444443</v>
      </c>
      <c r="B803">
        <v>542361075</v>
      </c>
      <c r="C803" t="s">
        <v>293</v>
      </c>
      <c r="D803" t="s">
        <v>294</v>
      </c>
      <c r="E803">
        <v>266</v>
      </c>
      <c r="F803" t="s">
        <v>295</v>
      </c>
    </row>
    <row r="804" spans="1:6" x14ac:dyDescent="0.3">
      <c r="A804" s="700">
        <v>45831.981273148151</v>
      </c>
      <c r="B804">
        <v>542361075</v>
      </c>
      <c r="C804" t="s">
        <v>293</v>
      </c>
      <c r="D804" t="s">
        <v>294</v>
      </c>
      <c r="E804">
        <v>228</v>
      </c>
      <c r="F804" t="s">
        <v>295</v>
      </c>
    </row>
    <row r="805" spans="1:6" x14ac:dyDescent="0.3">
      <c r="A805" s="700">
        <v>45831.981238425928</v>
      </c>
      <c r="B805">
        <v>542361075</v>
      </c>
      <c r="C805" t="s">
        <v>293</v>
      </c>
      <c r="D805" t="s">
        <v>294</v>
      </c>
      <c r="E805">
        <v>12</v>
      </c>
      <c r="F805" t="s">
        <v>295</v>
      </c>
    </row>
    <row r="806" spans="1:6" x14ac:dyDescent="0.3">
      <c r="A806" s="700">
        <v>45831.981192129628</v>
      </c>
      <c r="B806">
        <v>542361075</v>
      </c>
      <c r="C806" t="s">
        <v>293</v>
      </c>
      <c r="D806" t="s">
        <v>294</v>
      </c>
      <c r="E806">
        <v>212</v>
      </c>
      <c r="F806" t="s">
        <v>295</v>
      </c>
    </row>
    <row r="807" spans="1:6" x14ac:dyDescent="0.3">
      <c r="A807" s="700">
        <v>45831.981134259258</v>
      </c>
      <c r="B807">
        <v>542361075</v>
      </c>
      <c r="C807" t="s">
        <v>293</v>
      </c>
      <c r="D807" t="s">
        <v>294</v>
      </c>
      <c r="E807">
        <v>70</v>
      </c>
      <c r="F807" t="s">
        <v>295</v>
      </c>
    </row>
    <row r="808" spans="1:6" x14ac:dyDescent="0.3">
      <c r="A808" s="700">
        <v>45831.981087962966</v>
      </c>
      <c r="B808">
        <v>542361075</v>
      </c>
      <c r="C808" t="s">
        <v>293</v>
      </c>
      <c r="D808" t="s">
        <v>294</v>
      </c>
      <c r="E808">
        <v>30</v>
      </c>
      <c r="F808" t="s">
        <v>295</v>
      </c>
    </row>
    <row r="809" spans="1:6" x14ac:dyDescent="0.3">
      <c r="A809" s="700">
        <v>45831.980995370373</v>
      </c>
      <c r="B809">
        <v>542361075</v>
      </c>
      <c r="C809" t="s">
        <v>293</v>
      </c>
      <c r="D809" t="s">
        <v>294</v>
      </c>
      <c r="E809">
        <v>271</v>
      </c>
      <c r="F809" t="s">
        <v>295</v>
      </c>
    </row>
    <row r="810" spans="1:6" x14ac:dyDescent="0.3">
      <c r="A810" s="700">
        <v>45831.98096064815</v>
      </c>
      <c r="B810">
        <v>542361075</v>
      </c>
      <c r="C810" t="s">
        <v>293</v>
      </c>
      <c r="D810" t="s">
        <v>294</v>
      </c>
      <c r="E810">
        <v>169</v>
      </c>
      <c r="F810" t="s">
        <v>295</v>
      </c>
    </row>
    <row r="811" spans="1:6" x14ac:dyDescent="0.3">
      <c r="A811" s="700">
        <v>45831.980474537035</v>
      </c>
      <c r="B811">
        <v>542361075</v>
      </c>
      <c r="C811" t="s">
        <v>293</v>
      </c>
      <c r="D811" t="s">
        <v>294</v>
      </c>
      <c r="E811">
        <v>158</v>
      </c>
      <c r="F811" t="s">
        <v>295</v>
      </c>
    </row>
    <row r="812" spans="1:6" x14ac:dyDescent="0.3">
      <c r="A812" s="700">
        <v>45831.979456018518</v>
      </c>
      <c r="B812">
        <v>542361075</v>
      </c>
      <c r="C812" t="s">
        <v>293</v>
      </c>
      <c r="D812" t="s">
        <v>294</v>
      </c>
      <c r="E812">
        <v>264</v>
      </c>
      <c r="F812" t="s">
        <v>295</v>
      </c>
    </row>
    <row r="813" spans="1:6" x14ac:dyDescent="0.3">
      <c r="A813" s="700">
        <v>45831.978518518517</v>
      </c>
      <c r="B813">
        <v>542361075</v>
      </c>
      <c r="C813" t="s">
        <v>293</v>
      </c>
      <c r="D813" t="s">
        <v>294</v>
      </c>
      <c r="E813">
        <v>28</v>
      </c>
      <c r="F813" t="s">
        <v>295</v>
      </c>
    </row>
    <row r="814" spans="1:6" x14ac:dyDescent="0.3">
      <c r="A814" s="700">
        <v>45831.976226851853</v>
      </c>
      <c r="B814">
        <v>542361075</v>
      </c>
      <c r="C814" t="s">
        <v>293</v>
      </c>
      <c r="D814" t="s">
        <v>294</v>
      </c>
      <c r="E814">
        <v>33</v>
      </c>
      <c r="F814" t="s">
        <v>295</v>
      </c>
    </row>
    <row r="815" spans="1:6" x14ac:dyDescent="0.3">
      <c r="A815" s="700">
        <v>45831.974398148152</v>
      </c>
      <c r="B815">
        <v>542361075</v>
      </c>
      <c r="C815" t="s">
        <v>293</v>
      </c>
      <c r="D815" t="s">
        <v>294</v>
      </c>
      <c r="E815">
        <v>159</v>
      </c>
      <c r="F815" t="s">
        <v>295</v>
      </c>
    </row>
    <row r="816" spans="1:6" x14ac:dyDescent="0.3">
      <c r="A816" s="700">
        <v>45831.974317129629</v>
      </c>
      <c r="B816">
        <v>542361075</v>
      </c>
      <c r="C816" t="s">
        <v>293</v>
      </c>
      <c r="D816" t="s">
        <v>294</v>
      </c>
      <c r="E816">
        <v>59</v>
      </c>
      <c r="F816" t="s">
        <v>295</v>
      </c>
    </row>
    <row r="817" spans="1:6" x14ac:dyDescent="0.3">
      <c r="A817" s="700">
        <v>45831.973854166667</v>
      </c>
      <c r="B817">
        <v>542361075</v>
      </c>
      <c r="C817" t="s">
        <v>293</v>
      </c>
      <c r="D817" t="s">
        <v>294</v>
      </c>
      <c r="E817">
        <v>94</v>
      </c>
      <c r="F817" t="s">
        <v>295</v>
      </c>
    </row>
    <row r="818" spans="1:6" x14ac:dyDescent="0.3">
      <c r="A818" s="700">
        <v>45831.973321759258</v>
      </c>
      <c r="B818">
        <v>542361075</v>
      </c>
      <c r="C818" t="s">
        <v>293</v>
      </c>
      <c r="D818" t="s">
        <v>294</v>
      </c>
      <c r="E818">
        <v>214</v>
      </c>
      <c r="F818" t="s">
        <v>295</v>
      </c>
    </row>
    <row r="819" spans="1:6" x14ac:dyDescent="0.3">
      <c r="A819" s="700">
        <v>45831.970902777779</v>
      </c>
      <c r="B819">
        <v>542361075</v>
      </c>
      <c r="C819" t="s">
        <v>293</v>
      </c>
      <c r="D819" t="s">
        <v>294</v>
      </c>
      <c r="E819">
        <v>250</v>
      </c>
      <c r="F819" t="s">
        <v>295</v>
      </c>
    </row>
    <row r="820" spans="1:6" x14ac:dyDescent="0.3">
      <c r="A820" s="700">
        <v>45831.966469907406</v>
      </c>
      <c r="B820">
        <v>542361075</v>
      </c>
      <c r="C820" t="s">
        <v>293</v>
      </c>
      <c r="D820" t="s">
        <v>294</v>
      </c>
      <c r="E820">
        <v>254</v>
      </c>
      <c r="F820" t="s">
        <v>295</v>
      </c>
    </row>
    <row r="821" spans="1:6" x14ac:dyDescent="0.3">
      <c r="A821" s="700">
        <v>45831.966435185182</v>
      </c>
      <c r="B821">
        <v>542361075</v>
      </c>
      <c r="C821" t="s">
        <v>293</v>
      </c>
      <c r="D821" t="s">
        <v>294</v>
      </c>
      <c r="E821">
        <v>267</v>
      </c>
      <c r="F821" t="s">
        <v>295</v>
      </c>
    </row>
    <row r="822" spans="1:6" x14ac:dyDescent="0.3">
      <c r="A822" s="700">
        <v>45831.966400462959</v>
      </c>
      <c r="B822">
        <v>542361075</v>
      </c>
      <c r="C822" t="s">
        <v>293</v>
      </c>
      <c r="D822" t="s">
        <v>294</v>
      </c>
      <c r="E822">
        <v>29</v>
      </c>
      <c r="F822" t="s">
        <v>295</v>
      </c>
    </row>
    <row r="823" spans="1:6" x14ac:dyDescent="0.3">
      <c r="A823" s="700">
        <v>45831.956018518518</v>
      </c>
      <c r="B823">
        <v>542361075</v>
      </c>
      <c r="C823" t="s">
        <v>293</v>
      </c>
      <c r="D823" t="s">
        <v>294</v>
      </c>
      <c r="E823">
        <v>227</v>
      </c>
      <c r="F823" t="s">
        <v>295</v>
      </c>
    </row>
    <row r="824" spans="1:6" x14ac:dyDescent="0.3">
      <c r="A824" s="700">
        <v>45831.904560185183</v>
      </c>
      <c r="B824">
        <v>542361075</v>
      </c>
      <c r="C824" t="s">
        <v>293</v>
      </c>
      <c r="D824" t="s">
        <v>294</v>
      </c>
      <c r="E824">
        <v>264</v>
      </c>
      <c r="F824" t="s">
        <v>295</v>
      </c>
    </row>
    <row r="825" spans="1:6" x14ac:dyDescent="0.3">
      <c r="A825" s="700">
        <v>45831.866736111115</v>
      </c>
      <c r="B825">
        <v>542361075</v>
      </c>
      <c r="C825" t="s">
        <v>293</v>
      </c>
      <c r="D825" t="s">
        <v>294</v>
      </c>
      <c r="E825">
        <v>158</v>
      </c>
      <c r="F825" t="s">
        <v>295</v>
      </c>
    </row>
    <row r="826" spans="1:6" x14ac:dyDescent="0.3">
      <c r="A826" s="700">
        <v>45831.866319444445</v>
      </c>
      <c r="B826">
        <v>542361075</v>
      </c>
      <c r="C826" t="s">
        <v>293</v>
      </c>
      <c r="D826" t="s">
        <v>294</v>
      </c>
      <c r="E826">
        <v>81</v>
      </c>
      <c r="F826" t="s">
        <v>295</v>
      </c>
    </row>
    <row r="827" spans="1:6" x14ac:dyDescent="0.3">
      <c r="A827" s="700">
        <v>45831.843124999999</v>
      </c>
      <c r="B827">
        <v>542361075</v>
      </c>
      <c r="C827" t="s">
        <v>293</v>
      </c>
      <c r="D827" t="s">
        <v>294</v>
      </c>
      <c r="E827">
        <v>158</v>
      </c>
      <c r="F827" t="s">
        <v>295</v>
      </c>
    </row>
    <row r="828" spans="1:6" x14ac:dyDescent="0.3">
      <c r="A828" s="700">
        <v>45831.840497685182</v>
      </c>
      <c r="B828">
        <v>542361075</v>
      </c>
      <c r="C828" t="s">
        <v>293</v>
      </c>
      <c r="D828" t="s">
        <v>294</v>
      </c>
      <c r="E828">
        <v>81</v>
      </c>
      <c r="F828" t="s">
        <v>295</v>
      </c>
    </row>
    <row r="829" spans="1:6" x14ac:dyDescent="0.3">
      <c r="A829" s="700">
        <v>45831.836388888885</v>
      </c>
      <c r="B829">
        <v>542361075</v>
      </c>
      <c r="C829" t="s">
        <v>293</v>
      </c>
      <c r="D829" t="s">
        <v>294</v>
      </c>
      <c r="E829">
        <v>89</v>
      </c>
      <c r="F829" t="s">
        <v>295</v>
      </c>
    </row>
    <row r="830" spans="1:6" x14ac:dyDescent="0.3">
      <c r="A830" s="700">
        <v>45831.814988425926</v>
      </c>
      <c r="B830">
        <v>542361075</v>
      </c>
      <c r="C830" t="s">
        <v>293</v>
      </c>
      <c r="D830" t="s">
        <v>294</v>
      </c>
      <c r="E830">
        <v>9</v>
      </c>
      <c r="F830" t="s">
        <v>295</v>
      </c>
    </row>
    <row r="831" spans="1:6" x14ac:dyDescent="0.3">
      <c r="A831" s="700">
        <v>45831.793321759258</v>
      </c>
      <c r="B831">
        <v>542361075</v>
      </c>
      <c r="C831" t="s">
        <v>293</v>
      </c>
      <c r="D831" t="s">
        <v>294</v>
      </c>
      <c r="E831">
        <v>230</v>
      </c>
      <c r="F831" t="s">
        <v>295</v>
      </c>
    </row>
    <row r="832" spans="1:6" x14ac:dyDescent="0.3">
      <c r="A832" s="700">
        <v>45831.793206018519</v>
      </c>
      <c r="B832">
        <v>542361075</v>
      </c>
      <c r="C832" t="s">
        <v>293</v>
      </c>
      <c r="D832" t="s">
        <v>294</v>
      </c>
      <c r="E832">
        <v>239</v>
      </c>
      <c r="F832" t="s">
        <v>295</v>
      </c>
    </row>
    <row r="833" spans="1:6" x14ac:dyDescent="0.3">
      <c r="A833" s="700">
        <v>45831.784849537034</v>
      </c>
      <c r="B833">
        <v>542361075</v>
      </c>
      <c r="C833" t="s">
        <v>293</v>
      </c>
      <c r="D833" t="s">
        <v>294</v>
      </c>
      <c r="E833">
        <v>9</v>
      </c>
      <c r="F833" t="s">
        <v>295</v>
      </c>
    </row>
    <row r="834" spans="1:6" x14ac:dyDescent="0.3">
      <c r="A834" s="700">
        <v>45831.711238425924</v>
      </c>
      <c r="B834">
        <v>542361075</v>
      </c>
      <c r="C834" t="s">
        <v>293</v>
      </c>
      <c r="F834" t="s">
        <v>298</v>
      </c>
    </row>
    <row r="835" spans="1:6" x14ac:dyDescent="0.3">
      <c r="A835" s="700">
        <v>45831.710833333331</v>
      </c>
      <c r="B835">
        <v>542361075</v>
      </c>
      <c r="C835" t="s">
        <v>293</v>
      </c>
      <c r="D835" t="s">
        <v>294</v>
      </c>
      <c r="E835">
        <v>97</v>
      </c>
      <c r="F835" t="s">
        <v>295</v>
      </c>
    </row>
    <row r="836" spans="1:6" x14ac:dyDescent="0.3">
      <c r="A836" s="700">
        <v>45831.710717592592</v>
      </c>
      <c r="B836">
        <v>542361075</v>
      </c>
      <c r="C836" t="s">
        <v>293</v>
      </c>
      <c r="D836" t="s">
        <v>294</v>
      </c>
      <c r="E836">
        <v>41</v>
      </c>
      <c r="F836" t="s">
        <v>295</v>
      </c>
    </row>
    <row r="837" spans="1:6" x14ac:dyDescent="0.3">
      <c r="A837" s="700">
        <v>45831.710439814815</v>
      </c>
      <c r="B837">
        <v>542361075</v>
      </c>
      <c r="C837" t="s">
        <v>293</v>
      </c>
      <c r="D837" t="s">
        <v>294</v>
      </c>
      <c r="E837">
        <v>34</v>
      </c>
      <c r="F837" t="s">
        <v>295</v>
      </c>
    </row>
    <row r="838" spans="1:6" x14ac:dyDescent="0.3">
      <c r="A838" s="700">
        <v>45831.70994212963</v>
      </c>
      <c r="B838">
        <v>542361075</v>
      </c>
      <c r="C838" t="s">
        <v>293</v>
      </c>
      <c r="D838" t="s">
        <v>294</v>
      </c>
      <c r="E838">
        <v>95</v>
      </c>
      <c r="F838" t="s">
        <v>295</v>
      </c>
    </row>
    <row r="839" spans="1:6" x14ac:dyDescent="0.3">
      <c r="A839" s="700">
        <v>45831.709652777776</v>
      </c>
      <c r="B839">
        <v>542361075</v>
      </c>
      <c r="C839" t="s">
        <v>293</v>
      </c>
      <c r="D839" t="s">
        <v>294</v>
      </c>
      <c r="E839">
        <v>260</v>
      </c>
      <c r="F839" t="s">
        <v>295</v>
      </c>
    </row>
    <row r="840" spans="1:6" x14ac:dyDescent="0.3">
      <c r="A840" s="700">
        <v>45831.709432870368</v>
      </c>
      <c r="B840">
        <v>542361075</v>
      </c>
      <c r="C840" t="s">
        <v>293</v>
      </c>
      <c r="D840" t="s">
        <v>294</v>
      </c>
      <c r="E840">
        <v>268</v>
      </c>
      <c r="F840" t="s">
        <v>295</v>
      </c>
    </row>
    <row r="841" spans="1:6" x14ac:dyDescent="0.3">
      <c r="A841" s="700">
        <v>45831.709305555552</v>
      </c>
      <c r="B841">
        <v>542361075</v>
      </c>
      <c r="C841" t="s">
        <v>293</v>
      </c>
      <c r="D841" t="s">
        <v>294</v>
      </c>
      <c r="E841">
        <v>256</v>
      </c>
      <c r="F841" t="s">
        <v>295</v>
      </c>
    </row>
    <row r="842" spans="1:6" x14ac:dyDescent="0.3">
      <c r="A842" s="700">
        <v>45831.709270833337</v>
      </c>
      <c r="B842">
        <v>542361075</v>
      </c>
      <c r="C842" t="s">
        <v>293</v>
      </c>
      <c r="D842" t="s">
        <v>294</v>
      </c>
      <c r="E842">
        <v>63</v>
      </c>
      <c r="F842" t="s">
        <v>295</v>
      </c>
    </row>
    <row r="843" spans="1:6" x14ac:dyDescent="0.3">
      <c r="A843" s="700">
        <v>45831.689745370371</v>
      </c>
      <c r="B843">
        <v>542361075</v>
      </c>
      <c r="C843" t="s">
        <v>293</v>
      </c>
      <c r="D843" t="s">
        <v>294</v>
      </c>
      <c r="E843">
        <v>145</v>
      </c>
      <c r="F843" t="s">
        <v>295</v>
      </c>
    </row>
    <row r="844" spans="1:6" x14ac:dyDescent="0.3">
      <c r="A844" s="700">
        <v>45831.68074074074</v>
      </c>
      <c r="B844">
        <v>542361075</v>
      </c>
      <c r="C844" t="s">
        <v>293</v>
      </c>
      <c r="D844" t="s">
        <v>294</v>
      </c>
      <c r="E844">
        <v>172</v>
      </c>
      <c r="F844" t="s">
        <v>295</v>
      </c>
    </row>
    <row r="845" spans="1:6" x14ac:dyDescent="0.3">
      <c r="A845" s="700">
        <v>45831.657453703701</v>
      </c>
      <c r="B845">
        <v>542361075</v>
      </c>
      <c r="C845" t="s">
        <v>293</v>
      </c>
      <c r="D845" t="s">
        <v>294</v>
      </c>
      <c r="E845">
        <v>51</v>
      </c>
      <c r="F845" t="s">
        <v>295</v>
      </c>
    </row>
    <row r="846" spans="1:6" x14ac:dyDescent="0.3">
      <c r="A846" s="700">
        <v>45831.654872685183</v>
      </c>
      <c r="B846">
        <v>542361075</v>
      </c>
      <c r="C846" t="s">
        <v>293</v>
      </c>
      <c r="D846" t="s">
        <v>294</v>
      </c>
      <c r="E846">
        <v>247</v>
      </c>
      <c r="F846" t="s">
        <v>295</v>
      </c>
    </row>
    <row r="847" spans="1:6" x14ac:dyDescent="0.3">
      <c r="A847" s="700">
        <v>45831.654421296298</v>
      </c>
      <c r="B847">
        <v>542361075</v>
      </c>
      <c r="C847" t="s">
        <v>293</v>
      </c>
      <c r="D847" t="s">
        <v>294</v>
      </c>
      <c r="E847">
        <v>19</v>
      </c>
      <c r="F847" t="s">
        <v>295</v>
      </c>
    </row>
    <row r="848" spans="1:6" x14ac:dyDescent="0.3">
      <c r="A848" s="700">
        <v>45831.654317129629</v>
      </c>
      <c r="B848">
        <v>542361075</v>
      </c>
      <c r="C848" t="s">
        <v>293</v>
      </c>
      <c r="F848" t="s">
        <v>296</v>
      </c>
    </row>
    <row r="849" spans="1:6" x14ac:dyDescent="0.3">
      <c r="A849" s="700">
        <v>45831.654247685183</v>
      </c>
      <c r="B849">
        <v>542361075</v>
      </c>
      <c r="C849" t="s">
        <v>293</v>
      </c>
      <c r="F849" t="s">
        <v>296</v>
      </c>
    </row>
    <row r="850" spans="1:6" x14ac:dyDescent="0.3">
      <c r="A850" s="700">
        <v>45831.65289351852</v>
      </c>
      <c r="B850">
        <v>542361075</v>
      </c>
      <c r="C850" t="s">
        <v>293</v>
      </c>
      <c r="D850" t="s">
        <v>294</v>
      </c>
      <c r="E850">
        <v>107</v>
      </c>
      <c r="F850" t="s">
        <v>295</v>
      </c>
    </row>
    <row r="851" spans="1:6" x14ac:dyDescent="0.3">
      <c r="A851" s="700">
        <v>45831.649178240739</v>
      </c>
      <c r="B851">
        <v>542361075</v>
      </c>
      <c r="C851" t="s">
        <v>293</v>
      </c>
      <c r="D851" t="s">
        <v>294</v>
      </c>
      <c r="E851">
        <v>158</v>
      </c>
      <c r="F851" t="s">
        <v>295</v>
      </c>
    </row>
    <row r="852" spans="1:6" x14ac:dyDescent="0.3">
      <c r="A852" s="700">
        <v>45831.648298611108</v>
      </c>
      <c r="B852">
        <v>542361075</v>
      </c>
      <c r="C852" t="s">
        <v>293</v>
      </c>
      <c r="D852" t="s">
        <v>294</v>
      </c>
      <c r="E852">
        <v>146</v>
      </c>
      <c r="F852" t="s">
        <v>295</v>
      </c>
    </row>
    <row r="853" spans="1:6" x14ac:dyDescent="0.3">
      <c r="A853" s="700">
        <v>45831.647129629629</v>
      </c>
      <c r="B853">
        <v>542361075</v>
      </c>
      <c r="C853" t="s">
        <v>293</v>
      </c>
      <c r="D853" t="s">
        <v>294</v>
      </c>
      <c r="E853">
        <v>70</v>
      </c>
      <c r="F853" t="s">
        <v>295</v>
      </c>
    </row>
    <row r="854" spans="1:6" x14ac:dyDescent="0.3">
      <c r="A854" s="700">
        <v>45831.64707175926</v>
      </c>
      <c r="B854">
        <v>542361075</v>
      </c>
      <c r="C854" t="s">
        <v>293</v>
      </c>
      <c r="D854" t="s">
        <v>294</v>
      </c>
      <c r="E854">
        <v>220</v>
      </c>
      <c r="F854" t="s">
        <v>295</v>
      </c>
    </row>
    <row r="855" spans="1:6" x14ac:dyDescent="0.3">
      <c r="A855" s="700">
        <v>45831.647037037037</v>
      </c>
      <c r="B855">
        <v>542361075</v>
      </c>
      <c r="C855" t="s">
        <v>293</v>
      </c>
      <c r="D855" t="s">
        <v>294</v>
      </c>
      <c r="E855">
        <v>141</v>
      </c>
      <c r="F855" t="s">
        <v>295</v>
      </c>
    </row>
    <row r="856" spans="1:6" x14ac:dyDescent="0.3">
      <c r="A856" s="700">
        <v>45831.646990740737</v>
      </c>
      <c r="B856">
        <v>542361075</v>
      </c>
      <c r="C856" t="s">
        <v>293</v>
      </c>
      <c r="D856" t="s">
        <v>294</v>
      </c>
      <c r="E856">
        <v>166</v>
      </c>
      <c r="F856" t="s">
        <v>295</v>
      </c>
    </row>
    <row r="857" spans="1:6" x14ac:dyDescent="0.3">
      <c r="A857" s="700">
        <v>45831.646620370368</v>
      </c>
      <c r="B857">
        <v>542361075</v>
      </c>
      <c r="C857" t="s">
        <v>293</v>
      </c>
      <c r="D857" t="s">
        <v>294</v>
      </c>
      <c r="E857">
        <v>226</v>
      </c>
      <c r="F857" t="s">
        <v>295</v>
      </c>
    </row>
    <row r="858" spans="1:6" x14ac:dyDescent="0.3">
      <c r="A858" s="700">
        <v>45831.646469907406</v>
      </c>
      <c r="B858">
        <v>542361075</v>
      </c>
      <c r="C858" t="s">
        <v>293</v>
      </c>
      <c r="D858" t="s">
        <v>294</v>
      </c>
      <c r="E858">
        <v>81</v>
      </c>
      <c r="F858" t="s">
        <v>295</v>
      </c>
    </row>
    <row r="859" spans="1:6" x14ac:dyDescent="0.3">
      <c r="A859" s="700">
        <v>45831.646354166667</v>
      </c>
      <c r="B859">
        <v>542361075</v>
      </c>
      <c r="C859" t="s">
        <v>293</v>
      </c>
      <c r="D859" t="s">
        <v>294</v>
      </c>
      <c r="E859">
        <v>262</v>
      </c>
      <c r="F859" t="s">
        <v>295</v>
      </c>
    </row>
    <row r="860" spans="1:6" x14ac:dyDescent="0.3">
      <c r="A860" s="700">
        <v>45831.646296296298</v>
      </c>
      <c r="B860">
        <v>542361075</v>
      </c>
      <c r="C860" t="s">
        <v>293</v>
      </c>
      <c r="D860" t="s">
        <v>294</v>
      </c>
      <c r="E860">
        <v>241</v>
      </c>
      <c r="F860" t="s">
        <v>295</v>
      </c>
    </row>
    <row r="861" spans="1:6" x14ac:dyDescent="0.3">
      <c r="A861" s="700">
        <v>45831.646249999998</v>
      </c>
      <c r="B861">
        <v>542361075</v>
      </c>
      <c r="C861" t="s">
        <v>293</v>
      </c>
      <c r="D861" t="s">
        <v>294</v>
      </c>
      <c r="E861">
        <v>73</v>
      </c>
      <c r="F861" t="s">
        <v>295</v>
      </c>
    </row>
    <row r="862" spans="1:6" x14ac:dyDescent="0.3">
      <c r="A862" s="700">
        <v>45831.644479166665</v>
      </c>
      <c r="B862">
        <v>542361075</v>
      </c>
      <c r="C862" t="s">
        <v>293</v>
      </c>
      <c r="D862" t="s">
        <v>294</v>
      </c>
      <c r="E862">
        <v>9</v>
      </c>
      <c r="F862" t="s">
        <v>295</v>
      </c>
    </row>
    <row r="863" spans="1:6" x14ac:dyDescent="0.3">
      <c r="A863" s="700">
        <v>45831.644108796296</v>
      </c>
      <c r="B863">
        <v>542361075</v>
      </c>
      <c r="C863" t="s">
        <v>293</v>
      </c>
      <c r="D863" t="s">
        <v>294</v>
      </c>
      <c r="E863">
        <v>271</v>
      </c>
      <c r="F863" t="s">
        <v>295</v>
      </c>
    </row>
    <row r="864" spans="1:6" x14ac:dyDescent="0.3">
      <c r="A864" s="700">
        <v>45831.643854166665</v>
      </c>
      <c r="B864">
        <v>542361075</v>
      </c>
      <c r="C864" t="s">
        <v>293</v>
      </c>
      <c r="D864" t="s">
        <v>294</v>
      </c>
      <c r="E864">
        <v>212</v>
      </c>
      <c r="F864" t="s">
        <v>295</v>
      </c>
    </row>
    <row r="865" spans="1:6" x14ac:dyDescent="0.3">
      <c r="A865" s="700">
        <v>45831.643784722219</v>
      </c>
      <c r="B865">
        <v>542361075</v>
      </c>
      <c r="C865" t="s">
        <v>293</v>
      </c>
      <c r="D865" t="s">
        <v>294</v>
      </c>
      <c r="E865">
        <v>12</v>
      </c>
      <c r="F865" t="s">
        <v>295</v>
      </c>
    </row>
    <row r="866" spans="1:6" x14ac:dyDescent="0.3">
      <c r="A866" s="700">
        <v>45831.643726851849</v>
      </c>
      <c r="B866">
        <v>542361075</v>
      </c>
      <c r="C866" t="s">
        <v>293</v>
      </c>
      <c r="D866" t="s">
        <v>294</v>
      </c>
      <c r="E866">
        <v>169</v>
      </c>
      <c r="F866" t="s">
        <v>295</v>
      </c>
    </row>
    <row r="867" spans="1:6" x14ac:dyDescent="0.3">
      <c r="A867" s="700">
        <v>45831.639884259261</v>
      </c>
      <c r="B867">
        <v>542361075</v>
      </c>
      <c r="C867" t="s">
        <v>293</v>
      </c>
      <c r="D867" t="s">
        <v>294</v>
      </c>
      <c r="E867">
        <v>264</v>
      </c>
      <c r="F867" t="s">
        <v>295</v>
      </c>
    </row>
    <row r="868" spans="1:6" x14ac:dyDescent="0.3">
      <c r="A868" s="700">
        <v>45831.440729166665</v>
      </c>
      <c r="B868">
        <v>542361075</v>
      </c>
      <c r="C868" t="s">
        <v>293</v>
      </c>
      <c r="D868" t="s">
        <v>294</v>
      </c>
      <c r="E868">
        <v>146</v>
      </c>
      <c r="F868" t="s">
        <v>295</v>
      </c>
    </row>
    <row r="869" spans="1:6" x14ac:dyDescent="0.3">
      <c r="A869" s="700">
        <v>45831.439618055556</v>
      </c>
      <c r="B869">
        <v>542361075</v>
      </c>
      <c r="C869" t="s">
        <v>293</v>
      </c>
      <c r="D869" t="s">
        <v>294</v>
      </c>
      <c r="E869">
        <v>95</v>
      </c>
      <c r="F869" t="s">
        <v>295</v>
      </c>
    </row>
    <row r="870" spans="1:6" x14ac:dyDescent="0.3">
      <c r="A870" s="700">
        <v>45831.436736111114</v>
      </c>
      <c r="B870">
        <v>542361075</v>
      </c>
      <c r="C870" t="s">
        <v>293</v>
      </c>
      <c r="F870" t="s">
        <v>299</v>
      </c>
    </row>
    <row r="871" spans="1:6" x14ac:dyDescent="0.3">
      <c r="A871" s="700">
        <v>45831.436041666668</v>
      </c>
      <c r="B871">
        <v>542361075</v>
      </c>
      <c r="C871" t="s">
        <v>293</v>
      </c>
      <c r="F871" t="s">
        <v>298</v>
      </c>
    </row>
    <row r="872" spans="1:6" x14ac:dyDescent="0.3">
      <c r="A872" s="700">
        <v>45831.419918981483</v>
      </c>
      <c r="B872">
        <v>542361075</v>
      </c>
      <c r="C872" t="s">
        <v>293</v>
      </c>
      <c r="D872" t="s">
        <v>294</v>
      </c>
      <c r="E872">
        <v>146</v>
      </c>
      <c r="F872" t="s">
        <v>295</v>
      </c>
    </row>
    <row r="873" spans="1:6" x14ac:dyDescent="0.3">
      <c r="A873" s="700">
        <v>45831.418796296297</v>
      </c>
      <c r="B873">
        <v>542361075</v>
      </c>
      <c r="C873" t="s">
        <v>293</v>
      </c>
      <c r="D873" t="s">
        <v>294</v>
      </c>
      <c r="E873">
        <v>95</v>
      </c>
      <c r="F873" t="s">
        <v>295</v>
      </c>
    </row>
    <row r="874" spans="1:6" x14ac:dyDescent="0.3">
      <c r="A874" s="700">
        <v>45831.409490740742</v>
      </c>
      <c r="B874">
        <v>542361075</v>
      </c>
      <c r="C874" t="s">
        <v>293</v>
      </c>
      <c r="F874" t="s">
        <v>299</v>
      </c>
    </row>
    <row r="875" spans="1:6" x14ac:dyDescent="0.3">
      <c r="A875" s="700">
        <v>45831.408680555556</v>
      </c>
      <c r="B875">
        <v>542361075</v>
      </c>
      <c r="C875" t="s">
        <v>293</v>
      </c>
      <c r="F875" t="s">
        <v>298</v>
      </c>
    </row>
    <row r="876" spans="1:6" x14ac:dyDescent="0.3">
      <c r="A876" s="700">
        <v>45831.344652777778</v>
      </c>
      <c r="B876">
        <v>542361075</v>
      </c>
      <c r="C876" t="s">
        <v>293</v>
      </c>
      <c r="D876" t="s">
        <v>294</v>
      </c>
      <c r="E876">
        <v>97</v>
      </c>
      <c r="F876" t="s">
        <v>295</v>
      </c>
    </row>
    <row r="877" spans="1:6" x14ac:dyDescent="0.3">
      <c r="A877" s="700">
        <v>45831.337604166663</v>
      </c>
      <c r="B877">
        <v>542361075</v>
      </c>
      <c r="C877" t="s">
        <v>293</v>
      </c>
      <c r="D877" t="s">
        <v>294</v>
      </c>
      <c r="E877">
        <v>35</v>
      </c>
      <c r="F877" t="s">
        <v>295</v>
      </c>
    </row>
    <row r="878" spans="1:6" x14ac:dyDescent="0.3">
      <c r="A878" s="700">
        <v>45831.337581018517</v>
      </c>
      <c r="B878">
        <v>542361075</v>
      </c>
      <c r="C878" t="s">
        <v>293</v>
      </c>
      <c r="D878" t="s">
        <v>294</v>
      </c>
      <c r="E878">
        <v>35</v>
      </c>
      <c r="F878" t="s">
        <v>295</v>
      </c>
    </row>
    <row r="879" spans="1:6" x14ac:dyDescent="0.3">
      <c r="A879" s="700">
        <v>45831.337523148148</v>
      </c>
      <c r="B879">
        <v>542361075</v>
      </c>
      <c r="C879" t="s">
        <v>293</v>
      </c>
      <c r="D879" t="s">
        <v>294</v>
      </c>
      <c r="E879">
        <v>34</v>
      </c>
      <c r="F879" t="s">
        <v>295</v>
      </c>
    </row>
    <row r="880" spans="1:6" x14ac:dyDescent="0.3">
      <c r="A880" s="700">
        <v>45831.328587962962</v>
      </c>
      <c r="B880">
        <v>542361075</v>
      </c>
      <c r="C880" t="s">
        <v>293</v>
      </c>
      <c r="F880" t="s">
        <v>300</v>
      </c>
    </row>
    <row r="881" spans="1:6" x14ac:dyDescent="0.3">
      <c r="A881" s="700">
        <v>45831.32849537037</v>
      </c>
      <c r="B881">
        <v>542361075</v>
      </c>
      <c r="C881" t="s">
        <v>293</v>
      </c>
      <c r="F881" t="s">
        <v>300</v>
      </c>
    </row>
    <row r="882" spans="1:6" x14ac:dyDescent="0.3">
      <c r="A882" s="700">
        <v>45831.328136574077</v>
      </c>
      <c r="B882">
        <v>542361075</v>
      </c>
      <c r="C882" t="s">
        <v>293</v>
      </c>
      <c r="F882" t="s">
        <v>299</v>
      </c>
    </row>
    <row r="883" spans="1:6" x14ac:dyDescent="0.3">
      <c r="A883" s="700">
        <v>45831.325023148151</v>
      </c>
      <c r="B883">
        <v>542361075</v>
      </c>
      <c r="C883" t="s">
        <v>293</v>
      </c>
      <c r="D883" t="s">
        <v>294</v>
      </c>
      <c r="E883">
        <v>41</v>
      </c>
      <c r="F883" t="s">
        <v>295</v>
      </c>
    </row>
    <row r="884" spans="1:6" x14ac:dyDescent="0.3">
      <c r="A884" s="700">
        <v>45831.324988425928</v>
      </c>
      <c r="B884">
        <v>542361075</v>
      </c>
      <c r="C884" t="s">
        <v>293</v>
      </c>
      <c r="D884" t="s">
        <v>294</v>
      </c>
      <c r="E884">
        <v>268</v>
      </c>
      <c r="F884" t="s">
        <v>295</v>
      </c>
    </row>
    <row r="885" spans="1:6" x14ac:dyDescent="0.3">
      <c r="A885" s="700">
        <v>45831.324953703705</v>
      </c>
      <c r="B885">
        <v>542361075</v>
      </c>
      <c r="C885" t="s">
        <v>293</v>
      </c>
      <c r="D885" t="s">
        <v>294</v>
      </c>
      <c r="E885">
        <v>256</v>
      </c>
      <c r="F885" t="s">
        <v>295</v>
      </c>
    </row>
    <row r="886" spans="1:6" x14ac:dyDescent="0.3">
      <c r="A886" s="700">
        <v>45831.324918981481</v>
      </c>
      <c r="B886">
        <v>542361075</v>
      </c>
      <c r="C886" t="s">
        <v>293</v>
      </c>
      <c r="D886" t="s">
        <v>294</v>
      </c>
      <c r="E886">
        <v>260</v>
      </c>
      <c r="F886" t="s">
        <v>295</v>
      </c>
    </row>
    <row r="887" spans="1:6" x14ac:dyDescent="0.3">
      <c r="A887" s="700">
        <v>45831.32</v>
      </c>
      <c r="B887">
        <v>542361075</v>
      </c>
      <c r="C887" t="s">
        <v>293</v>
      </c>
      <c r="D887" t="s">
        <v>294</v>
      </c>
      <c r="E887">
        <v>19</v>
      </c>
      <c r="F887" t="s">
        <v>295</v>
      </c>
    </row>
    <row r="888" spans="1:6" x14ac:dyDescent="0.3">
      <c r="A888" s="700">
        <v>45831.316365740742</v>
      </c>
      <c r="B888">
        <v>542361075</v>
      </c>
      <c r="C888" t="s">
        <v>293</v>
      </c>
      <c r="D888" t="s">
        <v>294</v>
      </c>
      <c r="E888">
        <v>94</v>
      </c>
      <c r="F888" t="s">
        <v>295</v>
      </c>
    </row>
    <row r="889" spans="1:6" x14ac:dyDescent="0.3">
      <c r="A889" s="700">
        <v>45831.315717592595</v>
      </c>
      <c r="B889">
        <v>542361075</v>
      </c>
      <c r="C889" t="s">
        <v>293</v>
      </c>
      <c r="D889" t="s">
        <v>294</v>
      </c>
      <c r="E889">
        <v>2</v>
      </c>
      <c r="F889" t="s">
        <v>295</v>
      </c>
    </row>
    <row r="890" spans="1:6" x14ac:dyDescent="0.3">
      <c r="A890" s="700">
        <v>45831.315694444442</v>
      </c>
      <c r="B890">
        <v>542361075</v>
      </c>
      <c r="C890" t="s">
        <v>293</v>
      </c>
      <c r="D890" t="s">
        <v>294</v>
      </c>
      <c r="E890">
        <v>95</v>
      </c>
      <c r="F890" t="s">
        <v>295</v>
      </c>
    </row>
    <row r="891" spans="1:6" x14ac:dyDescent="0.3">
      <c r="A891" s="700">
        <v>45831.314166666663</v>
      </c>
      <c r="B891">
        <v>542361075</v>
      </c>
      <c r="C891" t="s">
        <v>293</v>
      </c>
      <c r="D891" t="s">
        <v>294</v>
      </c>
      <c r="E891">
        <v>6</v>
      </c>
      <c r="F891" t="s">
        <v>295</v>
      </c>
    </row>
    <row r="892" spans="1:6" x14ac:dyDescent="0.3">
      <c r="A892" s="700">
        <v>45831.313981481479</v>
      </c>
      <c r="B892">
        <v>542361075</v>
      </c>
      <c r="C892" t="s">
        <v>293</v>
      </c>
      <c r="D892" t="s">
        <v>294</v>
      </c>
      <c r="E892">
        <v>145</v>
      </c>
      <c r="F892" t="s">
        <v>295</v>
      </c>
    </row>
    <row r="893" spans="1:6" x14ac:dyDescent="0.3">
      <c r="A893" s="700">
        <v>45831.313009259262</v>
      </c>
      <c r="B893">
        <v>542361075</v>
      </c>
      <c r="C893" t="s">
        <v>293</v>
      </c>
      <c r="D893" t="s">
        <v>294</v>
      </c>
      <c r="E893">
        <v>63</v>
      </c>
      <c r="F893" t="s">
        <v>295</v>
      </c>
    </row>
    <row r="894" spans="1:6" x14ac:dyDescent="0.3">
      <c r="A894" s="700">
        <v>45831.311493055553</v>
      </c>
      <c r="B894">
        <v>542361075</v>
      </c>
      <c r="C894" t="s">
        <v>293</v>
      </c>
      <c r="D894" t="s">
        <v>294</v>
      </c>
      <c r="E894">
        <v>220</v>
      </c>
      <c r="F894" t="s">
        <v>295</v>
      </c>
    </row>
    <row r="895" spans="1:6" x14ac:dyDescent="0.3">
      <c r="A895" s="700">
        <v>45831.310324074075</v>
      </c>
      <c r="B895">
        <v>542361075</v>
      </c>
      <c r="C895" t="s">
        <v>293</v>
      </c>
      <c r="D895" t="s">
        <v>294</v>
      </c>
      <c r="E895">
        <v>89</v>
      </c>
      <c r="F895" t="s">
        <v>295</v>
      </c>
    </row>
    <row r="896" spans="1:6" x14ac:dyDescent="0.3">
      <c r="A896" s="700">
        <v>45831.310046296298</v>
      </c>
      <c r="B896">
        <v>542361075</v>
      </c>
      <c r="C896" t="s">
        <v>293</v>
      </c>
      <c r="D896" t="s">
        <v>294</v>
      </c>
      <c r="E896">
        <v>141</v>
      </c>
      <c r="F896" t="s">
        <v>295</v>
      </c>
    </row>
    <row r="897" spans="1:6" x14ac:dyDescent="0.3">
      <c r="A897" s="700">
        <v>45831.31</v>
      </c>
      <c r="B897">
        <v>542361075</v>
      </c>
      <c r="C897" t="s">
        <v>293</v>
      </c>
      <c r="D897" t="s">
        <v>294</v>
      </c>
      <c r="E897">
        <v>166</v>
      </c>
      <c r="F897" t="s">
        <v>295</v>
      </c>
    </row>
    <row r="898" spans="1:6" x14ac:dyDescent="0.3">
      <c r="A898" s="700">
        <v>45831.303217592591</v>
      </c>
      <c r="B898">
        <v>542361075</v>
      </c>
      <c r="C898" t="s">
        <v>293</v>
      </c>
      <c r="D898" t="s">
        <v>294</v>
      </c>
      <c r="E898">
        <v>262</v>
      </c>
      <c r="F898" t="s">
        <v>295</v>
      </c>
    </row>
    <row r="899" spans="1:6" x14ac:dyDescent="0.3">
      <c r="A899" s="700">
        <v>45831.303159722222</v>
      </c>
      <c r="B899">
        <v>542361075</v>
      </c>
      <c r="C899" t="s">
        <v>293</v>
      </c>
      <c r="D899" t="s">
        <v>294</v>
      </c>
      <c r="E899">
        <v>230</v>
      </c>
      <c r="F899" t="s">
        <v>295</v>
      </c>
    </row>
    <row r="900" spans="1:6" x14ac:dyDescent="0.3">
      <c r="A900" s="700">
        <v>45831.303090277775</v>
      </c>
      <c r="B900">
        <v>542361075</v>
      </c>
      <c r="C900" t="s">
        <v>293</v>
      </c>
      <c r="D900" t="s">
        <v>294</v>
      </c>
      <c r="E900">
        <v>239</v>
      </c>
      <c r="F900" t="s">
        <v>295</v>
      </c>
    </row>
    <row r="901" spans="1:6" x14ac:dyDescent="0.3">
      <c r="A901" s="700">
        <v>45831.302777777775</v>
      </c>
      <c r="B901">
        <v>542361075</v>
      </c>
      <c r="C901" t="s">
        <v>293</v>
      </c>
      <c r="D901" t="s">
        <v>294</v>
      </c>
      <c r="E901">
        <v>146</v>
      </c>
      <c r="F901" t="s">
        <v>295</v>
      </c>
    </row>
    <row r="902" spans="1:6" x14ac:dyDescent="0.3">
      <c r="A902" s="700">
        <v>45831.298067129632</v>
      </c>
      <c r="B902">
        <v>542361075</v>
      </c>
      <c r="C902" t="s">
        <v>293</v>
      </c>
      <c r="D902" t="s">
        <v>294</v>
      </c>
      <c r="E902">
        <v>226</v>
      </c>
      <c r="F902" t="s">
        <v>295</v>
      </c>
    </row>
    <row r="903" spans="1:6" x14ac:dyDescent="0.3">
      <c r="A903" s="700">
        <v>45831.293842592589</v>
      </c>
      <c r="B903">
        <v>542361075</v>
      </c>
      <c r="C903" t="s">
        <v>293</v>
      </c>
      <c r="D903" t="s">
        <v>294</v>
      </c>
      <c r="E903">
        <v>241</v>
      </c>
      <c r="F903" t="s">
        <v>295</v>
      </c>
    </row>
    <row r="904" spans="1:6" x14ac:dyDescent="0.3">
      <c r="A904" s="700">
        <v>45831.288738425923</v>
      </c>
      <c r="B904">
        <v>542361075</v>
      </c>
      <c r="C904" t="s">
        <v>293</v>
      </c>
      <c r="D904" t="s">
        <v>294</v>
      </c>
      <c r="E904">
        <v>73</v>
      </c>
      <c r="F904" t="s">
        <v>295</v>
      </c>
    </row>
    <row r="905" spans="1:6" x14ac:dyDescent="0.3">
      <c r="A905" s="700">
        <v>45831.284884259258</v>
      </c>
      <c r="B905">
        <v>542361075</v>
      </c>
      <c r="C905" t="s">
        <v>293</v>
      </c>
      <c r="D905" t="s">
        <v>294</v>
      </c>
      <c r="E905">
        <v>172</v>
      </c>
      <c r="F905" t="s">
        <v>295</v>
      </c>
    </row>
    <row r="906" spans="1:6" x14ac:dyDescent="0.3">
      <c r="A906" s="700">
        <v>45831.269050925926</v>
      </c>
      <c r="B906">
        <v>542361075</v>
      </c>
      <c r="C906" t="s">
        <v>293</v>
      </c>
      <c r="D906" t="s">
        <v>294</v>
      </c>
      <c r="E906">
        <v>51</v>
      </c>
      <c r="F906" t="s">
        <v>295</v>
      </c>
    </row>
  </sheetData>
  <autoFilter ref="A1:F906"/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NOMINA TEJIDO </vt:lpstr>
      <vt:lpstr>NOM</vt:lpstr>
      <vt:lpstr>LISTAS</vt:lpstr>
      <vt:lpstr>resumen rh</vt:lpstr>
      <vt:lpstr>CHECADAS</vt:lpstr>
      <vt:lpstr>REPORTE</vt:lpstr>
      <vt:lpstr>'NOMINA TEJIDO 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AZUCENA MEDINA</dc:creator>
  <cp:lastModifiedBy>RH</cp:lastModifiedBy>
  <cp:lastPrinted>2025-06-30T18:08:58Z</cp:lastPrinted>
  <dcterms:created xsi:type="dcterms:W3CDTF">2023-03-13T22:40:09Z</dcterms:created>
  <dcterms:modified xsi:type="dcterms:W3CDTF">2025-07-04T15:03:50Z</dcterms:modified>
</cp:coreProperties>
</file>