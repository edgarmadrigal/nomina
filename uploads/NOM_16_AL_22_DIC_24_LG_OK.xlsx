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H\Desktop\nomina\"/>
    </mc:Choice>
  </mc:AlternateContent>
  <bookViews>
    <workbookView xWindow="0" yWindow="0" windowWidth="23040" windowHeight="9096" firstSheet="1" activeTab="1"/>
  </bookViews>
  <sheets>
    <sheet name="NOMINA TEJIDO " sheetId="10" state="hidden" r:id="rId1"/>
    <sheet name="nom" sheetId="23" r:id="rId2"/>
    <sheet name="Lista " sheetId="22" r:id="rId3"/>
    <sheet name="resumen rh" sheetId="24" r:id="rId4"/>
    <sheet name="CHECADAS" sheetId="27" r:id="rId5"/>
    <sheet name="REPORTE" sheetId="16" r:id="rId6"/>
  </sheets>
  <definedNames>
    <definedName name="_xlnm._FilterDatabase" localSheetId="1" hidden="1">nom!$B$267:$X$281</definedName>
    <definedName name="_xlnm._FilterDatabase" localSheetId="0" hidden="1">'NOMINA TEJIDO '!$A$3:$GG$260</definedName>
    <definedName name="_xlnm.Print_Area" localSheetId="0">'NOMINA TEJIDO '!$B$1:$AY$260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3" l="1"/>
  <c r="F300" i="23" l="1"/>
  <c r="X282" i="23"/>
  <c r="X251" i="23"/>
  <c r="F236" i="23"/>
  <c r="F237" i="23"/>
  <c r="F235" i="23"/>
  <c r="F233" i="23"/>
  <c r="W191" i="23"/>
  <c r="X166" i="23"/>
  <c r="E121" i="23"/>
  <c r="E90" i="23"/>
  <c r="V33" i="23"/>
  <c r="V34" i="23"/>
  <c r="V35" i="23"/>
  <c r="V36" i="23"/>
  <c r="V32" i="23"/>
  <c r="G28" i="23"/>
  <c r="S28" i="23"/>
  <c r="T28" i="23"/>
  <c r="U28" i="23"/>
  <c r="V28" i="23"/>
  <c r="W28" i="23"/>
  <c r="R28" i="23"/>
  <c r="I28" i="23"/>
  <c r="K28" i="23"/>
  <c r="M28" i="23"/>
  <c r="O28" i="23"/>
  <c r="S90" i="23"/>
  <c r="T90" i="23"/>
  <c r="U90" i="23"/>
  <c r="V90" i="23"/>
  <c r="W90" i="23"/>
  <c r="R90" i="23"/>
  <c r="G90" i="23"/>
  <c r="I90" i="23"/>
  <c r="D95" i="23"/>
  <c r="K90" i="23"/>
  <c r="M90" i="23"/>
  <c r="W279" i="23" l="1"/>
  <c r="X51" i="23" l="1"/>
  <c r="F299" i="23"/>
  <c r="T251" i="23"/>
  <c r="S251" i="23"/>
  <c r="R251" i="23"/>
  <c r="R223" i="23"/>
  <c r="T223" i="23"/>
  <c r="U223" i="23"/>
  <c r="V223" i="23"/>
  <c r="W223" i="23"/>
  <c r="S223" i="23"/>
  <c r="D227" i="23"/>
  <c r="D230" i="23"/>
  <c r="D228" i="23"/>
  <c r="E223" i="23"/>
  <c r="G223" i="23"/>
  <c r="I223" i="23"/>
  <c r="K223" i="23"/>
  <c r="M223" i="23"/>
  <c r="O223" i="23"/>
  <c r="D169" i="23"/>
  <c r="R166" i="23"/>
  <c r="F98" i="23"/>
  <c r="D33" i="23"/>
  <c r="X141" i="23"/>
  <c r="S141" i="23"/>
  <c r="T141" i="23"/>
  <c r="U141" i="23"/>
  <c r="V141" i="23"/>
  <c r="W141" i="23"/>
  <c r="R141" i="23"/>
  <c r="D144" i="23"/>
  <c r="F51" i="23"/>
  <c r="G51" i="23"/>
  <c r="H51" i="23"/>
  <c r="I51" i="23"/>
  <c r="J51" i="23"/>
  <c r="K51" i="23"/>
  <c r="L51" i="23"/>
  <c r="M51" i="23"/>
  <c r="N51" i="23"/>
  <c r="O51" i="23"/>
  <c r="E51" i="23"/>
  <c r="T51" i="23"/>
  <c r="U51" i="23"/>
  <c r="V51" i="23"/>
  <c r="W51" i="23"/>
  <c r="S51" i="23"/>
  <c r="R51" i="23"/>
  <c r="X216" i="23" l="1"/>
  <c r="X223" i="23" s="1"/>
  <c r="O191" i="23" l="1"/>
  <c r="D57" i="23"/>
  <c r="F100" i="23" l="1"/>
  <c r="F99" i="23"/>
  <c r="D94" i="23"/>
  <c r="D96" i="23"/>
  <c r="X72" i="23"/>
  <c r="X10" i="23"/>
  <c r="X75" i="23"/>
  <c r="X76" i="23"/>
  <c r="X78" i="23"/>
  <c r="X80" i="23"/>
  <c r="X81" i="23"/>
  <c r="X82" i="23"/>
  <c r="X83" i="23"/>
  <c r="X84" i="23"/>
  <c r="X22" i="23"/>
  <c r="X86" i="23"/>
  <c r="X88" i="23"/>
  <c r="F101" i="23"/>
  <c r="T282" i="23"/>
  <c r="U282" i="23"/>
  <c r="V282" i="23"/>
  <c r="W282" i="23"/>
  <c r="S282" i="23"/>
  <c r="M282" i="23"/>
  <c r="G282" i="23"/>
  <c r="I282" i="23"/>
  <c r="K282" i="23"/>
  <c r="E282" i="23"/>
  <c r="X215" i="23"/>
  <c r="X73" i="23"/>
  <c r="X74" i="23"/>
  <c r="X12" i="23"/>
  <c r="X247" i="23"/>
  <c r="X16" i="23"/>
  <c r="X77" i="23"/>
  <c r="X79" i="23"/>
  <c r="X20" i="23"/>
  <c r="X21" i="23"/>
  <c r="X222" i="23"/>
  <c r="X87" i="23"/>
  <c r="X90" i="23" l="1"/>
  <c r="F290" i="23"/>
  <c r="F96" i="23" l="1"/>
  <c r="X281" i="23" l="1"/>
  <c r="V59" i="23"/>
  <c r="D34" i="23"/>
  <c r="D125" i="23" l="1"/>
  <c r="U121" i="23"/>
  <c r="F131" i="23" s="1"/>
  <c r="T121" i="23"/>
  <c r="F130" i="23" s="1"/>
  <c r="S121" i="23"/>
  <c r="F39" i="23"/>
  <c r="F40" i="23"/>
  <c r="D294" i="23" l="1"/>
  <c r="F37" i="23"/>
  <c r="F38" i="23"/>
  <c r="B141" i="22" l="1"/>
  <c r="B132" i="22"/>
  <c r="B108" i="22"/>
  <c r="B120" i="22" s="1"/>
  <c r="B97" i="22"/>
  <c r="B71" i="22"/>
  <c r="B87" i="22" s="1"/>
  <c r="B47" i="22"/>
  <c r="B24" i="22"/>
  <c r="F297" i="23" l="1"/>
  <c r="X7" i="23" l="1"/>
  <c r="X8" i="23"/>
  <c r="X9" i="23"/>
  <c r="X11" i="23"/>
  <c r="X13" i="23"/>
  <c r="X14" i="23"/>
  <c r="X15" i="23"/>
  <c r="X17" i="23"/>
  <c r="X18" i="23"/>
  <c r="X19" i="23"/>
  <c r="X23" i="23"/>
  <c r="X24" i="23"/>
  <c r="X25" i="23"/>
  <c r="B36" i="23"/>
  <c r="X276" i="23" l="1"/>
  <c r="D289" i="23" l="1"/>
  <c r="F289" i="23" s="1"/>
  <c r="X271" i="23"/>
  <c r="X6" i="23" l="1"/>
  <c r="F232" i="23" l="1"/>
  <c r="E191" i="23"/>
  <c r="X189" i="23" l="1"/>
  <c r="X185" i="23"/>
  <c r="V231" i="23" l="1"/>
  <c r="V230" i="23"/>
  <c r="D194" i="23"/>
  <c r="F34" i="23" l="1"/>
  <c r="F33" i="23"/>
  <c r="X220" i="23" l="1"/>
  <c r="X221" i="23"/>
  <c r="V196" i="23" l="1"/>
  <c r="V197" i="23"/>
  <c r="V198" i="23"/>
  <c r="V195" i="23"/>
  <c r="X272" i="23" l="1"/>
  <c r="X219" i="23"/>
  <c r="X188" i="23"/>
  <c r="V256" i="23" l="1"/>
  <c r="V257" i="23"/>
  <c r="V258" i="23"/>
  <c r="V255" i="23"/>
  <c r="V229" i="23"/>
  <c r="V228" i="23"/>
  <c r="X218" i="23"/>
  <c r="X217" i="23"/>
  <c r="F234" i="23"/>
  <c r="D197" i="23"/>
  <c r="U166" i="23"/>
  <c r="E166" i="23"/>
  <c r="G121" i="23"/>
  <c r="D126" i="23"/>
  <c r="X248" i="23" l="1"/>
  <c r="X117" i="23"/>
  <c r="D195" i="23" l="1"/>
  <c r="K121" i="23" l="1"/>
  <c r="E251" i="23"/>
  <c r="F298" i="23" l="1"/>
  <c r="K36" i="23" l="1"/>
  <c r="C7" i="24" s="1"/>
  <c r="X270" i="23" l="1"/>
  <c r="V170" i="23" l="1"/>
  <c r="V126" i="23"/>
  <c r="V127" i="23"/>
  <c r="V128" i="23"/>
  <c r="V125" i="23"/>
  <c r="V147" i="23"/>
  <c r="V148" i="23"/>
  <c r="V149" i="23"/>
  <c r="V146" i="23"/>
  <c r="F57" i="23"/>
  <c r="B59" i="23"/>
  <c r="V57" i="23"/>
  <c r="V58" i="23"/>
  <c r="V56" i="23"/>
  <c r="X277" i="23" l="1"/>
  <c r="D55" i="23" l="1"/>
  <c r="G191" i="23" l="1"/>
  <c r="I191" i="23"/>
  <c r="K191" i="23"/>
  <c r="M191" i="23"/>
  <c r="T191" i="23"/>
  <c r="U191" i="23"/>
  <c r="V191" i="23"/>
  <c r="F202" i="23"/>
  <c r="S191" i="23"/>
  <c r="F199" i="23" s="1"/>
  <c r="X26" i="23"/>
  <c r="X28" i="23" s="1"/>
  <c r="X164" i="23" l="1"/>
  <c r="D124" i="23"/>
  <c r="T298" i="23"/>
  <c r="V95" i="23"/>
  <c r="V96" i="23"/>
  <c r="V97" i="23"/>
  <c r="V94" i="23"/>
  <c r="X273" i="23" l="1"/>
  <c r="X274" i="23"/>
  <c r="X275" i="23"/>
  <c r="X278" i="23"/>
  <c r="X279" i="23"/>
  <c r="X280" i="23"/>
  <c r="S166" i="23"/>
  <c r="T166" i="23"/>
  <c r="V171" i="23"/>
  <c r="V172" i="23"/>
  <c r="V173" i="23"/>
  <c r="F149" i="23"/>
  <c r="V121" i="23"/>
  <c r="W121" i="23"/>
  <c r="F129" i="23" s="1"/>
  <c r="F128" i="23"/>
  <c r="G251" i="23"/>
  <c r="I251" i="23"/>
  <c r="K251" i="23"/>
  <c r="M251" i="23"/>
  <c r="V251" i="23"/>
  <c r="W251" i="23"/>
  <c r="F262" i="23" s="1"/>
  <c r="I121" i="23"/>
  <c r="M121" i="23"/>
  <c r="D257" i="23" l="1"/>
  <c r="A21" i="23" l="1"/>
  <c r="V166" i="23" l="1"/>
  <c r="W166" i="23"/>
  <c r="F176" i="23" s="1"/>
  <c r="X161" i="23"/>
  <c r="X249" i="23"/>
  <c r="X250" i="23"/>
  <c r="X186" i="23"/>
  <c r="X190" i="23"/>
  <c r="X162" i="23"/>
  <c r="X163" i="23"/>
  <c r="X165" i="23"/>
  <c r="X115" i="23"/>
  <c r="X116" i="23"/>
  <c r="X187" i="23"/>
  <c r="X118" i="23"/>
  <c r="X119" i="23"/>
  <c r="X120" i="23"/>
  <c r="X114" i="23"/>
  <c r="X121" i="23" l="1"/>
  <c r="X191" i="23"/>
  <c r="G166" i="23" l="1"/>
  <c r="I166" i="23"/>
  <c r="K166" i="23"/>
  <c r="M166" i="23"/>
  <c r="O166" i="23"/>
  <c r="U36" i="23" l="1"/>
  <c r="M7" i="24" s="1"/>
  <c r="S36" i="23"/>
  <c r="D254" i="23" l="1"/>
  <c r="D293" i="23" l="1"/>
  <c r="B314" i="23"/>
  <c r="F313" i="23"/>
  <c r="O309" i="23"/>
  <c r="X308" i="23"/>
  <c r="X309" i="23" l="1"/>
  <c r="G309" i="23"/>
  <c r="I309" i="23"/>
  <c r="K309" i="23"/>
  <c r="M309" i="23"/>
  <c r="E309" i="23"/>
  <c r="F169" i="23" l="1"/>
  <c r="W287" i="23" l="1"/>
  <c r="F173" i="23" l="1"/>
  <c r="K98" i="23"/>
  <c r="F94" i="23"/>
  <c r="D32" i="23"/>
  <c r="D31" i="23"/>
  <c r="F31" i="23" s="1"/>
  <c r="F200" i="23" l="1"/>
  <c r="F145" i="23"/>
  <c r="F93" i="23" l="1"/>
  <c r="U246" i="23" l="1"/>
  <c r="X246" i="23" l="1"/>
  <c r="U251" i="23"/>
  <c r="D287" i="23"/>
  <c r="D255" i="23"/>
  <c r="U232" i="23"/>
  <c r="M11" i="24" s="1"/>
  <c r="D170" i="23"/>
  <c r="F126" i="23"/>
  <c r="D146" i="23"/>
  <c r="F175" i="23"/>
  <c r="F95" i="23"/>
  <c r="S259" i="23" l="1"/>
  <c r="F144" i="23" l="1"/>
  <c r="L298" i="23" l="1"/>
  <c r="M36" i="23"/>
  <c r="O36" i="23"/>
  <c r="Q36" i="23"/>
  <c r="I7" i="24" s="1"/>
  <c r="K7" i="24"/>
  <c r="E7" i="24" l="1"/>
  <c r="G7" i="24"/>
  <c r="A7" i="24" l="1"/>
  <c r="D291" i="23"/>
  <c r="F291" i="23" s="1"/>
  <c r="W288" i="23"/>
  <c r="W289" i="23"/>
  <c r="W290" i="23"/>
  <c r="W291" i="23"/>
  <c r="W292" i="23"/>
  <c r="W293" i="23"/>
  <c r="W294" i="23"/>
  <c r="W295" i="23"/>
  <c r="W296" i="23"/>
  <c r="W297" i="23"/>
  <c r="B242" i="23" l="1"/>
  <c r="F228" i="23" l="1"/>
  <c r="F293" i="23"/>
  <c r="F254" i="23" l="1"/>
  <c r="A277" i="23" l="1"/>
  <c r="F56" i="23"/>
  <c r="F197" i="23" l="1"/>
  <c r="F194" i="23"/>
  <c r="A73" i="23" l="1"/>
  <c r="A8" i="23"/>
  <c r="F285" i="23" l="1"/>
  <c r="F286" i="23"/>
  <c r="F287" i="23"/>
  <c r="F288" i="23"/>
  <c r="F292" i="23"/>
  <c r="F294" i="23"/>
  <c r="B296" i="23"/>
  <c r="F296" i="23" l="1"/>
  <c r="F302" i="23" s="1"/>
  <c r="X284" i="23" s="1"/>
  <c r="F230" i="23"/>
  <c r="F227" i="23"/>
  <c r="F170" i="23"/>
  <c r="F231" i="23" l="1"/>
  <c r="F239" i="23" s="1"/>
  <c r="X225" i="23" s="1"/>
  <c r="C9" i="24"/>
  <c r="K16" i="24" l="1"/>
  <c r="R298" i="23"/>
  <c r="I16" i="24" s="1"/>
  <c r="P298" i="23"/>
  <c r="G16" i="24" s="1"/>
  <c r="N298" i="23"/>
  <c r="C16" i="24"/>
  <c r="W298" i="23" l="1"/>
  <c r="E16" i="24"/>
  <c r="A16" i="24" s="1"/>
  <c r="U259" i="23"/>
  <c r="M12" i="24" s="1"/>
  <c r="K12" i="24"/>
  <c r="Q259" i="23"/>
  <c r="I12" i="24" s="1"/>
  <c r="O259" i="23"/>
  <c r="G12" i="24" s="1"/>
  <c r="M259" i="23"/>
  <c r="E12" i="24" s="1"/>
  <c r="K259" i="23"/>
  <c r="S232" i="23"/>
  <c r="K11" i="24" s="1"/>
  <c r="Q232" i="23"/>
  <c r="I11" i="24" s="1"/>
  <c r="O232" i="23"/>
  <c r="G11" i="24" s="1"/>
  <c r="M232" i="23"/>
  <c r="E11" i="24" s="1"/>
  <c r="K232" i="23"/>
  <c r="F195" i="23"/>
  <c r="F198" i="23" s="1"/>
  <c r="U199" i="23"/>
  <c r="M10" i="24" s="1"/>
  <c r="S199" i="23"/>
  <c r="K10" i="24" s="1"/>
  <c r="Q199" i="23"/>
  <c r="I10" i="24" s="1"/>
  <c r="O199" i="23"/>
  <c r="G10" i="24" s="1"/>
  <c r="M199" i="23"/>
  <c r="E10" i="24" s="1"/>
  <c r="K199" i="23"/>
  <c r="U174" i="23"/>
  <c r="M15" i="24" s="1"/>
  <c r="S174" i="23"/>
  <c r="K15" i="24" s="1"/>
  <c r="Q174" i="23"/>
  <c r="I15" i="24" s="1"/>
  <c r="O174" i="23"/>
  <c r="G15" i="24" s="1"/>
  <c r="M174" i="23"/>
  <c r="E15" i="24" s="1"/>
  <c r="K174" i="23"/>
  <c r="U150" i="23"/>
  <c r="S150" i="23"/>
  <c r="Q150" i="23"/>
  <c r="I14" i="24" s="1"/>
  <c r="O150" i="23"/>
  <c r="M150" i="23"/>
  <c r="K150" i="23"/>
  <c r="F125" i="23"/>
  <c r="U129" i="23"/>
  <c r="M13" i="24" s="1"/>
  <c r="S129" i="23"/>
  <c r="K13" i="24" s="1"/>
  <c r="Q129" i="23"/>
  <c r="I13" i="24" s="1"/>
  <c r="O129" i="23"/>
  <c r="G13" i="24" s="1"/>
  <c r="M129" i="23"/>
  <c r="E13" i="24" s="1"/>
  <c r="K129" i="23"/>
  <c r="V259" i="23" l="1"/>
  <c r="V232" i="23"/>
  <c r="V199" i="23"/>
  <c r="V129" i="23"/>
  <c r="V150" i="23"/>
  <c r="V174" i="23"/>
  <c r="M14" i="24"/>
  <c r="E14" i="24"/>
  <c r="G14" i="24"/>
  <c r="K14" i="24"/>
  <c r="C12" i="24"/>
  <c r="A12" i="24" s="1"/>
  <c r="C14" i="24"/>
  <c r="C10" i="24"/>
  <c r="A10" i="24" s="1"/>
  <c r="C11" i="24"/>
  <c r="A11" i="24" s="1"/>
  <c r="C13" i="24"/>
  <c r="A13" i="24" s="1"/>
  <c r="C15" i="24"/>
  <c r="A15" i="24" s="1"/>
  <c r="A14" i="24" l="1"/>
  <c r="U98" i="23"/>
  <c r="S98" i="23"/>
  <c r="Q98" i="23"/>
  <c r="O98" i="23"/>
  <c r="M98" i="23"/>
  <c r="M60" i="23"/>
  <c r="O60" i="23"/>
  <c r="Q60" i="23"/>
  <c r="S60" i="23"/>
  <c r="U60" i="23"/>
  <c r="K60" i="23"/>
  <c r="V98" i="23" l="1"/>
  <c r="V60" i="23"/>
  <c r="F150" i="23"/>
  <c r="I9" i="24"/>
  <c r="F201" i="23"/>
  <c r="F206" i="23" s="1"/>
  <c r="X192" i="23" s="1"/>
  <c r="G9" i="24"/>
  <c r="K9" i="24"/>
  <c r="M9" i="24"/>
  <c r="F174" i="23"/>
  <c r="E9" i="24"/>
  <c r="F97" i="23"/>
  <c r="F106" i="23" l="1"/>
  <c r="X91" i="23" s="1"/>
  <c r="A9" i="24"/>
  <c r="F55" i="23"/>
  <c r="F54" i="23"/>
  <c r="F32" i="23"/>
  <c r="F36" i="23" s="1"/>
  <c r="F43" i="23" s="1"/>
  <c r="X29" i="23" s="1"/>
  <c r="F58" i="23" l="1"/>
  <c r="K314" i="23" l="1"/>
  <c r="F312" i="23"/>
  <c r="F314" i="23" s="1"/>
  <c r="F316" i="23" s="1"/>
  <c r="F257" i="23"/>
  <c r="B258" i="23"/>
  <c r="F255" i="23"/>
  <c r="B231" i="23"/>
  <c r="B198" i="23"/>
  <c r="X310" i="23" l="1"/>
  <c r="F258" i="23"/>
  <c r="B172" i="23"/>
  <c r="F171" i="23"/>
  <c r="F172" i="23" s="1"/>
  <c r="F177" i="23" s="1"/>
  <c r="B147" i="23"/>
  <c r="F146" i="23"/>
  <c r="F147" i="23" s="1"/>
  <c r="B127" i="23"/>
  <c r="F124" i="23"/>
  <c r="F127" i="23" s="1"/>
  <c r="F133" i="23" s="1"/>
  <c r="B97" i="23"/>
  <c r="X167" i="23" l="1"/>
  <c r="X123" i="23" l="1"/>
  <c r="E17" i="24"/>
  <c r="G17" i="24"/>
  <c r="I17" i="24"/>
  <c r="K17" i="24"/>
  <c r="M17" i="24"/>
  <c r="C17" i="24"/>
  <c r="A6" i="24"/>
  <c r="A17" i="24" l="1"/>
  <c r="F261" i="23"/>
  <c r="F260" i="23"/>
  <c r="F259" i="23" l="1"/>
  <c r="F264" i="23" s="1"/>
  <c r="X252" i="23" s="1"/>
  <c r="B267" i="23" l="1"/>
  <c r="B305" i="23" s="1"/>
  <c r="B180" i="23"/>
  <c r="A210" i="23" s="1"/>
  <c r="B156" i="23"/>
  <c r="B136" i="23"/>
  <c r="B109" i="23"/>
  <c r="B66" i="23"/>
  <c r="B65" i="23"/>
  <c r="B46" i="23"/>
  <c r="E101" i="10" l="1"/>
  <c r="W85" i="10"/>
  <c r="W86" i="10"/>
  <c r="W87" i="10"/>
  <c r="W93" i="10"/>
  <c r="W100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AB85" i="10"/>
  <c r="AB86" i="10"/>
  <c r="AB87" i="10"/>
  <c r="AB93" i="10"/>
  <c r="AB100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G85" i="10"/>
  <c r="AG86" i="10"/>
  <c r="AG87" i="10"/>
  <c r="AG93" i="10"/>
  <c r="AG100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L85" i="10"/>
  <c r="AL86" i="10"/>
  <c r="AL87" i="10"/>
  <c r="AL93" i="10"/>
  <c r="AL100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Q85" i="10"/>
  <c r="AQ86" i="10"/>
  <c r="AQ87" i="10"/>
  <c r="AQ93" i="10"/>
  <c r="AQ100" i="10"/>
  <c r="AR82" i="10"/>
  <c r="AR83" i="10"/>
  <c r="AR84" i="10"/>
  <c r="AR85" i="10"/>
  <c r="AR86" i="10"/>
  <c r="AR87" i="10"/>
  <c r="AR88" i="10"/>
  <c r="AR89" i="10"/>
  <c r="AR90" i="10"/>
  <c r="AR91" i="10"/>
  <c r="AR92" i="10"/>
  <c r="AR93" i="10"/>
  <c r="AR94" i="10"/>
  <c r="AR95" i="10"/>
  <c r="AR96" i="10"/>
  <c r="AR97" i="10"/>
  <c r="AR98" i="10"/>
  <c r="AR99" i="10"/>
  <c r="AR100" i="10"/>
  <c r="AS82" i="10"/>
  <c r="AS83" i="10"/>
  <c r="AS84" i="10"/>
  <c r="AS85" i="10"/>
  <c r="AS86" i="10"/>
  <c r="AS87" i="10"/>
  <c r="AS88" i="10"/>
  <c r="AS89" i="10"/>
  <c r="AS90" i="10"/>
  <c r="AS91" i="10"/>
  <c r="AS92" i="10"/>
  <c r="AS93" i="10"/>
  <c r="AS94" i="10"/>
  <c r="AS95" i="10"/>
  <c r="AS96" i="10"/>
  <c r="AS97" i="10"/>
  <c r="AS98" i="10"/>
  <c r="AS99" i="10"/>
  <c r="AS100" i="10"/>
  <c r="AT101" i="10"/>
  <c r="AV85" i="10"/>
  <c r="AV86" i="10"/>
  <c r="AV87" i="10"/>
  <c r="AV93" i="10"/>
  <c r="AV100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X82" i="10"/>
  <c r="AX83" i="10"/>
  <c r="AX84" i="10"/>
  <c r="AX85" i="10"/>
  <c r="AX86" i="10"/>
  <c r="AX87" i="10"/>
  <c r="AX88" i="10"/>
  <c r="AX89" i="10"/>
  <c r="AX90" i="10"/>
  <c r="AX91" i="10"/>
  <c r="AX92" i="10"/>
  <c r="AX93" i="10"/>
  <c r="AX94" i="10"/>
  <c r="AX95" i="10"/>
  <c r="AX96" i="10"/>
  <c r="AX97" i="10"/>
  <c r="AX98" i="10"/>
  <c r="AX99" i="10"/>
  <c r="AX100" i="10"/>
  <c r="V98" i="10"/>
  <c r="U98" i="10"/>
  <c r="U99" i="10"/>
  <c r="S97" i="10"/>
  <c r="S98" i="10"/>
  <c r="R98" i="10"/>
  <c r="AB98" i="10" s="1"/>
  <c r="AJ93" i="10" l="1"/>
  <c r="AT86" i="10"/>
  <c r="AJ87" i="10"/>
  <c r="AJ86" i="10"/>
  <c r="AE86" i="10"/>
  <c r="AT100" i="10"/>
  <c r="Z100" i="10"/>
  <c r="AE98" i="10"/>
  <c r="AG98" i="10"/>
  <c r="AJ98" i="10" s="1"/>
  <c r="Z86" i="10"/>
  <c r="AJ85" i="10"/>
  <c r="AY86" i="10"/>
  <c r="AY100" i="10"/>
  <c r="AE100" i="10"/>
  <c r="W98" i="10"/>
  <c r="Z98" i="10" s="1"/>
  <c r="AO85" i="10"/>
  <c r="AO93" i="10"/>
  <c r="AO87" i="10"/>
  <c r="AV98" i="10"/>
  <c r="AY98" i="10" s="1"/>
  <c r="AQ98" i="10"/>
  <c r="AT98" i="10" s="1"/>
  <c r="AL98" i="10"/>
  <c r="AO98" i="10" s="1"/>
  <c r="AJ100" i="10"/>
  <c r="Z93" i="10"/>
  <c r="Z87" i="10"/>
  <c r="Z85" i="10"/>
  <c r="AE93" i="10"/>
  <c r="AE87" i="10"/>
  <c r="AE85" i="10"/>
  <c r="AO100" i="10"/>
  <c r="AO86" i="10"/>
  <c r="AT93" i="10"/>
  <c r="AT87" i="10"/>
  <c r="AT85" i="10"/>
  <c r="AY93" i="10"/>
  <c r="AY87" i="10"/>
  <c r="AY85" i="10"/>
  <c r="E164" i="10"/>
  <c r="R120" i="10"/>
  <c r="BL62" i="10"/>
  <c r="BL38" i="10"/>
  <c r="AZ98" i="10" l="1"/>
  <c r="BA98" i="10" s="1"/>
  <c r="T98" i="10" s="1"/>
  <c r="W184" i="10"/>
  <c r="W188" i="10"/>
  <c r="AX159" i="10"/>
  <c r="AX160" i="10"/>
  <c r="AX161" i="10"/>
  <c r="AX162" i="10"/>
  <c r="AX163" i="10"/>
  <c r="AW159" i="10"/>
  <c r="AW160" i="10"/>
  <c r="AW161" i="10"/>
  <c r="AW162" i="10"/>
  <c r="AW163" i="10"/>
  <c r="AV159" i="10"/>
  <c r="AS159" i="10"/>
  <c r="AS160" i="10"/>
  <c r="AS161" i="10"/>
  <c r="AS162" i="10"/>
  <c r="AS163" i="10"/>
  <c r="AR159" i="10"/>
  <c r="AR160" i="10"/>
  <c r="AR161" i="10"/>
  <c r="AR162" i="10"/>
  <c r="AR163" i="10"/>
  <c r="AQ159" i="10"/>
  <c r="AN159" i="10"/>
  <c r="AN160" i="10"/>
  <c r="AN161" i="10"/>
  <c r="AN162" i="10"/>
  <c r="AN163" i="10"/>
  <c r="AM159" i="10"/>
  <c r="AO159" i="10" s="1"/>
  <c r="AM160" i="10"/>
  <c r="AM161" i="10"/>
  <c r="AM162" i="10"/>
  <c r="AM163" i="10"/>
  <c r="AL159" i="10"/>
  <c r="AI159" i="10"/>
  <c r="AI160" i="10"/>
  <c r="AI161" i="10"/>
  <c r="AI162" i="10"/>
  <c r="AI163" i="10"/>
  <c r="AH159" i="10"/>
  <c r="AH160" i="10"/>
  <c r="AH161" i="10"/>
  <c r="AH162" i="10"/>
  <c r="AH163" i="10"/>
  <c r="AG159" i="10"/>
  <c r="AD159" i="10"/>
  <c r="AD160" i="10"/>
  <c r="AD161" i="10"/>
  <c r="AD162" i="10"/>
  <c r="AD163" i="10"/>
  <c r="AC159" i="10"/>
  <c r="AC160" i="10"/>
  <c r="AC161" i="10"/>
  <c r="AC162" i="10"/>
  <c r="AC163" i="10"/>
  <c r="AB159" i="10"/>
  <c r="Y159" i="10"/>
  <c r="Y160" i="10"/>
  <c r="Y161" i="10"/>
  <c r="Y162" i="10"/>
  <c r="Y163" i="10"/>
  <c r="X159" i="10"/>
  <c r="X160" i="10"/>
  <c r="X161" i="10"/>
  <c r="X162" i="10"/>
  <c r="X163" i="10"/>
  <c r="W159" i="10"/>
  <c r="R163" i="10"/>
  <c r="AV163" i="10" s="1"/>
  <c r="R161" i="10"/>
  <c r="AV161" i="10" s="1"/>
  <c r="R160" i="10"/>
  <c r="AQ160" i="10" s="1"/>
  <c r="R158" i="10"/>
  <c r="W158" i="10" s="1"/>
  <c r="Y138" i="10"/>
  <c r="Y139" i="10"/>
  <c r="Y140" i="10"/>
  <c r="Y141" i="10"/>
  <c r="Y142" i="10"/>
  <c r="Y143" i="10"/>
  <c r="Y144" i="10"/>
  <c r="X138" i="10"/>
  <c r="X139" i="10"/>
  <c r="X140" i="10"/>
  <c r="X141" i="10"/>
  <c r="X142" i="10"/>
  <c r="X143" i="10"/>
  <c r="X144" i="10"/>
  <c r="W141" i="10"/>
  <c r="W142" i="10"/>
  <c r="W144" i="10"/>
  <c r="R143" i="10"/>
  <c r="W143" i="10" s="1"/>
  <c r="R140" i="10"/>
  <c r="W140" i="10" s="1"/>
  <c r="R139" i="10"/>
  <c r="W139" i="10" s="1"/>
  <c r="R137" i="10"/>
  <c r="AX117" i="10"/>
  <c r="AX118" i="10"/>
  <c r="AX119" i="10"/>
  <c r="AX120" i="10"/>
  <c r="AX121" i="10"/>
  <c r="AX122" i="10"/>
  <c r="AX123" i="10"/>
  <c r="AW117" i="10"/>
  <c r="AW118" i="10"/>
  <c r="AW119" i="10"/>
  <c r="AW120" i="10"/>
  <c r="AW121" i="10"/>
  <c r="AW122" i="10"/>
  <c r="AW123" i="10"/>
  <c r="AV117" i="10"/>
  <c r="AV120" i="10"/>
  <c r="AS117" i="10"/>
  <c r="AS118" i="10"/>
  <c r="AS119" i="10"/>
  <c r="AS120" i="10"/>
  <c r="AS121" i="10"/>
  <c r="AS122" i="10"/>
  <c r="AS123" i="10"/>
  <c r="AR117" i="10"/>
  <c r="AR118" i="10"/>
  <c r="AR119" i="10"/>
  <c r="AR120" i="10"/>
  <c r="AR121" i="10"/>
  <c r="AR122" i="10"/>
  <c r="AR123" i="10"/>
  <c r="AQ117" i="10"/>
  <c r="AQ120" i="10"/>
  <c r="AN117" i="10"/>
  <c r="AN118" i="10"/>
  <c r="AN119" i="10"/>
  <c r="AN120" i="10"/>
  <c r="AN121" i="10"/>
  <c r="AN122" i="10"/>
  <c r="AN123" i="10"/>
  <c r="AM117" i="10"/>
  <c r="AM118" i="10"/>
  <c r="AM119" i="10"/>
  <c r="AM120" i="10"/>
  <c r="AM121" i="10"/>
  <c r="AM122" i="10"/>
  <c r="AM123" i="10"/>
  <c r="AL117" i="10"/>
  <c r="AL120" i="10"/>
  <c r="AI117" i="10"/>
  <c r="AI118" i="10"/>
  <c r="AI119" i="10"/>
  <c r="AI120" i="10"/>
  <c r="AI121" i="10"/>
  <c r="AI122" i="10"/>
  <c r="AI123" i="10"/>
  <c r="AH117" i="10"/>
  <c r="AH118" i="10"/>
  <c r="AH119" i="10"/>
  <c r="AH120" i="10"/>
  <c r="AH121" i="10"/>
  <c r="AH122" i="10"/>
  <c r="AH123" i="10"/>
  <c r="AG117" i="10"/>
  <c r="AG120" i="10"/>
  <c r="AD117" i="10"/>
  <c r="AD118" i="10"/>
  <c r="AD119" i="10"/>
  <c r="AD120" i="10"/>
  <c r="AD121" i="10"/>
  <c r="AD122" i="10"/>
  <c r="AD123" i="10"/>
  <c r="AC117" i="10"/>
  <c r="AC118" i="10"/>
  <c r="AC119" i="10"/>
  <c r="AC120" i="10"/>
  <c r="AC121" i="10"/>
  <c r="AC122" i="10"/>
  <c r="AC123" i="10"/>
  <c r="AB117" i="10"/>
  <c r="AB120" i="10"/>
  <c r="Y117" i="10"/>
  <c r="Y118" i="10"/>
  <c r="Y119" i="10"/>
  <c r="Y120" i="10"/>
  <c r="Y121" i="10"/>
  <c r="Y122" i="10"/>
  <c r="Y123" i="10"/>
  <c r="X117" i="10"/>
  <c r="X118" i="10"/>
  <c r="X119" i="10"/>
  <c r="X120" i="10"/>
  <c r="X121" i="10"/>
  <c r="X122" i="10"/>
  <c r="X123" i="10"/>
  <c r="W117" i="10"/>
  <c r="W120" i="10"/>
  <c r="R123" i="10"/>
  <c r="R122" i="10"/>
  <c r="AV122" i="10" s="1"/>
  <c r="R119" i="10"/>
  <c r="R118" i="10"/>
  <c r="AN82" i="10"/>
  <c r="AM82" i="10"/>
  <c r="R99" i="10"/>
  <c r="R95" i="10"/>
  <c r="R96" i="10"/>
  <c r="R94" i="10"/>
  <c r="R91" i="10"/>
  <c r="R92" i="10"/>
  <c r="R89" i="10"/>
  <c r="R90" i="10"/>
  <c r="R88" i="10"/>
  <c r="R83" i="10"/>
  <c r="R84" i="10"/>
  <c r="R82" i="10"/>
  <c r="AX60" i="10"/>
  <c r="AX61" i="10"/>
  <c r="AX62" i="10"/>
  <c r="AX63" i="10"/>
  <c r="AX64" i="10"/>
  <c r="AX65" i="10"/>
  <c r="AX66" i="10"/>
  <c r="AX56" i="10"/>
  <c r="AX57" i="10"/>
  <c r="AX58" i="10"/>
  <c r="AW60" i="10"/>
  <c r="AW61" i="10"/>
  <c r="AW62" i="10"/>
  <c r="AW63" i="10"/>
  <c r="AW64" i="10"/>
  <c r="AW65" i="10"/>
  <c r="AW66" i="10"/>
  <c r="AW56" i="10"/>
  <c r="AW57" i="10"/>
  <c r="AW58" i="10"/>
  <c r="AV66" i="10"/>
  <c r="AV67" i="10"/>
  <c r="AS60" i="10"/>
  <c r="AS61" i="10"/>
  <c r="AS62" i="10"/>
  <c r="AS63" i="10"/>
  <c r="AS64" i="10"/>
  <c r="AS65" i="10"/>
  <c r="AS66" i="10"/>
  <c r="AS56" i="10"/>
  <c r="AS57" i="10"/>
  <c r="AS58" i="10"/>
  <c r="AR60" i="10"/>
  <c r="AR61" i="10"/>
  <c r="AR62" i="10"/>
  <c r="AR63" i="10"/>
  <c r="AR64" i="10"/>
  <c r="AR65" i="10"/>
  <c r="AR66" i="10"/>
  <c r="AR56" i="10"/>
  <c r="AR57" i="10"/>
  <c r="AR58" i="10"/>
  <c r="AQ66" i="10"/>
  <c r="AN60" i="10"/>
  <c r="AN61" i="10"/>
  <c r="AN62" i="10"/>
  <c r="AN63" i="10"/>
  <c r="AN64" i="10"/>
  <c r="AN65" i="10"/>
  <c r="AN56" i="10"/>
  <c r="AN57" i="10"/>
  <c r="AN58" i="10"/>
  <c r="AM61" i="10"/>
  <c r="AM62" i="10"/>
  <c r="AM63" i="10"/>
  <c r="AM64" i="10"/>
  <c r="AM65" i="10"/>
  <c r="AM66" i="10"/>
  <c r="AM56" i="10"/>
  <c r="AM57" i="10"/>
  <c r="AM58" i="10"/>
  <c r="AM59" i="10"/>
  <c r="AL66" i="10"/>
  <c r="AL67" i="10"/>
  <c r="AI60" i="10"/>
  <c r="AI61" i="10"/>
  <c r="AI62" i="10"/>
  <c r="AI63" i="10"/>
  <c r="AI64" i="10"/>
  <c r="AI65" i="10"/>
  <c r="AI66" i="10"/>
  <c r="AI56" i="10"/>
  <c r="AI57" i="10"/>
  <c r="AI58" i="10"/>
  <c r="AH60" i="10"/>
  <c r="AH61" i="10"/>
  <c r="AH62" i="10"/>
  <c r="AH63" i="10"/>
  <c r="AH64" i="10"/>
  <c r="AH65" i="10"/>
  <c r="AH66" i="10"/>
  <c r="AH56" i="10"/>
  <c r="AH57" i="10"/>
  <c r="AH58" i="10"/>
  <c r="AG66" i="10"/>
  <c r="AD60" i="10"/>
  <c r="AD61" i="10"/>
  <c r="AD62" i="10"/>
  <c r="AD63" i="10"/>
  <c r="AD64" i="10"/>
  <c r="AD65" i="10"/>
  <c r="AD56" i="10"/>
  <c r="AD57" i="10"/>
  <c r="AD58" i="10"/>
  <c r="AC60" i="10"/>
  <c r="AC61" i="10"/>
  <c r="AC62" i="10"/>
  <c r="AC63" i="10"/>
  <c r="AC64" i="10"/>
  <c r="AC65" i="10"/>
  <c r="AC56" i="10"/>
  <c r="AC57" i="10"/>
  <c r="AC58" i="10"/>
  <c r="AB66" i="10"/>
  <c r="Y60" i="10"/>
  <c r="Y61" i="10"/>
  <c r="Y62" i="10"/>
  <c r="Y63" i="10"/>
  <c r="Y64" i="10"/>
  <c r="Y65" i="10"/>
  <c r="Y56" i="10"/>
  <c r="Y57" i="10"/>
  <c r="Y58" i="10"/>
  <c r="X60" i="10"/>
  <c r="X61" i="10"/>
  <c r="X62" i="10"/>
  <c r="X63" i="10"/>
  <c r="X64" i="10"/>
  <c r="X65" i="10"/>
  <c r="X66" i="10"/>
  <c r="X67" i="10"/>
  <c r="X56" i="10"/>
  <c r="X57" i="10"/>
  <c r="X58" i="10"/>
  <c r="W66" i="10"/>
  <c r="W67" i="10"/>
  <c r="R65" i="10"/>
  <c r="AL65" i="10" s="1"/>
  <c r="R64" i="10"/>
  <c r="R61" i="10"/>
  <c r="AL61" i="10" s="1"/>
  <c r="R62" i="10"/>
  <c r="R63" i="10"/>
  <c r="AB63" i="10" s="1"/>
  <c r="R60" i="10"/>
  <c r="R57" i="10"/>
  <c r="AG57" i="10" s="1"/>
  <c r="R58" i="10"/>
  <c r="R56" i="10"/>
  <c r="AL56" i="10" s="1"/>
  <c r="AV31" i="10"/>
  <c r="AV43" i="10"/>
  <c r="AD43" i="10"/>
  <c r="AC43" i="10"/>
  <c r="AB43" i="10"/>
  <c r="Y43" i="10"/>
  <c r="X43" i="10"/>
  <c r="W43" i="10"/>
  <c r="Q32" i="10"/>
  <c r="AM32" i="10" s="1"/>
  <c r="Q33" i="10"/>
  <c r="Q34" i="10"/>
  <c r="AC34" i="10" s="1"/>
  <c r="Q35" i="10"/>
  <c r="Q36" i="10"/>
  <c r="AH36" i="10" s="1"/>
  <c r="Q37" i="10"/>
  <c r="Q38" i="10"/>
  <c r="Q39" i="10"/>
  <c r="Q40" i="10"/>
  <c r="AX40" i="10" s="1"/>
  <c r="Q41" i="10"/>
  <c r="Q42" i="10"/>
  <c r="R42" i="10" s="1"/>
  <c r="Q31" i="10"/>
  <c r="AW31" i="10" s="1"/>
  <c r="W6" i="10"/>
  <c r="W11" i="10"/>
  <c r="W15" i="10"/>
  <c r="AB6" i="10"/>
  <c r="AB11" i="10"/>
  <c r="AB15" i="10"/>
  <c r="AG6" i="10"/>
  <c r="AG11" i="10"/>
  <c r="AG15" i="10"/>
  <c r="AL6" i="10"/>
  <c r="AL11" i="10"/>
  <c r="AL15" i="10"/>
  <c r="AQ6" i="10"/>
  <c r="AQ11" i="10"/>
  <c r="AQ15" i="10"/>
  <c r="AV6" i="10"/>
  <c r="AV11" i="10"/>
  <c r="AV15" i="10"/>
  <c r="Q5" i="10"/>
  <c r="Q6" i="10"/>
  <c r="Y6" i="10" s="1"/>
  <c r="Q7" i="10"/>
  <c r="Q8" i="10"/>
  <c r="AC8" i="10" s="1"/>
  <c r="Q9" i="10"/>
  <c r="Q10" i="10"/>
  <c r="AH10" i="10" s="1"/>
  <c r="Q11" i="10"/>
  <c r="Q12" i="10"/>
  <c r="AN12" i="10" s="1"/>
  <c r="Q13" i="10"/>
  <c r="Q14" i="10"/>
  <c r="Y14" i="10" s="1"/>
  <c r="Q15" i="10"/>
  <c r="Q4" i="10"/>
  <c r="AX4" i="10" s="1"/>
  <c r="AE159" i="10" l="1"/>
  <c r="AV160" i="10"/>
  <c r="AL160" i="10"/>
  <c r="AO160" i="10" s="1"/>
  <c r="AB160" i="10"/>
  <c r="AE160" i="10" s="1"/>
  <c r="AO61" i="10"/>
  <c r="AY159" i="10"/>
  <c r="AO65" i="10"/>
  <c r="Z159" i="10"/>
  <c r="AJ159" i="10"/>
  <c r="AT159" i="10"/>
  <c r="AY163" i="10"/>
  <c r="AY160" i="10"/>
  <c r="Z117" i="10"/>
  <c r="AE117" i="10"/>
  <c r="AJ117" i="10"/>
  <c r="AO117" i="10"/>
  <c r="AT117" i="10"/>
  <c r="AY117" i="10"/>
  <c r="Z142" i="10"/>
  <c r="W160" i="10"/>
  <c r="Z160" i="10" s="1"/>
  <c r="AG160" i="10"/>
  <c r="AJ160" i="10" s="1"/>
  <c r="AT160" i="10"/>
  <c r="AY161" i="10"/>
  <c r="AX6" i="10"/>
  <c r="AC42" i="10"/>
  <c r="AD32" i="10"/>
  <c r="AM40" i="10"/>
  <c r="AR36" i="10"/>
  <c r="AV56" i="10"/>
  <c r="AY56" i="10" s="1"/>
  <c r="AB84" i="10"/>
  <c r="AE84" i="10" s="1"/>
  <c r="AL84" i="10"/>
  <c r="AO84" i="10" s="1"/>
  <c r="AQ84" i="10"/>
  <c r="AT84" i="10" s="1"/>
  <c r="AV84" i="10"/>
  <c r="AY84" i="10" s="1"/>
  <c r="W84" i="10"/>
  <c r="Z84" i="10" s="1"/>
  <c r="AG84" i="10"/>
  <c r="AJ84" i="10" s="1"/>
  <c r="AB88" i="10"/>
  <c r="AE88" i="10" s="1"/>
  <c r="AL88" i="10"/>
  <c r="AO88" i="10" s="1"/>
  <c r="AQ88" i="10"/>
  <c r="AT88" i="10" s="1"/>
  <c r="AV88" i="10"/>
  <c r="AY88" i="10" s="1"/>
  <c r="W88" i="10"/>
  <c r="Z88" i="10" s="1"/>
  <c r="AG88" i="10"/>
  <c r="AJ88" i="10" s="1"/>
  <c r="W89" i="10"/>
  <c r="Z89" i="10" s="1"/>
  <c r="AG89" i="10"/>
  <c r="AJ89" i="10" s="1"/>
  <c r="AV89" i="10"/>
  <c r="AY89" i="10" s="1"/>
  <c r="AB89" i="10"/>
  <c r="AE89" i="10" s="1"/>
  <c r="AL89" i="10"/>
  <c r="AO89" i="10" s="1"/>
  <c r="AQ89" i="10"/>
  <c r="AT89" i="10" s="1"/>
  <c r="W91" i="10"/>
  <c r="Z91" i="10" s="1"/>
  <c r="AG91" i="10"/>
  <c r="AJ91" i="10" s="1"/>
  <c r="AB91" i="10"/>
  <c r="AE91" i="10" s="1"/>
  <c r="AL91" i="10"/>
  <c r="AO91" i="10" s="1"/>
  <c r="AQ91" i="10"/>
  <c r="AT91" i="10" s="1"/>
  <c r="AV91" i="10"/>
  <c r="AY91" i="10" s="1"/>
  <c r="AB96" i="10"/>
  <c r="AE96" i="10" s="1"/>
  <c r="AL96" i="10"/>
  <c r="AO96" i="10" s="1"/>
  <c r="AQ96" i="10"/>
  <c r="AT96" i="10" s="1"/>
  <c r="AV96" i="10"/>
  <c r="AY96" i="10" s="1"/>
  <c r="W96" i="10"/>
  <c r="Z96" i="10" s="1"/>
  <c r="AG96" i="10"/>
  <c r="AJ96" i="10" s="1"/>
  <c r="W99" i="10"/>
  <c r="Z99" i="10" s="1"/>
  <c r="AG99" i="10"/>
  <c r="AJ99" i="10" s="1"/>
  <c r="AB99" i="10"/>
  <c r="AE99" i="10" s="1"/>
  <c r="AL99" i="10"/>
  <c r="AO99" i="10" s="1"/>
  <c r="AQ99" i="10"/>
  <c r="AT99" i="10" s="1"/>
  <c r="AV99" i="10"/>
  <c r="AY99" i="10" s="1"/>
  <c r="AW12" i="10"/>
  <c r="AS8" i="10"/>
  <c r="AN8" i="10"/>
  <c r="AH14" i="10"/>
  <c r="Y40" i="10"/>
  <c r="AD40" i="10"/>
  <c r="W56" i="10"/>
  <c r="Z56" i="10" s="1"/>
  <c r="AB65" i="10"/>
  <c r="AE65" i="10" s="1"/>
  <c r="AB82" i="10"/>
  <c r="AE82" i="10" s="1"/>
  <c r="AL82" i="10"/>
  <c r="AO82" i="10" s="1"/>
  <c r="AQ82" i="10"/>
  <c r="AT82" i="10" s="1"/>
  <c r="AV82" i="10"/>
  <c r="AY82" i="10" s="1"/>
  <c r="W82" i="10"/>
  <c r="Z82" i="10" s="1"/>
  <c r="AG82" i="10"/>
  <c r="AJ82" i="10" s="1"/>
  <c r="W83" i="10"/>
  <c r="Z83" i="10" s="1"/>
  <c r="AG83" i="10"/>
  <c r="AJ83" i="10" s="1"/>
  <c r="AV83" i="10"/>
  <c r="AY83" i="10" s="1"/>
  <c r="AB83" i="10"/>
  <c r="AE83" i="10" s="1"/>
  <c r="AL83" i="10"/>
  <c r="AO83" i="10" s="1"/>
  <c r="AQ83" i="10"/>
  <c r="AT83" i="10" s="1"/>
  <c r="AB90" i="10"/>
  <c r="AE90" i="10" s="1"/>
  <c r="AL90" i="10"/>
  <c r="AO90" i="10" s="1"/>
  <c r="AQ90" i="10"/>
  <c r="AT90" i="10" s="1"/>
  <c r="AV90" i="10"/>
  <c r="AY90" i="10" s="1"/>
  <c r="W90" i="10"/>
  <c r="Z90" i="10" s="1"/>
  <c r="AG90" i="10"/>
  <c r="AJ90" i="10" s="1"/>
  <c r="AB92" i="10"/>
  <c r="AE92" i="10" s="1"/>
  <c r="AL92" i="10"/>
  <c r="AO92" i="10" s="1"/>
  <c r="AQ92" i="10"/>
  <c r="AT92" i="10" s="1"/>
  <c r="AV92" i="10"/>
  <c r="AY92" i="10" s="1"/>
  <c r="W92" i="10"/>
  <c r="Z92" i="10" s="1"/>
  <c r="AG92" i="10"/>
  <c r="AJ92" i="10" s="1"/>
  <c r="AB94" i="10"/>
  <c r="AE94" i="10" s="1"/>
  <c r="AL94" i="10"/>
  <c r="AO94" i="10" s="1"/>
  <c r="AQ94" i="10"/>
  <c r="AT94" i="10" s="1"/>
  <c r="AV94" i="10"/>
  <c r="AY94" i="10" s="1"/>
  <c r="W94" i="10"/>
  <c r="Z94" i="10" s="1"/>
  <c r="AG94" i="10"/>
  <c r="AJ94" i="10" s="1"/>
  <c r="W95" i="10"/>
  <c r="Z95" i="10" s="1"/>
  <c r="AG95" i="10"/>
  <c r="AJ95" i="10" s="1"/>
  <c r="AB95" i="10"/>
  <c r="AE95" i="10" s="1"/>
  <c r="AL95" i="10"/>
  <c r="AO95" i="10" s="1"/>
  <c r="AQ95" i="10"/>
  <c r="AT95" i="10" s="1"/>
  <c r="AV95" i="10"/>
  <c r="AY95" i="10" s="1"/>
  <c r="W122" i="10"/>
  <c r="Z122" i="10" s="1"/>
  <c r="AB122" i="10"/>
  <c r="AE122" i="10" s="1"/>
  <c r="AG122" i="10"/>
  <c r="AJ122" i="10" s="1"/>
  <c r="AL122" i="10"/>
  <c r="AO122" i="10" s="1"/>
  <c r="AQ122" i="10"/>
  <c r="AT122" i="10" s="1"/>
  <c r="Z144" i="10"/>
  <c r="W163" i="10"/>
  <c r="Z163" i="10" s="1"/>
  <c r="W161" i="10"/>
  <c r="Z161" i="10" s="1"/>
  <c r="AB163" i="10"/>
  <c r="AE163" i="10" s="1"/>
  <c r="AB161" i="10"/>
  <c r="AE161" i="10" s="1"/>
  <c r="AG163" i="10"/>
  <c r="AJ163" i="10" s="1"/>
  <c r="AG161" i="10"/>
  <c r="AJ161" i="10" s="1"/>
  <c r="AL163" i="10"/>
  <c r="AO163" i="10" s="1"/>
  <c r="AL161" i="10"/>
  <c r="AO161" i="10" s="1"/>
  <c r="AQ163" i="10"/>
  <c r="AT163" i="10" s="1"/>
  <c r="AQ161" i="10"/>
  <c r="AT161" i="10" s="1"/>
  <c r="AX14" i="10"/>
  <c r="AX10" i="10"/>
  <c r="AW8" i="10"/>
  <c r="AS12" i="10"/>
  <c r="AH6" i="10"/>
  <c r="AC12" i="10"/>
  <c r="Y10" i="10"/>
  <c r="AW42" i="10"/>
  <c r="AX42" i="10"/>
  <c r="AR42" i="10"/>
  <c r="AM42" i="10"/>
  <c r="AH42" i="10"/>
  <c r="AD42" i="10"/>
  <c r="Y42" i="10"/>
  <c r="AW40" i="10"/>
  <c r="AC40" i="10"/>
  <c r="AW38" i="10"/>
  <c r="AX38" i="10"/>
  <c r="AR38" i="10"/>
  <c r="AM38" i="10"/>
  <c r="AH38" i="10"/>
  <c r="AD38" i="10"/>
  <c r="Y38" i="10"/>
  <c r="AW36" i="10"/>
  <c r="AC36" i="10"/>
  <c r="AW34" i="10"/>
  <c r="AX34" i="10"/>
  <c r="AR34" i="10"/>
  <c r="AM34" i="10"/>
  <c r="AH34" i="10"/>
  <c r="AD34" i="10"/>
  <c r="X34" i="10"/>
  <c r="AW32" i="10"/>
  <c r="AC32" i="10"/>
  <c r="X32" i="10"/>
  <c r="R32" i="10"/>
  <c r="AB32" i="10" s="1"/>
  <c r="AX32" i="10"/>
  <c r="Y36" i="10"/>
  <c r="AC38" i="10"/>
  <c r="AE43" i="10"/>
  <c r="AD36" i="10"/>
  <c r="AH40" i="10"/>
  <c r="AH32" i="10"/>
  <c r="AM36" i="10"/>
  <c r="AR40" i="10"/>
  <c r="AR32" i="10"/>
  <c r="AX36" i="10"/>
  <c r="R12" i="10"/>
  <c r="AB12" i="10" s="1"/>
  <c r="AX8" i="10"/>
  <c r="AX12" i="10"/>
  <c r="AW14" i="10"/>
  <c r="AW10" i="10"/>
  <c r="AW6" i="10"/>
  <c r="AS14" i="10"/>
  <c r="AS10" i="10"/>
  <c r="AS6" i="10"/>
  <c r="Z66" i="10"/>
  <c r="AB56" i="10"/>
  <c r="AE56" i="10" s="1"/>
  <c r="AB61" i="10"/>
  <c r="AE61" i="10" s="1"/>
  <c r="AJ57" i="10"/>
  <c r="AJ66" i="10"/>
  <c r="AT66" i="10"/>
  <c r="AZ100" i="10"/>
  <c r="Y15" i="10"/>
  <c r="AC15" i="10"/>
  <c r="AH15" i="10"/>
  <c r="AN15" i="10"/>
  <c r="Y13" i="10"/>
  <c r="AC13" i="10"/>
  <c r="AH13" i="10"/>
  <c r="AN13" i="10"/>
  <c r="Y11" i="10"/>
  <c r="AC11" i="10"/>
  <c r="AH11" i="10"/>
  <c r="AN11" i="10"/>
  <c r="Y9" i="10"/>
  <c r="AC9" i="10"/>
  <c r="AH9" i="10"/>
  <c r="AN9" i="10"/>
  <c r="Y7" i="10"/>
  <c r="AC7" i="10"/>
  <c r="AH7" i="10"/>
  <c r="AN7" i="10"/>
  <c r="Y5" i="10"/>
  <c r="AC5" i="10"/>
  <c r="AH5" i="10"/>
  <c r="AN5" i="10"/>
  <c r="R5" i="10"/>
  <c r="R7" i="10"/>
  <c r="R9" i="10"/>
  <c r="R13" i="10"/>
  <c r="AX9" i="10"/>
  <c r="AR15" i="10"/>
  <c r="AR13" i="10"/>
  <c r="AR11" i="10"/>
  <c r="AR9" i="10"/>
  <c r="AR7" i="10"/>
  <c r="AR5" i="10"/>
  <c r="AM15" i="10"/>
  <c r="AM11" i="10"/>
  <c r="AM7" i="10"/>
  <c r="AI15" i="10"/>
  <c r="AI11" i="10"/>
  <c r="AI7" i="10"/>
  <c r="AD13" i="10"/>
  <c r="AD9" i="10"/>
  <c r="AD5" i="10"/>
  <c r="X13" i="10"/>
  <c r="X9" i="10"/>
  <c r="X5" i="10"/>
  <c r="AX41" i="10"/>
  <c r="AR41" i="10"/>
  <c r="AM41" i="10"/>
  <c r="AH41" i="10"/>
  <c r="AD41" i="10"/>
  <c r="AC41" i="10"/>
  <c r="Y41" i="10"/>
  <c r="R41" i="10"/>
  <c r="AX39" i="10"/>
  <c r="AR39" i="10"/>
  <c r="AM39" i="10"/>
  <c r="AH39" i="10"/>
  <c r="AD39" i="10"/>
  <c r="AC39" i="10"/>
  <c r="Y39" i="10"/>
  <c r="AX37" i="10"/>
  <c r="AR37" i="10"/>
  <c r="AM37" i="10"/>
  <c r="AH37" i="10"/>
  <c r="AD37" i="10"/>
  <c r="AC37" i="10"/>
  <c r="Y37" i="10"/>
  <c r="AX35" i="10"/>
  <c r="AR35" i="10"/>
  <c r="AM35" i="10"/>
  <c r="AH35" i="10"/>
  <c r="AD35" i="10"/>
  <c r="AC35" i="10"/>
  <c r="AX33" i="10"/>
  <c r="AR33" i="10"/>
  <c r="AM33" i="10"/>
  <c r="AH33" i="10"/>
  <c r="AD33" i="10"/>
  <c r="AC33" i="10"/>
  <c r="X33" i="10"/>
  <c r="R35" i="10"/>
  <c r="AQ42" i="10"/>
  <c r="AL42" i="10"/>
  <c r="AG42" i="10"/>
  <c r="W42" i="10"/>
  <c r="X41" i="10"/>
  <c r="X37" i="10"/>
  <c r="Y33" i="10"/>
  <c r="AI41" i="10"/>
  <c r="AI37" i="10"/>
  <c r="AI33" i="10"/>
  <c r="AN41" i="10"/>
  <c r="AN37" i="10"/>
  <c r="AN33" i="10"/>
  <c r="AS41" i="10"/>
  <c r="AS37" i="10"/>
  <c r="AS33" i="10"/>
  <c r="AW39" i="10"/>
  <c r="AW35" i="10"/>
  <c r="AL58" i="10"/>
  <c r="AO58" i="10" s="1"/>
  <c r="AV58" i="10"/>
  <c r="AY58" i="10" s="1"/>
  <c r="AG58" i="10"/>
  <c r="AJ58" i="10" s="1"/>
  <c r="AL60" i="10"/>
  <c r="AV60" i="10"/>
  <c r="AY60" i="10" s="1"/>
  <c r="AB60" i="10"/>
  <c r="AE60" i="10" s="1"/>
  <c r="AL62" i="10"/>
  <c r="AO62" i="10" s="1"/>
  <c r="AQ62" i="10"/>
  <c r="AT62" i="10" s="1"/>
  <c r="AB62" i="10"/>
  <c r="AE62" i="10" s="1"/>
  <c r="AL64" i="10"/>
  <c r="AO64" i="10" s="1"/>
  <c r="AV64" i="10"/>
  <c r="AY64" i="10" s="1"/>
  <c r="AB64" i="10"/>
  <c r="AE64" i="10" s="1"/>
  <c r="W58" i="10"/>
  <c r="Z58" i="10" s="1"/>
  <c r="W64" i="10"/>
  <c r="AG64" i="10"/>
  <c r="AJ64" i="10" s="1"/>
  <c r="AG60" i="10"/>
  <c r="AJ60" i="10" s="1"/>
  <c r="AQ64" i="10"/>
  <c r="AT64" i="10" s="1"/>
  <c r="X14" i="10"/>
  <c r="AD14" i="10"/>
  <c r="AI14" i="10"/>
  <c r="AM14" i="10"/>
  <c r="X12" i="10"/>
  <c r="AD12" i="10"/>
  <c r="AI12" i="10"/>
  <c r="AM12" i="10"/>
  <c r="X10" i="10"/>
  <c r="AD10" i="10"/>
  <c r="AI10" i="10"/>
  <c r="AM10" i="10"/>
  <c r="X8" i="10"/>
  <c r="AD8" i="10"/>
  <c r="AI8" i="10"/>
  <c r="AM8" i="10"/>
  <c r="X6" i="10"/>
  <c r="Z6" i="10" s="1"/>
  <c r="AD6" i="10"/>
  <c r="AI6" i="10"/>
  <c r="AM6" i="10"/>
  <c r="R4" i="10"/>
  <c r="R10" i="10"/>
  <c r="R8" i="10"/>
  <c r="R14" i="10"/>
  <c r="AX15" i="10"/>
  <c r="AX13" i="10"/>
  <c r="AX7" i="10"/>
  <c r="AX5" i="10"/>
  <c r="AX11" i="10"/>
  <c r="AW15" i="10"/>
  <c r="AW13" i="10"/>
  <c r="AW11" i="10"/>
  <c r="AW9" i="10"/>
  <c r="AW7" i="10"/>
  <c r="AS15" i="10"/>
  <c r="AS13" i="10"/>
  <c r="AS11" i="10"/>
  <c r="AS9" i="10"/>
  <c r="AS7" i="10"/>
  <c r="AS5" i="10"/>
  <c r="AR14" i="10"/>
  <c r="AR12" i="10"/>
  <c r="AR10" i="10"/>
  <c r="AR8" i="10"/>
  <c r="AR6" i="10"/>
  <c r="AN14" i="10"/>
  <c r="AN10" i="10"/>
  <c r="AN6" i="10"/>
  <c r="AM13" i="10"/>
  <c r="AM9" i="10"/>
  <c r="AM5" i="10"/>
  <c r="AI13" i="10"/>
  <c r="AI9" i="10"/>
  <c r="AI5" i="10"/>
  <c r="AH12" i="10"/>
  <c r="AH8" i="10"/>
  <c r="AD15" i="10"/>
  <c r="AD11" i="10"/>
  <c r="AD7" i="10"/>
  <c r="AC14" i="10"/>
  <c r="AC10" i="10"/>
  <c r="AC6" i="10"/>
  <c r="Y12" i="10"/>
  <c r="Y8" i="10"/>
  <c r="X15" i="10"/>
  <c r="X11" i="10"/>
  <c r="X7" i="10"/>
  <c r="R37" i="10"/>
  <c r="R33" i="10"/>
  <c r="X39" i="10"/>
  <c r="X35" i="10"/>
  <c r="Y35" i="10"/>
  <c r="AB42" i="10"/>
  <c r="AI39" i="10"/>
  <c r="AI35" i="10"/>
  <c r="AN39" i="10"/>
  <c r="AN35" i="10"/>
  <c r="AS39" i="10"/>
  <c r="AS35" i="10"/>
  <c r="AW41" i="10"/>
  <c r="AW37" i="10"/>
  <c r="AW33" i="10"/>
  <c r="AV42" i="10"/>
  <c r="W62" i="10"/>
  <c r="Z62" i="10" s="1"/>
  <c r="Z64" i="10"/>
  <c r="AB58" i="10"/>
  <c r="AE58" i="10" s="1"/>
  <c r="AE63" i="10"/>
  <c r="AG62" i="10"/>
  <c r="AJ62" i="10" s="1"/>
  <c r="AQ58" i="10"/>
  <c r="AT58" i="10" s="1"/>
  <c r="AQ60" i="10"/>
  <c r="AT60" i="10" s="1"/>
  <c r="AV62" i="10"/>
  <c r="AY62" i="10" s="1"/>
  <c r="AY66" i="10"/>
  <c r="AZ86" i="10"/>
  <c r="R38" i="10"/>
  <c r="R36" i="10"/>
  <c r="R34" i="10"/>
  <c r="R40" i="10"/>
  <c r="X42" i="10"/>
  <c r="X40" i="10"/>
  <c r="X38" i="10"/>
  <c r="X36" i="10"/>
  <c r="Y34" i="10"/>
  <c r="Y32" i="10"/>
  <c r="AI42" i="10"/>
  <c r="AI40" i="10"/>
  <c r="AI38" i="10"/>
  <c r="AI36" i="10"/>
  <c r="AI34" i="10"/>
  <c r="AI32" i="10"/>
  <c r="AN42" i="10"/>
  <c r="AN40" i="10"/>
  <c r="AN38" i="10"/>
  <c r="AN36" i="10"/>
  <c r="AN34" i="10"/>
  <c r="AN32" i="10"/>
  <c r="AS42" i="10"/>
  <c r="AS40" i="10"/>
  <c r="AS38" i="10"/>
  <c r="AS36" i="10"/>
  <c r="AS34" i="10"/>
  <c r="AS32" i="10"/>
  <c r="AV57" i="10"/>
  <c r="AY57" i="10" s="1"/>
  <c r="AQ57" i="10"/>
  <c r="AT57" i="10" s="1"/>
  <c r="AV63" i="10"/>
  <c r="AY63" i="10" s="1"/>
  <c r="AQ63" i="10"/>
  <c r="AT63" i="10" s="1"/>
  <c r="AV61" i="10"/>
  <c r="AY61" i="10" s="1"/>
  <c r="AQ61" i="10"/>
  <c r="AT61" i="10" s="1"/>
  <c r="AV65" i="10"/>
  <c r="AY65" i="10" s="1"/>
  <c r="AQ65" i="10"/>
  <c r="AT65" i="10" s="1"/>
  <c r="W57" i="10"/>
  <c r="Z57" i="10" s="1"/>
  <c r="W65" i="10"/>
  <c r="Z65" i="10" s="1"/>
  <c r="W63" i="10"/>
  <c r="Z63" i="10" s="1"/>
  <c r="W61" i="10"/>
  <c r="Z61" i="10" s="1"/>
  <c r="AB57" i="10"/>
  <c r="AE57" i="10" s="1"/>
  <c r="AG56" i="10"/>
  <c r="AJ56" i="10" s="1"/>
  <c r="AG65" i="10"/>
  <c r="AJ65" i="10" s="1"/>
  <c r="AG63" i="10"/>
  <c r="AJ63" i="10" s="1"/>
  <c r="AG61" i="10"/>
  <c r="AJ61" i="10" s="1"/>
  <c r="AL57" i="10"/>
  <c r="AO57" i="10" s="1"/>
  <c r="AL63" i="10"/>
  <c r="AO63" i="10" s="1"/>
  <c r="AO56" i="10"/>
  <c r="AQ56" i="10"/>
  <c r="AT56" i="10" s="1"/>
  <c r="AV118" i="10"/>
  <c r="AY118" i="10" s="1"/>
  <c r="AQ118" i="10"/>
  <c r="AT118" i="10" s="1"/>
  <c r="AL118" i="10"/>
  <c r="AO118" i="10" s="1"/>
  <c r="AG118" i="10"/>
  <c r="AJ118" i="10" s="1"/>
  <c r="AB118" i="10"/>
  <c r="AE118" i="10" s="1"/>
  <c r="W118" i="10"/>
  <c r="Z118" i="10" s="1"/>
  <c r="AV119" i="10"/>
  <c r="AY119" i="10" s="1"/>
  <c r="AQ119" i="10"/>
  <c r="AT119" i="10" s="1"/>
  <c r="AL119" i="10"/>
  <c r="AO119" i="10" s="1"/>
  <c r="AG119" i="10"/>
  <c r="AJ119" i="10" s="1"/>
  <c r="AB119" i="10"/>
  <c r="AE119" i="10" s="1"/>
  <c r="W119" i="10"/>
  <c r="Z119" i="10" s="1"/>
  <c r="AV123" i="10"/>
  <c r="AY123" i="10" s="1"/>
  <c r="AQ123" i="10"/>
  <c r="AT123" i="10" s="1"/>
  <c r="AL123" i="10"/>
  <c r="AO123" i="10" s="1"/>
  <c r="AG123" i="10"/>
  <c r="AJ123" i="10" s="1"/>
  <c r="AB123" i="10"/>
  <c r="AE123" i="10" s="1"/>
  <c r="W123" i="10"/>
  <c r="Z123" i="10" s="1"/>
  <c r="Z140" i="10"/>
  <c r="Z120" i="10"/>
  <c r="AE120" i="10"/>
  <c r="AJ120" i="10"/>
  <c r="AO120" i="10"/>
  <c r="AT120" i="10"/>
  <c r="AY122" i="10"/>
  <c r="AY120" i="10"/>
  <c r="Z143" i="10"/>
  <c r="Z141" i="10"/>
  <c r="Z139" i="10"/>
  <c r="AY6" i="10" l="1"/>
  <c r="AE11" i="10"/>
  <c r="W32" i="10"/>
  <c r="Z32" i="10" s="1"/>
  <c r="AZ159" i="10"/>
  <c r="AG32" i="10"/>
  <c r="AJ32" i="10" s="1"/>
  <c r="AL32" i="10"/>
  <c r="AO32" i="10" s="1"/>
  <c r="AE42" i="10"/>
  <c r="AO6" i="10"/>
  <c r="AV32" i="10"/>
  <c r="AY32" i="10" s="1"/>
  <c r="AQ32" i="10"/>
  <c r="AT32" i="10" s="1"/>
  <c r="Z42" i="10"/>
  <c r="AJ11" i="10"/>
  <c r="AE32" i="10"/>
  <c r="AV12" i="10"/>
  <c r="AY12" i="10" s="1"/>
  <c r="AZ117" i="10"/>
  <c r="BA117" i="10" s="1"/>
  <c r="AZ160" i="10"/>
  <c r="AZ163" i="10"/>
  <c r="AG12" i="10"/>
  <c r="AJ12" i="10" s="1"/>
  <c r="W12" i="10"/>
  <c r="Z12" i="10" s="1"/>
  <c r="AY42" i="10"/>
  <c r="AL12" i="10"/>
  <c r="AO12" i="10" s="1"/>
  <c r="AZ122" i="10"/>
  <c r="BA122" i="10" s="1"/>
  <c r="AJ6" i="10"/>
  <c r="AZ161" i="10"/>
  <c r="AE15" i="10"/>
  <c r="AT11" i="10"/>
  <c r="AT15" i="10"/>
  <c r="AT6" i="10"/>
  <c r="AZ89" i="10"/>
  <c r="AZ85" i="10"/>
  <c r="AZ94" i="10"/>
  <c r="AE12" i="10"/>
  <c r="Z11" i="10"/>
  <c r="AZ91" i="10"/>
  <c r="BA91" i="10" s="1"/>
  <c r="AZ99" i="10"/>
  <c r="BA99" i="10" s="1"/>
  <c r="T99" i="10" s="1"/>
  <c r="AZ96" i="10"/>
  <c r="BA96" i="10" s="1"/>
  <c r="T96" i="10" s="1"/>
  <c r="AZ63" i="10"/>
  <c r="AO42" i="10"/>
  <c r="AZ82" i="10"/>
  <c r="AZ87" i="10"/>
  <c r="AZ93" i="10"/>
  <c r="AZ95" i="10"/>
  <c r="AY11" i="10"/>
  <c r="AY15" i="10"/>
  <c r="AQ12" i="10"/>
  <c r="AT12" i="10" s="1"/>
  <c r="AZ88" i="10"/>
  <c r="AZ92" i="10"/>
  <c r="AZ90" i="10"/>
  <c r="AZ119" i="10"/>
  <c r="BA119" i="10" s="1"/>
  <c r="AZ83" i="10"/>
  <c r="AZ118" i="10"/>
  <c r="BA118" i="10" s="1"/>
  <c r="AQ40" i="10"/>
  <c r="AT40" i="10" s="1"/>
  <c r="AL40" i="10"/>
  <c r="AO40" i="10" s="1"/>
  <c r="AG40" i="10"/>
  <c r="AJ40" i="10" s="1"/>
  <c r="W40" i="10"/>
  <c r="Z40" i="10" s="1"/>
  <c r="AV40" i="10"/>
  <c r="AY40" i="10" s="1"/>
  <c r="AB40" i="10"/>
  <c r="AE40" i="10" s="1"/>
  <c r="AQ36" i="10"/>
  <c r="AT36" i="10" s="1"/>
  <c r="AL36" i="10"/>
  <c r="AO36" i="10" s="1"/>
  <c r="AG36" i="10"/>
  <c r="AJ36" i="10" s="1"/>
  <c r="W36" i="10"/>
  <c r="Z36" i="10" s="1"/>
  <c r="AV36" i="10"/>
  <c r="AY36" i="10" s="1"/>
  <c r="AB36" i="10"/>
  <c r="AE36" i="10" s="1"/>
  <c r="AV37" i="10"/>
  <c r="AY37" i="10" s="1"/>
  <c r="AB37" i="10"/>
  <c r="AE37" i="10" s="1"/>
  <c r="AQ37" i="10"/>
  <c r="AT37" i="10" s="1"/>
  <c r="AL37" i="10"/>
  <c r="AO37" i="10" s="1"/>
  <c r="AG37" i="10"/>
  <c r="AJ37" i="10" s="1"/>
  <c r="W37" i="10"/>
  <c r="Z37" i="10" s="1"/>
  <c r="AB8" i="10"/>
  <c r="AE8" i="10" s="1"/>
  <c r="AG8" i="10"/>
  <c r="AJ8" i="10" s="1"/>
  <c r="AQ8" i="10"/>
  <c r="AT8" i="10" s="1"/>
  <c r="AL8" i="10"/>
  <c r="AO8" i="10" s="1"/>
  <c r="W8" i="10"/>
  <c r="Z8" i="10" s="1"/>
  <c r="AV8" i="10"/>
  <c r="AY8" i="10" s="1"/>
  <c r="AZ123" i="10"/>
  <c r="BA123" i="10" s="1"/>
  <c r="AZ61" i="10"/>
  <c r="AZ65" i="10"/>
  <c r="BA65" i="10" s="1"/>
  <c r="AZ58" i="10"/>
  <c r="AZ64" i="10"/>
  <c r="BA64" i="10" s="1"/>
  <c r="W13" i="10"/>
  <c r="Z13" i="10" s="1"/>
  <c r="AL13" i="10"/>
  <c r="AO13" i="10" s="1"/>
  <c r="AB13" i="10"/>
  <c r="AE13" i="10" s="1"/>
  <c r="AV13" i="10"/>
  <c r="AY13" i="10" s="1"/>
  <c r="AG13" i="10"/>
  <c r="AJ13" i="10" s="1"/>
  <c r="AQ13" i="10"/>
  <c r="AT13" i="10" s="1"/>
  <c r="W9" i="10"/>
  <c r="Z9" i="10" s="1"/>
  <c r="AL9" i="10"/>
  <c r="AO9" i="10" s="1"/>
  <c r="AB9" i="10"/>
  <c r="AE9" i="10" s="1"/>
  <c r="AV9" i="10"/>
  <c r="AY9" i="10" s="1"/>
  <c r="AG9" i="10"/>
  <c r="AJ9" i="10" s="1"/>
  <c r="AQ9" i="10"/>
  <c r="AT9" i="10" s="1"/>
  <c r="W5" i="10"/>
  <c r="Z5" i="10" s="1"/>
  <c r="AL5" i="10"/>
  <c r="AO5" i="10" s="1"/>
  <c r="AG5" i="10"/>
  <c r="AJ5" i="10" s="1"/>
  <c r="AQ5" i="10"/>
  <c r="AT5" i="10" s="1"/>
  <c r="AV5" i="10"/>
  <c r="AB5" i="10"/>
  <c r="AE5" i="10" s="1"/>
  <c r="Z15" i="10"/>
  <c r="AZ120" i="10"/>
  <c r="BA120" i="10" s="1"/>
  <c r="AZ57" i="10"/>
  <c r="AT42" i="10"/>
  <c r="AJ42" i="10"/>
  <c r="AQ34" i="10"/>
  <c r="AT34" i="10" s="1"/>
  <c r="AL34" i="10"/>
  <c r="AO34" i="10" s="1"/>
  <c r="AG34" i="10"/>
  <c r="AJ34" i="10" s="1"/>
  <c r="W34" i="10"/>
  <c r="Z34" i="10" s="1"/>
  <c r="AV34" i="10"/>
  <c r="AY34" i="10" s="1"/>
  <c r="AB34" i="10"/>
  <c r="AE34" i="10" s="1"/>
  <c r="AQ38" i="10"/>
  <c r="AT38" i="10" s="1"/>
  <c r="AL38" i="10"/>
  <c r="AO38" i="10" s="1"/>
  <c r="AG38" i="10"/>
  <c r="AJ38" i="10" s="1"/>
  <c r="W38" i="10"/>
  <c r="Z38" i="10" s="1"/>
  <c r="AV38" i="10"/>
  <c r="AY38" i="10" s="1"/>
  <c r="AB38" i="10"/>
  <c r="AE38" i="10" s="1"/>
  <c r="AZ62" i="10"/>
  <c r="AV33" i="10"/>
  <c r="AY33" i="10" s="1"/>
  <c r="AB33" i="10"/>
  <c r="AE33" i="10" s="1"/>
  <c r="AQ33" i="10"/>
  <c r="AT33" i="10" s="1"/>
  <c r="AL33" i="10"/>
  <c r="AO33" i="10" s="1"/>
  <c r="AG33" i="10"/>
  <c r="AJ33" i="10" s="1"/>
  <c r="W33" i="10"/>
  <c r="Z33" i="10" s="1"/>
  <c r="AB14" i="10"/>
  <c r="AE14" i="10" s="1"/>
  <c r="AG14" i="10"/>
  <c r="AJ14" i="10" s="1"/>
  <c r="AQ14" i="10"/>
  <c r="AT14" i="10" s="1"/>
  <c r="AL14" i="10"/>
  <c r="AO14" i="10" s="1"/>
  <c r="W14" i="10"/>
  <c r="Z14" i="10" s="1"/>
  <c r="AV14" i="10"/>
  <c r="AY14" i="10" s="1"/>
  <c r="AB10" i="10"/>
  <c r="AE10" i="10" s="1"/>
  <c r="AG10" i="10"/>
  <c r="AJ10" i="10" s="1"/>
  <c r="AQ10" i="10"/>
  <c r="AT10" i="10" s="1"/>
  <c r="W10" i="10"/>
  <c r="Z10" i="10" s="1"/>
  <c r="AL10" i="10"/>
  <c r="AO10" i="10" s="1"/>
  <c r="AV10" i="10"/>
  <c r="AY10" i="10" s="1"/>
  <c r="AE6" i="10"/>
  <c r="AZ56" i="10"/>
  <c r="AV35" i="10"/>
  <c r="AY35" i="10" s="1"/>
  <c r="AB35" i="10"/>
  <c r="AE35" i="10" s="1"/>
  <c r="W35" i="10"/>
  <c r="Z35" i="10" s="1"/>
  <c r="AQ35" i="10"/>
  <c r="AT35" i="10" s="1"/>
  <c r="AL35" i="10"/>
  <c r="AO35" i="10" s="1"/>
  <c r="AG35" i="10"/>
  <c r="AJ35" i="10" s="1"/>
  <c r="AV41" i="10"/>
  <c r="AY41" i="10" s="1"/>
  <c r="AB41" i="10"/>
  <c r="AE41" i="10" s="1"/>
  <c r="AQ41" i="10"/>
  <c r="AT41" i="10" s="1"/>
  <c r="AL41" i="10"/>
  <c r="AO41" i="10" s="1"/>
  <c r="AG41" i="10"/>
  <c r="AJ41" i="10" s="1"/>
  <c r="W41" i="10"/>
  <c r="Z41" i="10" s="1"/>
  <c r="AJ15" i="10"/>
  <c r="W7" i="10"/>
  <c r="Z7" i="10" s="1"/>
  <c r="AL7" i="10"/>
  <c r="AO7" i="10" s="1"/>
  <c r="AG7" i="10"/>
  <c r="AJ7" i="10" s="1"/>
  <c r="AQ7" i="10"/>
  <c r="AT7" i="10" s="1"/>
  <c r="AV7" i="10"/>
  <c r="AY7" i="10" s="1"/>
  <c r="AB7" i="10"/>
  <c r="AE7" i="10" s="1"/>
  <c r="AO11" i="10"/>
  <c r="AO15" i="10"/>
  <c r="AZ84" i="10"/>
  <c r="AZ32" i="10" l="1"/>
  <c r="BA32" i="10" s="1"/>
  <c r="AZ11" i="10"/>
  <c r="BA11" i="10" s="1"/>
  <c r="AZ12" i="10"/>
  <c r="BA12" i="10" s="1"/>
  <c r="AZ6" i="10"/>
  <c r="BA6" i="10" s="1"/>
  <c r="AZ15" i="10"/>
  <c r="BA15" i="10" s="1"/>
  <c r="AZ42" i="10"/>
  <c r="BA42" i="10" s="1"/>
  <c r="AZ7" i="10"/>
  <c r="BA7" i="10" s="1"/>
  <c r="AZ41" i="10"/>
  <c r="BA41" i="10" s="1"/>
  <c r="AZ35" i="10"/>
  <c r="BA35" i="10" s="1"/>
  <c r="T35" i="10" s="1"/>
  <c r="AZ33" i="10"/>
  <c r="BA33" i="10" s="1"/>
  <c r="AZ9" i="10"/>
  <c r="BA9" i="10" s="1"/>
  <c r="AZ37" i="10"/>
  <c r="BA37" i="10" s="1"/>
  <c r="AZ13" i="10"/>
  <c r="BA13" i="10" s="1"/>
  <c r="AZ10" i="10"/>
  <c r="BA10" i="10" s="1"/>
  <c r="AZ14" i="10"/>
  <c r="BA14" i="10" s="1"/>
  <c r="AZ38" i="10"/>
  <c r="BA38" i="10" s="1"/>
  <c r="AZ34" i="10"/>
  <c r="BA34" i="10" s="1"/>
  <c r="AZ36" i="10"/>
  <c r="BA36" i="10" s="1"/>
  <c r="AZ40" i="10"/>
  <c r="BA40" i="10" s="1"/>
  <c r="T63" i="10" l="1"/>
  <c r="BA62" i="10"/>
  <c r="T62" i="10" s="1"/>
  <c r="G25" i="10" l="1"/>
  <c r="I25" i="10"/>
  <c r="K25" i="10"/>
  <c r="M25" i="10"/>
  <c r="O25" i="10"/>
  <c r="Q25" i="10"/>
  <c r="G51" i="10"/>
  <c r="I51" i="10"/>
  <c r="K51" i="10"/>
  <c r="M51" i="10"/>
  <c r="O51" i="10"/>
  <c r="Q51" i="10"/>
  <c r="E189" i="10"/>
  <c r="I189" i="10"/>
  <c r="G189" i="10"/>
  <c r="O164" i="10"/>
  <c r="M164" i="10"/>
  <c r="K164" i="10"/>
  <c r="I164" i="10"/>
  <c r="G164" i="10"/>
  <c r="O145" i="10"/>
  <c r="M145" i="10"/>
  <c r="K145" i="10"/>
  <c r="I145" i="10"/>
  <c r="G145" i="10"/>
  <c r="E145" i="10"/>
  <c r="E124" i="10"/>
  <c r="E16" i="10"/>
  <c r="E44" i="10"/>
  <c r="O101" i="10"/>
  <c r="Q109" i="10"/>
  <c r="M101" i="10"/>
  <c r="K101" i="10"/>
  <c r="I101" i="10"/>
  <c r="AI101" i="10" s="1"/>
  <c r="G101" i="10"/>
  <c r="O68" i="10"/>
  <c r="M68" i="10"/>
  <c r="K68" i="10"/>
  <c r="I68" i="10"/>
  <c r="G68" i="10"/>
  <c r="E68" i="10"/>
  <c r="U59" i="10"/>
  <c r="U60" i="10"/>
  <c r="U61" i="10"/>
  <c r="U62" i="10"/>
  <c r="U63" i="10"/>
  <c r="U64" i="10"/>
  <c r="U65" i="10"/>
  <c r="U66" i="10"/>
  <c r="BA56" i="10" l="1"/>
  <c r="BA86" i="10"/>
  <c r="V4" i="10" l="1"/>
  <c r="U4" i="10"/>
  <c r="S4" i="10"/>
  <c r="Q178" i="10" l="1"/>
  <c r="Q179" i="10"/>
  <c r="Q180" i="10"/>
  <c r="Q181" i="10"/>
  <c r="Q182" i="10"/>
  <c r="Q183" i="10"/>
  <c r="Q184" i="10"/>
  <c r="X184" i="10" s="1"/>
  <c r="Q185" i="10"/>
  <c r="Q186" i="10"/>
  <c r="Q187" i="10"/>
  <c r="X187" i="10" s="1"/>
  <c r="Q188" i="10"/>
  <c r="X188" i="10" s="1"/>
  <c r="Q177" i="10"/>
  <c r="R177" i="10" s="1"/>
  <c r="BA163" i="10"/>
  <c r="T163" i="10" s="1"/>
  <c r="R162" i="10"/>
  <c r="S144" i="10"/>
  <c r="U144" i="10"/>
  <c r="V144" i="10"/>
  <c r="AB144" i="10"/>
  <c r="AC144" i="10"/>
  <c r="AD144" i="10"/>
  <c r="AG144" i="10"/>
  <c r="AH144" i="10"/>
  <c r="AI144" i="10"/>
  <c r="AL144" i="10"/>
  <c r="AM144" i="10"/>
  <c r="AN144" i="10"/>
  <c r="AQ144" i="10"/>
  <c r="AR144" i="10"/>
  <c r="AS144" i="10"/>
  <c r="AV144" i="10"/>
  <c r="AW144" i="10"/>
  <c r="AX144" i="10"/>
  <c r="AY144" i="10" s="1"/>
  <c r="T120" i="10"/>
  <c r="BA88" i="10"/>
  <c r="BA61" i="10"/>
  <c r="BA58" i="10"/>
  <c r="AO144" i="10" l="1"/>
  <c r="AE144" i="10"/>
  <c r="AV162" i="10"/>
  <c r="AY162" i="10" s="1"/>
  <c r="AQ162" i="10"/>
  <c r="AT162" i="10" s="1"/>
  <c r="AL162" i="10"/>
  <c r="AO162" i="10" s="1"/>
  <c r="AG162" i="10"/>
  <c r="AJ162" i="10" s="1"/>
  <c r="AB162" i="10"/>
  <c r="AE162" i="10" s="1"/>
  <c r="W162" i="10"/>
  <c r="Z162" i="10" s="1"/>
  <c r="X185" i="10"/>
  <c r="R185" i="10"/>
  <c r="W185" i="10" s="1"/>
  <c r="X183" i="10"/>
  <c r="R183" i="10"/>
  <c r="W183" i="10" s="1"/>
  <c r="R181" i="10"/>
  <c r="W181" i="10" s="1"/>
  <c r="X181" i="10"/>
  <c r="R179" i="10"/>
  <c r="W179" i="10" s="1"/>
  <c r="X179" i="10"/>
  <c r="X186" i="10"/>
  <c r="R186" i="10"/>
  <c r="W186" i="10" s="1"/>
  <c r="R182" i="10"/>
  <c r="W182" i="10" s="1"/>
  <c r="X182" i="10"/>
  <c r="R180" i="10"/>
  <c r="W180" i="10" s="1"/>
  <c r="X180" i="10"/>
  <c r="R178" i="10"/>
  <c r="W178" i="10" s="1"/>
  <c r="X178" i="10"/>
  <c r="AT144" i="10"/>
  <c r="AJ144" i="10"/>
  <c r="BA57" i="10"/>
  <c r="AZ162" i="10" l="1"/>
  <c r="AZ144" i="10"/>
  <c r="BA144" i="10" s="1"/>
  <c r="T144" i="10" s="1"/>
  <c r="T236" i="10"/>
  <c r="T237" i="10"/>
  <c r="T238" i="10"/>
  <c r="T239" i="10"/>
  <c r="V5" i="10" l="1"/>
  <c r="S137" i="10" l="1"/>
  <c r="W137" i="10"/>
  <c r="U137" i="10"/>
  <c r="V137" i="10"/>
  <c r="X137" i="10"/>
  <c r="Y137" i="10"/>
  <c r="AC137" i="10"/>
  <c r="AD137" i="10"/>
  <c r="AH137" i="10"/>
  <c r="AI137" i="10"/>
  <c r="AM137" i="10"/>
  <c r="AN137" i="10"/>
  <c r="AR137" i="10"/>
  <c r="AS137" i="10"/>
  <c r="AW137" i="10"/>
  <c r="AX137" i="10"/>
  <c r="T64" i="10"/>
  <c r="V64" i="10"/>
  <c r="V62" i="10"/>
  <c r="S60" i="10"/>
  <c r="V60" i="10"/>
  <c r="W60" i="10"/>
  <c r="Z60" i="10" s="1"/>
  <c r="AM60" i="10"/>
  <c r="AO60" i="10" s="1"/>
  <c r="S62" i="10"/>
  <c r="S63" i="10"/>
  <c r="V63" i="10"/>
  <c r="S100" i="10"/>
  <c r="U100" i="10"/>
  <c r="V100" i="10"/>
  <c r="AZ60" i="10" l="1"/>
  <c r="Z137" i="10"/>
  <c r="AV137" i="10"/>
  <c r="AY137" i="10" s="1"/>
  <c r="AQ137" i="10"/>
  <c r="AT137" i="10" s="1"/>
  <c r="AL137" i="10"/>
  <c r="AO137" i="10" s="1"/>
  <c r="AG137" i="10"/>
  <c r="AJ137" i="10" s="1"/>
  <c r="AB137" i="10"/>
  <c r="AE137" i="10" s="1"/>
  <c r="R79" i="10"/>
  <c r="S15" i="10"/>
  <c r="T15" i="10"/>
  <c r="U15" i="10"/>
  <c r="V15" i="10"/>
  <c r="AZ137" i="10" l="1"/>
  <c r="BA100" i="10"/>
  <c r="T100" i="10" s="1"/>
  <c r="T60" i="10"/>
  <c r="BA137" i="10"/>
  <c r="T137" i="10" s="1"/>
  <c r="S185" i="10"/>
  <c r="U185" i="10"/>
  <c r="V185" i="10"/>
  <c r="Y185" i="10"/>
  <c r="AB185" i="10"/>
  <c r="AC185" i="10"/>
  <c r="AD185" i="10"/>
  <c r="AG185" i="10"/>
  <c r="AH185" i="10"/>
  <c r="AI185" i="10"/>
  <c r="AL185" i="10"/>
  <c r="AM185" i="10"/>
  <c r="AN185" i="10"/>
  <c r="AQ185" i="10"/>
  <c r="AR185" i="10"/>
  <c r="AS185" i="10"/>
  <c r="AV185" i="10"/>
  <c r="AW185" i="10"/>
  <c r="AX185" i="10"/>
  <c r="U181" i="10"/>
  <c r="V181" i="10"/>
  <c r="Y181" i="10"/>
  <c r="AB181" i="10"/>
  <c r="AC181" i="10"/>
  <c r="AD181" i="10"/>
  <c r="AG181" i="10"/>
  <c r="AH181" i="10"/>
  <c r="AI181" i="10"/>
  <c r="AL181" i="10"/>
  <c r="AM181" i="10"/>
  <c r="AN181" i="10"/>
  <c r="AQ181" i="10"/>
  <c r="AR181" i="10"/>
  <c r="AS181" i="10"/>
  <c r="AV181" i="10"/>
  <c r="AW181" i="10"/>
  <c r="AX181" i="10"/>
  <c r="S181" i="10"/>
  <c r="AT181" i="10" l="1"/>
  <c r="AJ181" i="10"/>
  <c r="Z181" i="10"/>
  <c r="AT185" i="10"/>
  <c r="AJ185" i="10"/>
  <c r="Z185" i="10"/>
  <c r="AY181" i="10"/>
  <c r="AO181" i="10"/>
  <c r="AE181" i="10"/>
  <c r="AY185" i="10"/>
  <c r="AO185" i="10"/>
  <c r="AE185" i="10"/>
  <c r="O189" i="10"/>
  <c r="M189" i="10"/>
  <c r="K189" i="10"/>
  <c r="AZ185" i="10" l="1"/>
  <c r="BA185" i="10" s="1"/>
  <c r="T185" i="10" s="1"/>
  <c r="AZ181" i="10"/>
  <c r="BA181" i="10" s="1"/>
  <c r="T181" i="10" s="1"/>
  <c r="G44" i="10"/>
  <c r="O16" i="10" l="1"/>
  <c r="M16" i="10"/>
  <c r="K16" i="10"/>
  <c r="I16" i="10"/>
  <c r="G16" i="10"/>
  <c r="AX182" i="10" l="1"/>
  <c r="AW182" i="10"/>
  <c r="AV182" i="10"/>
  <c r="AS182" i="10"/>
  <c r="AR182" i="10"/>
  <c r="AQ182" i="10"/>
  <c r="AN182" i="10"/>
  <c r="AM182" i="10"/>
  <c r="AL182" i="10"/>
  <c r="AI182" i="10"/>
  <c r="AH182" i="10"/>
  <c r="AG182" i="10"/>
  <c r="AD182" i="10"/>
  <c r="AC182" i="10"/>
  <c r="AB182" i="10"/>
  <c r="Y182" i="10"/>
  <c r="V182" i="10"/>
  <c r="U182" i="10"/>
  <c r="S182" i="10"/>
  <c r="V162" i="10"/>
  <c r="U162" i="10"/>
  <c r="S162" i="10"/>
  <c r="AV143" i="10"/>
  <c r="AQ143" i="10"/>
  <c r="AL143" i="10"/>
  <c r="AG143" i="10"/>
  <c r="AB143" i="10"/>
  <c r="V143" i="10"/>
  <c r="U143" i="10"/>
  <c r="S143" i="10"/>
  <c r="AX143" i="10"/>
  <c r="AX158" i="10"/>
  <c r="AW158" i="10"/>
  <c r="AV158" i="10"/>
  <c r="AS158" i="10"/>
  <c r="AR158" i="10"/>
  <c r="AQ158" i="10"/>
  <c r="AN158" i="10"/>
  <c r="AM158" i="10"/>
  <c r="AL158" i="10"/>
  <c r="AI158" i="10"/>
  <c r="AH158" i="10"/>
  <c r="AG158" i="10"/>
  <c r="AD158" i="10"/>
  <c r="AC158" i="10"/>
  <c r="AB158" i="10"/>
  <c r="Y158" i="10"/>
  <c r="X158" i="10"/>
  <c r="V158" i="10"/>
  <c r="U158" i="10"/>
  <c r="S158" i="10"/>
  <c r="AX139" i="10"/>
  <c r="AW139" i="10"/>
  <c r="AV139" i="10"/>
  <c r="AS139" i="10"/>
  <c r="AR139" i="10"/>
  <c r="AQ139" i="10"/>
  <c r="AN139" i="10"/>
  <c r="AM139" i="10"/>
  <c r="AL139" i="10"/>
  <c r="AI139" i="10"/>
  <c r="AH139" i="10"/>
  <c r="AG139" i="10"/>
  <c r="AD139" i="10"/>
  <c r="AC139" i="10"/>
  <c r="AB139" i="10"/>
  <c r="V139" i="10"/>
  <c r="U139" i="10"/>
  <c r="S139" i="10"/>
  <c r="V118" i="10"/>
  <c r="U118" i="10"/>
  <c r="S118" i="10"/>
  <c r="V122" i="10"/>
  <c r="U122" i="10"/>
  <c r="S122" i="10"/>
  <c r="V88" i="10"/>
  <c r="U88" i="10"/>
  <c r="T88" i="10"/>
  <c r="S88" i="10"/>
  <c r="V99" i="10"/>
  <c r="S99" i="10"/>
  <c r="V96" i="10"/>
  <c r="U96" i="10"/>
  <c r="S96" i="10"/>
  <c r="V91" i="10"/>
  <c r="U91" i="10"/>
  <c r="S91" i="10"/>
  <c r="V89" i="10"/>
  <c r="U89" i="10"/>
  <c r="S89" i="10"/>
  <c r="V84" i="10"/>
  <c r="U84" i="10"/>
  <c r="S84" i="10"/>
  <c r="V82" i="10"/>
  <c r="U82" i="10"/>
  <c r="S82" i="10"/>
  <c r="V66" i="10"/>
  <c r="T66" i="10"/>
  <c r="S66" i="10"/>
  <c r="T67" i="10"/>
  <c r="AX67" i="10"/>
  <c r="AW67" i="10"/>
  <c r="AS67" i="10"/>
  <c r="AR67" i="10"/>
  <c r="AQ67" i="10"/>
  <c r="AN67" i="10"/>
  <c r="AM67" i="10"/>
  <c r="AI67" i="10"/>
  <c r="AH67" i="10"/>
  <c r="AG67" i="10"/>
  <c r="AD67" i="10"/>
  <c r="AC67" i="10"/>
  <c r="AB67" i="10"/>
  <c r="Y67" i="10"/>
  <c r="V67" i="10"/>
  <c r="U67" i="10"/>
  <c r="S67" i="10"/>
  <c r="V36" i="10"/>
  <c r="U36" i="10"/>
  <c r="S36" i="10"/>
  <c r="V35" i="10"/>
  <c r="U35" i="10"/>
  <c r="S35" i="10"/>
  <c r="V40" i="10"/>
  <c r="U40" i="10"/>
  <c r="S40" i="10"/>
  <c r="T42" i="10"/>
  <c r="V42" i="10"/>
  <c r="U42" i="10"/>
  <c r="S42" i="10"/>
  <c r="V33" i="10"/>
  <c r="U33" i="10"/>
  <c r="S33" i="10"/>
  <c r="T41" i="10"/>
  <c r="V41" i="10"/>
  <c r="U41" i="10"/>
  <c r="S41" i="10"/>
  <c r="T37" i="10"/>
  <c r="V37" i="10"/>
  <c r="U37" i="10"/>
  <c r="S37" i="10"/>
  <c r="T12" i="10"/>
  <c r="V12" i="10"/>
  <c r="U12" i="10"/>
  <c r="S12" i="10"/>
  <c r="T10" i="10"/>
  <c r="V10" i="10"/>
  <c r="U10" i="10"/>
  <c r="S10" i="10"/>
  <c r="AE139" i="10" l="1"/>
  <c r="AO139" i="10"/>
  <c r="AY139" i="10"/>
  <c r="Z182" i="10"/>
  <c r="AJ182" i="10"/>
  <c r="AT182" i="10"/>
  <c r="AE182" i="10"/>
  <c r="AO182" i="10"/>
  <c r="AY182" i="10"/>
  <c r="AE158" i="10"/>
  <c r="AJ139" i="10"/>
  <c r="AT139" i="10"/>
  <c r="AT158" i="10"/>
  <c r="Z158" i="10"/>
  <c r="AJ158" i="10"/>
  <c r="AO158" i="10"/>
  <c r="AY158" i="10"/>
  <c r="AC143" i="10"/>
  <c r="AH143" i="10"/>
  <c r="AM143" i="10"/>
  <c r="AR143" i="10"/>
  <c r="AW143" i="10"/>
  <c r="AY143" i="10" s="1"/>
  <c r="AD143" i="10"/>
  <c r="AI143" i="10"/>
  <c r="AN143" i="10"/>
  <c r="AS143" i="10"/>
  <c r="AE67" i="10"/>
  <c r="AO67" i="10"/>
  <c r="AY67" i="10"/>
  <c r="Z67" i="10"/>
  <c r="AJ67" i="10"/>
  <c r="AT67" i="10"/>
  <c r="AZ182" i="10" l="1"/>
  <c r="BA182" i="10" s="1"/>
  <c r="T182" i="10" s="1"/>
  <c r="AZ158" i="10"/>
  <c r="BA158" i="10" s="1"/>
  <c r="T158" i="10" s="1"/>
  <c r="AT143" i="10"/>
  <c r="AJ143" i="10"/>
  <c r="AO143" i="10"/>
  <c r="AE143" i="10"/>
  <c r="AZ139" i="10"/>
  <c r="BA139" i="10" s="1"/>
  <c r="T139" i="10" s="1"/>
  <c r="BA162" i="10"/>
  <c r="T162" i="10" s="1"/>
  <c r="T118" i="10"/>
  <c r="T122" i="10"/>
  <c r="BA82" i="10"/>
  <c r="T82" i="10" s="1"/>
  <c r="T36" i="10"/>
  <c r="AZ67" i="10"/>
  <c r="T33" i="10"/>
  <c r="BA84" i="10"/>
  <c r="T84" i="10" s="1"/>
  <c r="T40" i="10"/>
  <c r="AZ143" i="10" l="1"/>
  <c r="BA143" i="10" s="1"/>
  <c r="T143" i="10" s="1"/>
  <c r="BA89" i="10"/>
  <c r="T89" i="10" s="1"/>
  <c r="O124" i="10"/>
  <c r="O44" i="10" l="1"/>
  <c r="M44" i="10"/>
  <c r="K44" i="10"/>
  <c r="I44" i="10"/>
  <c r="V238" i="10"/>
  <c r="U238" i="10"/>
  <c r="S238" i="10"/>
  <c r="Q238" i="10"/>
  <c r="AX238" i="10" s="1"/>
  <c r="V237" i="10"/>
  <c r="U237" i="10"/>
  <c r="S237" i="10"/>
  <c r="Q237" i="10"/>
  <c r="AX237" i="10" s="1"/>
  <c r="V236" i="10"/>
  <c r="U236" i="10"/>
  <c r="S236" i="10"/>
  <c r="Q236" i="10"/>
  <c r="AX236" i="10" s="1"/>
  <c r="X236" i="10" l="1"/>
  <c r="AH236" i="10"/>
  <c r="AR236" i="10"/>
  <c r="X237" i="10"/>
  <c r="AH237" i="10"/>
  <c r="AR237" i="10"/>
  <c r="X238" i="10"/>
  <c r="AH238" i="10"/>
  <c r="AR238" i="10"/>
  <c r="AV236" i="10"/>
  <c r="AC236" i="10"/>
  <c r="AM236" i="10"/>
  <c r="AW236" i="10"/>
  <c r="AV237" i="10"/>
  <c r="AC237" i="10"/>
  <c r="AM237" i="10"/>
  <c r="AW237" i="10"/>
  <c r="AV238" i="10"/>
  <c r="AC238" i="10"/>
  <c r="AM238" i="10"/>
  <c r="AW238" i="10"/>
  <c r="W236" i="10"/>
  <c r="Y236" i="10"/>
  <c r="AB236" i="10"/>
  <c r="AD236" i="10"/>
  <c r="AG236" i="10"/>
  <c r="AI236" i="10"/>
  <c r="AL236" i="10"/>
  <c r="AN236" i="10"/>
  <c r="AQ236" i="10"/>
  <c r="AS236" i="10"/>
  <c r="W237" i="10"/>
  <c r="Y237" i="10"/>
  <c r="AB237" i="10"/>
  <c r="AD237" i="10"/>
  <c r="AG237" i="10"/>
  <c r="AI237" i="10"/>
  <c r="AL237" i="10"/>
  <c r="AN237" i="10"/>
  <c r="AQ237" i="10"/>
  <c r="AS237" i="10"/>
  <c r="W238" i="10"/>
  <c r="Y238" i="10"/>
  <c r="AB238" i="10"/>
  <c r="AD238" i="10"/>
  <c r="AG238" i="10"/>
  <c r="AI238" i="10"/>
  <c r="AL238" i="10"/>
  <c r="AN238" i="10"/>
  <c r="AQ238" i="10"/>
  <c r="AS238" i="10"/>
  <c r="AY238" i="10" l="1"/>
  <c r="AY237" i="10"/>
  <c r="AY236" i="10"/>
  <c r="AT238" i="10"/>
  <c r="AO238" i="10"/>
  <c r="AJ238" i="10"/>
  <c r="AE238" i="10"/>
  <c r="Z238" i="10"/>
  <c r="AT237" i="10"/>
  <c r="AO237" i="10"/>
  <c r="AJ237" i="10"/>
  <c r="AE237" i="10"/>
  <c r="Z237" i="10"/>
  <c r="AT236" i="10"/>
  <c r="AO236" i="10"/>
  <c r="AJ236" i="10"/>
  <c r="AE236" i="10"/>
  <c r="Z236" i="10"/>
  <c r="AZ236" i="10" l="1"/>
  <c r="AZ237" i="10"/>
  <c r="AZ238" i="10"/>
  <c r="V180" i="10" l="1"/>
  <c r="U180" i="10"/>
  <c r="S180" i="10"/>
  <c r="V94" i="10"/>
  <c r="U94" i="10"/>
  <c r="S94" i="10"/>
  <c r="V8" i="10"/>
  <c r="U8" i="10"/>
  <c r="S8" i="10"/>
  <c r="AX184" i="10" l="1"/>
  <c r="AW184" i="10"/>
  <c r="AV184" i="10"/>
  <c r="AS184" i="10"/>
  <c r="AR184" i="10"/>
  <c r="AQ184" i="10"/>
  <c r="AN184" i="10"/>
  <c r="AM184" i="10"/>
  <c r="AL184" i="10"/>
  <c r="AI184" i="10"/>
  <c r="AH184" i="10"/>
  <c r="AG184" i="10"/>
  <c r="AD184" i="10"/>
  <c r="AC184" i="10"/>
  <c r="AB184" i="10"/>
  <c r="Y184" i="10"/>
  <c r="V184" i="10"/>
  <c r="U184" i="10"/>
  <c r="S184" i="10"/>
  <c r="V95" i="10"/>
  <c r="U95" i="10"/>
  <c r="S95" i="10"/>
  <c r="V85" i="10"/>
  <c r="U85" i="10"/>
  <c r="S85" i="10"/>
  <c r="T61" i="10"/>
  <c r="V61" i="10"/>
  <c r="S61" i="10"/>
  <c r="T43" i="10"/>
  <c r="S38" i="10"/>
  <c r="U38" i="10"/>
  <c r="V38" i="10"/>
  <c r="T38" i="10"/>
  <c r="AW4" i="10"/>
  <c r="AS4" i="10"/>
  <c r="AR4" i="10"/>
  <c r="AN4" i="10"/>
  <c r="AM4" i="10"/>
  <c r="AI4" i="10"/>
  <c r="AH4" i="10"/>
  <c r="AD4" i="10"/>
  <c r="AC4" i="10"/>
  <c r="Y4" i="10"/>
  <c r="X4" i="10"/>
  <c r="AV4" i="10"/>
  <c r="BA94" i="10" l="1"/>
  <c r="T94" i="10" s="1"/>
  <c r="AZ8" i="10"/>
  <c r="AE184" i="10"/>
  <c r="AO184" i="10"/>
  <c r="AY184" i="10"/>
  <c r="Z184" i="10"/>
  <c r="AJ184" i="10"/>
  <c r="AT184" i="10"/>
  <c r="W4" i="10"/>
  <c r="Z4" i="10" s="1"/>
  <c r="AG4" i="10"/>
  <c r="AJ4" i="10" s="1"/>
  <c r="AQ4" i="10"/>
  <c r="AT4" i="10" s="1"/>
  <c r="AB4" i="10"/>
  <c r="AE4" i="10" s="1"/>
  <c r="AL4" i="10"/>
  <c r="AO4" i="10" s="1"/>
  <c r="AY4" i="10"/>
  <c r="S161" i="10"/>
  <c r="U161" i="10"/>
  <c r="V161" i="10"/>
  <c r="S83" i="10"/>
  <c r="U83" i="10"/>
  <c r="V83" i="10"/>
  <c r="V14" i="10"/>
  <c r="U14" i="10"/>
  <c r="S14" i="10"/>
  <c r="S58" i="10"/>
  <c r="U58" i="10"/>
  <c r="V58" i="10"/>
  <c r="T58" i="10"/>
  <c r="AZ184" i="10" l="1"/>
  <c r="BA184" i="10" s="1"/>
  <c r="T184" i="10" s="1"/>
  <c r="AZ4" i="10"/>
  <c r="T4" i="10" s="1"/>
  <c r="BA8" i="10"/>
  <c r="T8" i="10" s="1"/>
  <c r="BA161" i="10" l="1"/>
  <c r="T161" i="10" s="1"/>
  <c r="BA95" i="10"/>
  <c r="T95" i="10" s="1"/>
  <c r="BA85" i="10"/>
  <c r="T85" i="10" s="1"/>
  <c r="C56" i="10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BA83" i="10" l="1"/>
  <c r="T83" i="10" s="1"/>
  <c r="T14" i="10"/>
  <c r="S141" i="10"/>
  <c r="U141" i="10"/>
  <c r="V141" i="10"/>
  <c r="AB141" i="10"/>
  <c r="AC141" i="10"/>
  <c r="AD141" i="10"/>
  <c r="AG141" i="10"/>
  <c r="AH141" i="10"/>
  <c r="AI141" i="10"/>
  <c r="AL141" i="10"/>
  <c r="AM141" i="10"/>
  <c r="AN141" i="10"/>
  <c r="AQ141" i="10"/>
  <c r="AR141" i="10"/>
  <c r="AS141" i="10"/>
  <c r="AV141" i="10"/>
  <c r="AW141" i="10"/>
  <c r="AX141" i="10"/>
  <c r="S117" i="10"/>
  <c r="U117" i="10"/>
  <c r="V117" i="10"/>
  <c r="AX43" i="10"/>
  <c r="AW43" i="10"/>
  <c r="AS43" i="10"/>
  <c r="AR43" i="10"/>
  <c r="AQ43" i="10"/>
  <c r="AN43" i="10"/>
  <c r="AM43" i="10"/>
  <c r="AL43" i="10"/>
  <c r="AI43" i="10"/>
  <c r="AH43" i="10"/>
  <c r="AG43" i="10"/>
  <c r="V43" i="10"/>
  <c r="U43" i="10"/>
  <c r="S43" i="10"/>
  <c r="S92" i="10"/>
  <c r="U92" i="10"/>
  <c r="V92" i="10"/>
  <c r="AT141" i="10" l="1"/>
  <c r="AJ141" i="10"/>
  <c r="AY141" i="10"/>
  <c r="AO141" i="10"/>
  <c r="AE141" i="10"/>
  <c r="Z43" i="10"/>
  <c r="AJ43" i="10"/>
  <c r="AT43" i="10"/>
  <c r="AO43" i="10"/>
  <c r="AY43" i="10"/>
  <c r="AZ141" i="10" l="1"/>
  <c r="BA141" i="10" s="1"/>
  <c r="T141" i="10" s="1"/>
  <c r="BA92" i="10"/>
  <c r="T92" i="10" s="1"/>
  <c r="AZ43" i="10"/>
  <c r="I109" i="10"/>
  <c r="C159" i="10"/>
  <c r="C160" i="10" s="1"/>
  <c r="C161" i="10" s="1"/>
  <c r="C162" i="10" s="1"/>
  <c r="C163" i="10" s="1"/>
  <c r="T117" i="10" l="1"/>
  <c r="R73" i="10"/>
  <c r="R74" i="10"/>
  <c r="R21" i="10"/>
  <c r="R22" i="10"/>
  <c r="R23" i="10"/>
  <c r="R24" i="10"/>
  <c r="R49" i="10"/>
  <c r="R50" i="10"/>
  <c r="R48" i="10"/>
  <c r="S120" i="10" l="1"/>
  <c r="U120" i="10"/>
  <c r="V120" i="10"/>
  <c r="S56" i="10"/>
  <c r="U56" i="10"/>
  <c r="V56" i="10"/>
  <c r="T56" i="10"/>
  <c r="V160" i="10" l="1"/>
  <c r="U160" i="10"/>
  <c r="S160" i="10"/>
  <c r="S57" i="10" l="1"/>
  <c r="U57" i="10"/>
  <c r="V57" i="10"/>
  <c r="T57" i="10"/>
  <c r="S34" i="10" l="1"/>
  <c r="U34" i="10"/>
  <c r="V34" i="10"/>
  <c r="T34" i="10"/>
  <c r="T13" i="10" l="1"/>
  <c r="V13" i="10"/>
  <c r="U13" i="10"/>
  <c r="S13" i="10"/>
  <c r="V7" i="10" l="1"/>
  <c r="U7" i="10"/>
  <c r="S7" i="10"/>
  <c r="T7" i="10" l="1"/>
  <c r="V163" i="10" l="1"/>
  <c r="U163" i="10"/>
  <c r="S163" i="10"/>
  <c r="Q230" i="10" l="1"/>
  <c r="O230" i="10"/>
  <c r="M230" i="10"/>
  <c r="K230" i="10"/>
  <c r="I230" i="10"/>
  <c r="G230" i="10"/>
  <c r="G232" i="10" s="1"/>
  <c r="M124" i="10"/>
  <c r="K124" i="10"/>
  <c r="I124" i="10"/>
  <c r="G124" i="10"/>
  <c r="V123" i="10" l="1"/>
  <c r="U123" i="10"/>
  <c r="S123" i="10"/>
  <c r="V93" i="10"/>
  <c r="U93" i="10"/>
  <c r="S93" i="10"/>
  <c r="V90" i="10"/>
  <c r="U90" i="10"/>
  <c r="S90" i="10"/>
  <c r="BA93" i="10" l="1"/>
  <c r="T93" i="10" s="1"/>
  <c r="T123" i="10"/>
  <c r="T90" i="10" l="1"/>
  <c r="V97" i="10"/>
  <c r="U97" i="10"/>
  <c r="P249" i="10" l="1"/>
  <c r="F249" i="10"/>
  <c r="V239" i="10"/>
  <c r="U239" i="10"/>
  <c r="S239" i="10"/>
  <c r="Q239" i="10"/>
  <c r="AX239" i="10" s="1"/>
  <c r="AX235" i="10"/>
  <c r="AW235" i="10"/>
  <c r="AV235" i="10"/>
  <c r="AS235" i="10"/>
  <c r="AR235" i="10"/>
  <c r="AQ235" i="10"/>
  <c r="AN235" i="10"/>
  <c r="AM235" i="10"/>
  <c r="AL235" i="10"/>
  <c r="AI235" i="10"/>
  <c r="AH235" i="10"/>
  <c r="AG235" i="10"/>
  <c r="AD235" i="10"/>
  <c r="AC235" i="10"/>
  <c r="AB235" i="10"/>
  <c r="Y235" i="10"/>
  <c r="X235" i="10"/>
  <c r="W235" i="10"/>
  <c r="Q232" i="10"/>
  <c r="P230" i="10"/>
  <c r="O232" i="10"/>
  <c r="N230" i="10"/>
  <c r="M232" i="10"/>
  <c r="L230" i="10"/>
  <c r="K232" i="10"/>
  <c r="J230" i="10"/>
  <c r="I232" i="10"/>
  <c r="H230" i="10"/>
  <c r="E228" i="10"/>
  <c r="E227" i="10"/>
  <c r="E226" i="10"/>
  <c r="E225" i="10"/>
  <c r="E224" i="10"/>
  <c r="E223" i="10"/>
  <c r="E222" i="10"/>
  <c r="E221" i="10"/>
  <c r="E220" i="10"/>
  <c r="C218" i="10"/>
  <c r="O215" i="10"/>
  <c r="C217" i="10" s="1"/>
  <c r="M215" i="10"/>
  <c r="C216" i="10" s="1"/>
  <c r="K215" i="10"/>
  <c r="C215" i="10" s="1"/>
  <c r="I215" i="10"/>
  <c r="C214" i="10" s="1"/>
  <c r="G215" i="10"/>
  <c r="R214" i="10"/>
  <c r="T216" i="10" s="1"/>
  <c r="O210" i="10"/>
  <c r="B218" i="10" s="1"/>
  <c r="M210" i="10"/>
  <c r="B217" i="10" s="1"/>
  <c r="K210" i="10"/>
  <c r="B216" i="10" s="1"/>
  <c r="I210" i="10"/>
  <c r="B215" i="10" s="1"/>
  <c r="G210" i="10"/>
  <c r="B214" i="10" s="1"/>
  <c r="E210" i="10"/>
  <c r="B213" i="10" s="1"/>
  <c r="V209" i="10"/>
  <c r="U209" i="10"/>
  <c r="S209" i="10"/>
  <c r="Q209" i="10"/>
  <c r="X209" i="10" s="1"/>
  <c r="C209" i="10"/>
  <c r="R207" i="10"/>
  <c r="Q204" i="10"/>
  <c r="C199" i="10" s="1"/>
  <c r="O204" i="10"/>
  <c r="C198" i="10" s="1"/>
  <c r="M204" i="10"/>
  <c r="C195" i="10" s="1"/>
  <c r="K204" i="10"/>
  <c r="C194" i="10" s="1"/>
  <c r="I204" i="10"/>
  <c r="C193" i="10" s="1"/>
  <c r="G204" i="10"/>
  <c r="C192" i="10" s="1"/>
  <c r="R203" i="10"/>
  <c r="R202" i="10"/>
  <c r="R201" i="10"/>
  <c r="R200" i="10"/>
  <c r="R199" i="10"/>
  <c r="R198" i="10"/>
  <c r="R197" i="10"/>
  <c r="R196" i="10"/>
  <c r="R195" i="10"/>
  <c r="R194" i="10"/>
  <c r="R193" i="10"/>
  <c r="B199" i="10"/>
  <c r="B198" i="10"/>
  <c r="B195" i="10"/>
  <c r="B194" i="10"/>
  <c r="B193" i="10"/>
  <c r="B192" i="10"/>
  <c r="AV188" i="10"/>
  <c r="AQ188" i="10"/>
  <c r="AL188" i="10"/>
  <c r="AG188" i="10"/>
  <c r="AB188" i="10"/>
  <c r="V188" i="10"/>
  <c r="U188" i="10"/>
  <c r="S188" i="10"/>
  <c r="V187" i="10"/>
  <c r="U187" i="10"/>
  <c r="S187" i="10"/>
  <c r="AH187" i="10"/>
  <c r="AV186" i="10"/>
  <c r="AQ186" i="10"/>
  <c r="AL186" i="10"/>
  <c r="AG186" i="10"/>
  <c r="AB186" i="10"/>
  <c r="V186" i="10"/>
  <c r="U186" i="10"/>
  <c r="S186" i="10"/>
  <c r="AX183" i="10"/>
  <c r="AW183" i="10"/>
  <c r="AV183" i="10"/>
  <c r="AS183" i="10"/>
  <c r="AR183" i="10"/>
  <c r="AQ183" i="10"/>
  <c r="AN183" i="10"/>
  <c r="AM183" i="10"/>
  <c r="AL183" i="10"/>
  <c r="AI183" i="10"/>
  <c r="AH183" i="10"/>
  <c r="AG183" i="10"/>
  <c r="AD183" i="10"/>
  <c r="AC183" i="10"/>
  <c r="AB183" i="10"/>
  <c r="Y183" i="10"/>
  <c r="V183" i="10"/>
  <c r="U183" i="10"/>
  <c r="S183" i="10"/>
  <c r="AX179" i="10"/>
  <c r="AW179" i="10"/>
  <c r="AV179" i="10"/>
  <c r="AS179" i="10"/>
  <c r="AR179" i="10"/>
  <c r="AQ179" i="10"/>
  <c r="AN179" i="10"/>
  <c r="AM179" i="10"/>
  <c r="AL179" i="10"/>
  <c r="AI179" i="10"/>
  <c r="AH179" i="10"/>
  <c r="AG179" i="10"/>
  <c r="AD179" i="10"/>
  <c r="AC179" i="10"/>
  <c r="AB179" i="10"/>
  <c r="Y179" i="10"/>
  <c r="V179" i="10"/>
  <c r="U179" i="10"/>
  <c r="S179" i="10"/>
  <c r="AX178" i="10"/>
  <c r="AW178" i="10"/>
  <c r="AV178" i="10"/>
  <c r="AS178" i="10"/>
  <c r="AR178" i="10"/>
  <c r="AQ178" i="10"/>
  <c r="AN178" i="10"/>
  <c r="AM178" i="10"/>
  <c r="AL178" i="10"/>
  <c r="AI178" i="10"/>
  <c r="AH178" i="10"/>
  <c r="AG178" i="10"/>
  <c r="AD178" i="10"/>
  <c r="AC178" i="10"/>
  <c r="AB178" i="10"/>
  <c r="Y178" i="10"/>
  <c r="V178" i="10"/>
  <c r="U178" i="10"/>
  <c r="S178" i="10"/>
  <c r="AX177" i="10"/>
  <c r="AW177" i="10"/>
  <c r="AV177" i="10"/>
  <c r="AS177" i="10"/>
  <c r="AR177" i="10"/>
  <c r="AQ177" i="10"/>
  <c r="AN177" i="10"/>
  <c r="AM177" i="10"/>
  <c r="AL177" i="10"/>
  <c r="AI177" i="10"/>
  <c r="AH177" i="10"/>
  <c r="AG177" i="10"/>
  <c r="AD177" i="10"/>
  <c r="AC177" i="10"/>
  <c r="AB177" i="10"/>
  <c r="Y177" i="10"/>
  <c r="X177" i="10"/>
  <c r="W177" i="10"/>
  <c r="V177" i="10"/>
  <c r="U177" i="10"/>
  <c r="S177" i="10"/>
  <c r="C177" i="10"/>
  <c r="C178" i="10" s="1"/>
  <c r="C179" i="10" s="1"/>
  <c r="C180" i="10" s="1"/>
  <c r="C181" i="10" s="1"/>
  <c r="C182" i="10" s="1"/>
  <c r="C183" i="10" s="1"/>
  <c r="C184" i="10" s="1"/>
  <c r="C186" i="10" s="1"/>
  <c r="C187" i="10" s="1"/>
  <c r="C188" i="10" s="1"/>
  <c r="R175" i="10"/>
  <c r="Q171" i="10"/>
  <c r="C172" i="10" s="1"/>
  <c r="O171" i="10"/>
  <c r="C171" i="10" s="1"/>
  <c r="M171" i="10"/>
  <c r="C170" i="10" s="1"/>
  <c r="K171" i="10"/>
  <c r="C169" i="10" s="1"/>
  <c r="I171" i="10"/>
  <c r="C168" i="10" s="1"/>
  <c r="G171" i="10"/>
  <c r="C167" i="10" s="1"/>
  <c r="R170" i="10"/>
  <c r="R169" i="10"/>
  <c r="R168" i="10"/>
  <c r="B167" i="10"/>
  <c r="V159" i="10"/>
  <c r="U159" i="10"/>
  <c r="S159" i="10"/>
  <c r="R156" i="10"/>
  <c r="Q152" i="10"/>
  <c r="C153" i="10" s="1"/>
  <c r="O152" i="10"/>
  <c r="C152" i="10" s="1"/>
  <c r="M152" i="10"/>
  <c r="C151" i="10" s="1"/>
  <c r="K152" i="10"/>
  <c r="C150" i="10" s="1"/>
  <c r="I152" i="10"/>
  <c r="C149" i="10" s="1"/>
  <c r="G152" i="10"/>
  <c r="R151" i="10"/>
  <c r="R150" i="10"/>
  <c r="R149" i="10"/>
  <c r="B153" i="10"/>
  <c r="B152" i="10"/>
  <c r="B151" i="10"/>
  <c r="B150" i="10"/>
  <c r="B149" i="10"/>
  <c r="B148" i="10"/>
  <c r="V65" i="10"/>
  <c r="S65" i="10"/>
  <c r="AV142" i="10"/>
  <c r="AQ142" i="10"/>
  <c r="AL142" i="10"/>
  <c r="AG142" i="10"/>
  <c r="AB142" i="10"/>
  <c r="V142" i="10"/>
  <c r="U142" i="10"/>
  <c r="S142" i="10"/>
  <c r="AV140" i="10"/>
  <c r="AQ140" i="10"/>
  <c r="AL140" i="10"/>
  <c r="AG140" i="10"/>
  <c r="AB140" i="10"/>
  <c r="V140" i="10"/>
  <c r="U140" i="10"/>
  <c r="S140" i="10"/>
  <c r="AW140" i="10"/>
  <c r="V138" i="10"/>
  <c r="U138" i="10"/>
  <c r="S138" i="10"/>
  <c r="AX138" i="10"/>
  <c r="R135" i="10"/>
  <c r="Q131" i="10"/>
  <c r="C132" i="10" s="1"/>
  <c r="O131" i="10"/>
  <c r="C131" i="10" s="1"/>
  <c r="M131" i="10"/>
  <c r="C130" i="10" s="1"/>
  <c r="K131" i="10"/>
  <c r="C129" i="10" s="1"/>
  <c r="I131" i="10"/>
  <c r="C128" i="10" s="1"/>
  <c r="G131" i="10"/>
  <c r="R130" i="10"/>
  <c r="R129" i="10"/>
  <c r="R128" i="10"/>
  <c r="B132" i="10"/>
  <c r="B131" i="10"/>
  <c r="B130" i="10"/>
  <c r="B129" i="10"/>
  <c r="B128" i="10"/>
  <c r="B127" i="10"/>
  <c r="V121" i="10"/>
  <c r="U121" i="10"/>
  <c r="S121" i="10"/>
  <c r="R121" i="10"/>
  <c r="V119" i="10"/>
  <c r="U119" i="10"/>
  <c r="S119" i="10"/>
  <c r="AV116" i="10"/>
  <c r="AQ116" i="10"/>
  <c r="AL116" i="10"/>
  <c r="AG116" i="10"/>
  <c r="AB116" i="10"/>
  <c r="W116" i="10"/>
  <c r="V116" i="10"/>
  <c r="U116" i="10"/>
  <c r="S116" i="10"/>
  <c r="C116" i="10"/>
  <c r="C117" i="10" s="1"/>
  <c r="C118" i="10" s="1"/>
  <c r="C119" i="10" s="1"/>
  <c r="C120" i="10" s="1"/>
  <c r="C121" i="10" s="1"/>
  <c r="C122" i="10" s="1"/>
  <c r="C123" i="10" s="1"/>
  <c r="R114" i="10"/>
  <c r="C111" i="10"/>
  <c r="O109" i="10"/>
  <c r="C110" i="10" s="1"/>
  <c r="M109" i="10"/>
  <c r="C109" i="10" s="1"/>
  <c r="K109" i="10"/>
  <c r="C108" i="10" s="1"/>
  <c r="C105" i="10"/>
  <c r="G109" i="10"/>
  <c r="R108" i="10"/>
  <c r="R107" i="10"/>
  <c r="R106" i="10"/>
  <c r="R105" i="10"/>
  <c r="B111" i="10"/>
  <c r="B110" i="10"/>
  <c r="B109" i="10"/>
  <c r="B108" i="10"/>
  <c r="B105" i="10"/>
  <c r="B104" i="10"/>
  <c r="V87" i="10"/>
  <c r="U87" i="10"/>
  <c r="S87" i="10"/>
  <c r="V86" i="10"/>
  <c r="U86" i="10"/>
  <c r="T86" i="10"/>
  <c r="S86" i="10"/>
  <c r="AX81" i="10"/>
  <c r="AW81" i="10"/>
  <c r="AV81" i="10"/>
  <c r="AS81" i="10"/>
  <c r="AR81" i="10"/>
  <c r="AQ81" i="10"/>
  <c r="AN81" i="10"/>
  <c r="AM81" i="10"/>
  <c r="AL81" i="10"/>
  <c r="AI81" i="10"/>
  <c r="AH81" i="10"/>
  <c r="AG81" i="10"/>
  <c r="AD81" i="10"/>
  <c r="AC81" i="10"/>
  <c r="AB81" i="10"/>
  <c r="Y81" i="10"/>
  <c r="X81" i="10"/>
  <c r="W81" i="10"/>
  <c r="V81" i="10"/>
  <c r="U81" i="10"/>
  <c r="S81" i="10"/>
  <c r="C81" i="10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Q75" i="10"/>
  <c r="C76" i="10" s="1"/>
  <c r="O75" i="10"/>
  <c r="C75" i="10" s="1"/>
  <c r="M75" i="10"/>
  <c r="C74" i="10" s="1"/>
  <c r="K75" i="10"/>
  <c r="C73" i="10" s="1"/>
  <c r="I75" i="10"/>
  <c r="C72" i="10" s="1"/>
  <c r="G75" i="10"/>
  <c r="R72" i="10"/>
  <c r="V59" i="10"/>
  <c r="S59" i="10"/>
  <c r="AW59" i="10"/>
  <c r="R54" i="10"/>
  <c r="C52" i="10"/>
  <c r="C51" i="10"/>
  <c r="C50" i="10"/>
  <c r="C49" i="10"/>
  <c r="C48" i="10"/>
  <c r="B52" i="10"/>
  <c r="B51" i="10"/>
  <c r="B50" i="10"/>
  <c r="B49" i="10"/>
  <c r="B48" i="10"/>
  <c r="B47" i="10"/>
  <c r="V39" i="10"/>
  <c r="U39" i="10"/>
  <c r="S39" i="10"/>
  <c r="T32" i="10"/>
  <c r="V32" i="10"/>
  <c r="U32" i="10"/>
  <c r="S32" i="10"/>
  <c r="AQ31" i="10"/>
  <c r="AL31" i="10"/>
  <c r="AG31" i="10"/>
  <c r="AB31" i="10"/>
  <c r="W31" i="10"/>
  <c r="V31" i="10"/>
  <c r="U31" i="10"/>
  <c r="S31" i="10"/>
  <c r="C31" i="10"/>
  <c r="C32" i="10" s="1"/>
  <c r="C33" i="10" s="1"/>
  <c r="C34" i="10" s="1"/>
  <c r="C35" i="10" s="1"/>
  <c r="C36" i="10" s="1"/>
  <c r="C37" i="10" s="1"/>
  <c r="C38" i="10" s="1"/>
  <c r="C39" i="10" s="1"/>
  <c r="C43" i="10" s="1"/>
  <c r="C41" i="10" s="1"/>
  <c r="C42" i="10" s="1"/>
  <c r="C40" i="10" s="1"/>
  <c r="R29" i="10"/>
  <c r="C24" i="10"/>
  <c r="C23" i="10"/>
  <c r="C22" i="10"/>
  <c r="C21" i="10"/>
  <c r="C20" i="10"/>
  <c r="R20" i="10"/>
  <c r="B24" i="10"/>
  <c r="B23" i="10"/>
  <c r="B22" i="10"/>
  <c r="B21" i="10"/>
  <c r="B20" i="10"/>
  <c r="B19" i="10"/>
  <c r="V11" i="10"/>
  <c r="U11" i="10"/>
  <c r="S11" i="10"/>
  <c r="V9" i="10"/>
  <c r="U9" i="10"/>
  <c r="T9" i="10"/>
  <c r="S9" i="10"/>
  <c r="V6" i="10"/>
  <c r="U6" i="10"/>
  <c r="S6" i="10"/>
  <c r="AW5" i="10"/>
  <c r="AY5" i="10" s="1"/>
  <c r="AZ5" i="10" s="1"/>
  <c r="BA5" i="10" s="1"/>
  <c r="T5" i="10" s="1"/>
  <c r="U5" i="10"/>
  <c r="S5" i="10"/>
  <c r="BR3" i="10"/>
  <c r="D20" i="10" l="1"/>
  <c r="AV121" i="10"/>
  <c r="AY121" i="10" s="1"/>
  <c r="AQ121" i="10"/>
  <c r="AT121" i="10" s="1"/>
  <c r="AL121" i="10"/>
  <c r="AO121" i="10" s="1"/>
  <c r="AG121" i="10"/>
  <c r="AJ121" i="10" s="1"/>
  <c r="AB121" i="10"/>
  <c r="AE121" i="10" s="1"/>
  <c r="W121" i="10"/>
  <c r="Z121" i="10" s="1"/>
  <c r="R109" i="10"/>
  <c r="C127" i="10"/>
  <c r="D127" i="10" s="1"/>
  <c r="R131" i="10"/>
  <c r="AW180" i="10"/>
  <c r="AS180" i="10"/>
  <c r="AM180" i="10"/>
  <c r="AI180" i="10"/>
  <c r="AC180" i="10"/>
  <c r="Y180" i="10"/>
  <c r="AX180" i="10"/>
  <c r="AR180" i="10"/>
  <c r="AN180" i="10"/>
  <c r="AH180" i="10"/>
  <c r="AD180" i="10"/>
  <c r="R152" i="10"/>
  <c r="C104" i="10"/>
  <c r="D104" i="10" s="1"/>
  <c r="D23" i="10"/>
  <c r="R25" i="10"/>
  <c r="B168" i="10"/>
  <c r="D168" i="10" s="1"/>
  <c r="B169" i="10"/>
  <c r="D169" i="10" s="1"/>
  <c r="B171" i="10"/>
  <c r="D171" i="10" s="1"/>
  <c r="D24" i="10"/>
  <c r="B170" i="10"/>
  <c r="D170" i="10" s="1"/>
  <c r="B172" i="10"/>
  <c r="D172" i="10" s="1"/>
  <c r="C47" i="10"/>
  <c r="D47" i="10" s="1"/>
  <c r="R51" i="10"/>
  <c r="C71" i="10"/>
  <c r="R75" i="10"/>
  <c r="C19" i="10"/>
  <c r="D19" i="10" s="1"/>
  <c r="T172" i="10"/>
  <c r="R39" i="10"/>
  <c r="D109" i="10"/>
  <c r="D167" i="10"/>
  <c r="D195" i="10"/>
  <c r="D153" i="10"/>
  <c r="D214" i="10"/>
  <c r="D216" i="10"/>
  <c r="D218" i="10"/>
  <c r="AE183" i="10"/>
  <c r="AO183" i="10"/>
  <c r="AY183" i="10"/>
  <c r="AV239" i="10"/>
  <c r="D149" i="10"/>
  <c r="D151" i="10"/>
  <c r="AM239" i="10"/>
  <c r="AM31" i="10"/>
  <c r="D21" i="10"/>
  <c r="AH138" i="10"/>
  <c r="D49" i="10"/>
  <c r="Z81" i="10"/>
  <c r="AJ81" i="10"/>
  <c r="AT81" i="10"/>
  <c r="D130" i="10"/>
  <c r="D132" i="10"/>
  <c r="R138" i="10"/>
  <c r="AR138" i="10"/>
  <c r="AE177" i="10"/>
  <c r="AO177" i="10"/>
  <c r="AY177" i="10"/>
  <c r="Z178" i="10"/>
  <c r="AJ178" i="10"/>
  <c r="AT178" i="10"/>
  <c r="D192" i="10"/>
  <c r="D194" i="10"/>
  <c r="D198" i="10"/>
  <c r="R209" i="10"/>
  <c r="AQ209" i="10" s="1"/>
  <c r="D217" i="10"/>
  <c r="AC239" i="10"/>
  <c r="AW239" i="10"/>
  <c r="T153" i="10"/>
  <c r="D128" i="10"/>
  <c r="T132" i="10"/>
  <c r="T76" i="10"/>
  <c r="D52" i="10"/>
  <c r="D50" i="10"/>
  <c r="D48" i="10"/>
  <c r="AD140" i="10"/>
  <c r="AI140" i="10"/>
  <c r="AN140" i="10"/>
  <c r="AS140" i="10"/>
  <c r="AX140" i="10"/>
  <c r="AY140" i="10" s="1"/>
  <c r="D51" i="10"/>
  <c r="D150" i="10"/>
  <c r="C148" i="10"/>
  <c r="D148" i="10" s="1"/>
  <c r="E230" i="10"/>
  <c r="E232" i="10"/>
  <c r="AC31" i="10"/>
  <c r="T52" i="10"/>
  <c r="AE81" i="10"/>
  <c r="AO81" i="10"/>
  <c r="AY81" i="10"/>
  <c r="D105" i="10"/>
  <c r="D111" i="10"/>
  <c r="T110" i="10"/>
  <c r="AC138" i="10"/>
  <c r="AM138" i="10"/>
  <c r="AW138" i="10"/>
  <c r="AW142" i="10"/>
  <c r="AX142" i="10"/>
  <c r="AS142" i="10"/>
  <c r="AN142" i="10"/>
  <c r="AI142" i="10"/>
  <c r="AD142" i="10"/>
  <c r="D152" i="10"/>
  <c r="AW186" i="10"/>
  <c r="AX186" i="10"/>
  <c r="AS186" i="10"/>
  <c r="AN186" i="10"/>
  <c r="AI186" i="10"/>
  <c r="AD186" i="10"/>
  <c r="Y186" i="10"/>
  <c r="AX187" i="10"/>
  <c r="AW187" i="10"/>
  <c r="AM187" i="10"/>
  <c r="AC187" i="10"/>
  <c r="R187" i="10"/>
  <c r="AR187" i="10"/>
  <c r="Z177" i="10"/>
  <c r="AJ177" i="10"/>
  <c r="AT177" i="10"/>
  <c r="AE178" i="10"/>
  <c r="AO178" i="10"/>
  <c r="AY178" i="10"/>
  <c r="Z183" i="10"/>
  <c r="AJ183" i="10"/>
  <c r="AT183" i="10"/>
  <c r="D193" i="10"/>
  <c r="D199" i="10"/>
  <c r="R204" i="10"/>
  <c r="X239" i="10"/>
  <c r="AH239" i="10"/>
  <c r="AR239" i="10"/>
  <c r="D22" i="10"/>
  <c r="AX31" i="10"/>
  <c r="AS31" i="10"/>
  <c r="AN31" i="10"/>
  <c r="AI31" i="10"/>
  <c r="AD31" i="10"/>
  <c r="Y31" i="10"/>
  <c r="X31" i="10"/>
  <c r="AH31" i="10"/>
  <c r="AR31" i="10"/>
  <c r="Y59" i="10"/>
  <c r="AD59" i="10"/>
  <c r="AI59" i="10"/>
  <c r="AN59" i="10"/>
  <c r="AS59" i="10"/>
  <c r="AX59" i="10"/>
  <c r="R97" i="10"/>
  <c r="AX116" i="10"/>
  <c r="AS116" i="10"/>
  <c r="AN116" i="10"/>
  <c r="AI116" i="10"/>
  <c r="AD116" i="10"/>
  <c r="Y116" i="10"/>
  <c r="X116" i="10"/>
  <c r="AH116" i="10"/>
  <c r="AR116" i="10"/>
  <c r="R215" i="10"/>
  <c r="C213" i="10"/>
  <c r="D213" i="10" s="1"/>
  <c r="R59" i="10"/>
  <c r="X59" i="10"/>
  <c r="AC59" i="10"/>
  <c r="AH59" i="10"/>
  <c r="AR59" i="10"/>
  <c r="D108" i="10"/>
  <c r="D110" i="10"/>
  <c r="AC116" i="10"/>
  <c r="AM116" i="10"/>
  <c r="AW116" i="10"/>
  <c r="D129" i="10"/>
  <c r="D131" i="10"/>
  <c r="Z179" i="10"/>
  <c r="AJ179" i="10"/>
  <c r="AT179" i="10"/>
  <c r="AX188" i="10"/>
  <c r="AS188" i="10"/>
  <c r="AN188" i="10"/>
  <c r="AI188" i="10"/>
  <c r="AD188" i="10"/>
  <c r="Y188" i="10"/>
  <c r="AW188" i="10"/>
  <c r="AM188" i="10"/>
  <c r="AC188" i="10"/>
  <c r="AH188" i="10"/>
  <c r="AR188" i="10"/>
  <c r="Z235" i="10"/>
  <c r="AJ235" i="10"/>
  <c r="AT235" i="10"/>
  <c r="AD138" i="10"/>
  <c r="AI138" i="10"/>
  <c r="AN138" i="10"/>
  <c r="AS138" i="10"/>
  <c r="AC140" i="10"/>
  <c r="AH140" i="10"/>
  <c r="AM140" i="10"/>
  <c r="AR140" i="10"/>
  <c r="AC142" i="10"/>
  <c r="AH142" i="10"/>
  <c r="AM142" i="10"/>
  <c r="AR142" i="10"/>
  <c r="R171" i="10"/>
  <c r="AE179" i="10"/>
  <c r="AO179" i="10"/>
  <c r="AY179" i="10"/>
  <c r="AC186" i="10"/>
  <c r="AH186" i="10"/>
  <c r="AM186" i="10"/>
  <c r="AR186" i="10"/>
  <c r="Y187" i="10"/>
  <c r="AD187" i="10"/>
  <c r="AI187" i="10"/>
  <c r="AN187" i="10"/>
  <c r="AS187" i="10"/>
  <c r="AW209" i="10"/>
  <c r="AR209" i="10"/>
  <c r="AM209" i="10"/>
  <c r="AH209" i="10"/>
  <c r="AC209" i="10"/>
  <c r="Y209" i="10"/>
  <c r="AD209" i="10"/>
  <c r="AI209" i="10"/>
  <c r="AN209" i="10"/>
  <c r="AS209" i="10"/>
  <c r="AX209" i="10"/>
  <c r="D215" i="10"/>
  <c r="AE235" i="10"/>
  <c r="AO235" i="10"/>
  <c r="AY235" i="10"/>
  <c r="Y239" i="10"/>
  <c r="AD239" i="10"/>
  <c r="AI239" i="10"/>
  <c r="AN239" i="10"/>
  <c r="AS239" i="10"/>
  <c r="AZ179" i="10" l="1"/>
  <c r="BA179" i="10" s="1"/>
  <c r="T179" i="10" s="1"/>
  <c r="AZ178" i="10"/>
  <c r="BA178" i="10" s="1"/>
  <c r="T178" i="10" s="1"/>
  <c r="AV187" i="10"/>
  <c r="W187" i="10"/>
  <c r="W97" i="10"/>
  <c r="Z97" i="10" s="1"/>
  <c r="AG97" i="10"/>
  <c r="AJ97" i="10" s="1"/>
  <c r="AV97" i="10"/>
  <c r="AY97" i="10" s="1"/>
  <c r="AB97" i="10"/>
  <c r="AE97" i="10" s="1"/>
  <c r="AL97" i="10"/>
  <c r="AO97" i="10" s="1"/>
  <c r="AQ97" i="10"/>
  <c r="AT97" i="10" s="1"/>
  <c r="AZ177" i="10"/>
  <c r="BA177" i="10" s="1"/>
  <c r="T177" i="10" s="1"/>
  <c r="AZ183" i="10"/>
  <c r="BA183" i="10" s="1"/>
  <c r="T183" i="10" s="1"/>
  <c r="AV39" i="10"/>
  <c r="AY39" i="10" s="1"/>
  <c r="AB39" i="10"/>
  <c r="AE39" i="10" s="1"/>
  <c r="W39" i="10"/>
  <c r="Z39" i="10" s="1"/>
  <c r="AQ39" i="10"/>
  <c r="AT39" i="10" s="1"/>
  <c r="AL39" i="10"/>
  <c r="AO39" i="10" s="1"/>
  <c r="AG39" i="10"/>
  <c r="AJ39" i="10" s="1"/>
  <c r="AQ138" i="10"/>
  <c r="AT138" i="10" s="1"/>
  <c r="W138" i="10"/>
  <c r="Z138" i="10" s="1"/>
  <c r="AZ121" i="10"/>
  <c r="BA121" i="10" s="1"/>
  <c r="T121" i="10" s="1"/>
  <c r="AQ180" i="10"/>
  <c r="AT180" i="10" s="1"/>
  <c r="AG180" i="10"/>
  <c r="AJ180" i="10" s="1"/>
  <c r="Z180" i="10"/>
  <c r="AV180" i="10"/>
  <c r="AY180" i="10" s="1"/>
  <c r="AL180" i="10"/>
  <c r="AO180" i="10" s="1"/>
  <c r="AB180" i="10"/>
  <c r="AE180" i="10" s="1"/>
  <c r="AG239" i="10"/>
  <c r="AJ239" i="10" s="1"/>
  <c r="AT209" i="10"/>
  <c r="AL138" i="10"/>
  <c r="AO138" i="10" s="1"/>
  <c r="AL209" i="10"/>
  <c r="AO209" i="10" s="1"/>
  <c r="W209" i="10"/>
  <c r="Z209" i="10" s="1"/>
  <c r="AO140" i="10"/>
  <c r="AE140" i="10"/>
  <c r="AG187" i="10"/>
  <c r="AJ187" i="10" s="1"/>
  <c r="AJ186" i="10"/>
  <c r="AV209" i="10"/>
  <c r="AY209" i="10" s="1"/>
  <c r="AB209" i="10"/>
  <c r="AE209" i="10" s="1"/>
  <c r="AB138" i="10"/>
  <c r="AE138" i="10" s="1"/>
  <c r="AV138" i="10"/>
  <c r="AY138" i="10" s="1"/>
  <c r="AG209" i="10"/>
  <c r="AJ209" i="10" s="1"/>
  <c r="AG138" i="10"/>
  <c r="AJ138" i="10" s="1"/>
  <c r="AO142" i="10"/>
  <c r="W239" i="10"/>
  <c r="Z239" i="10" s="1"/>
  <c r="AQ239" i="10"/>
  <c r="AT239" i="10" s="1"/>
  <c r="AY239" i="10"/>
  <c r="AO31" i="10"/>
  <c r="AB239" i="10"/>
  <c r="AE239" i="10" s="1"/>
  <c r="AL239" i="10"/>
  <c r="AO239" i="10" s="1"/>
  <c r="AO186" i="10"/>
  <c r="AE186" i="10"/>
  <c r="Z187" i="10"/>
  <c r="AQ187" i="10"/>
  <c r="AT187" i="10" s="1"/>
  <c r="AY31" i="10"/>
  <c r="AY187" i="10"/>
  <c r="AZ81" i="10"/>
  <c r="AT142" i="10"/>
  <c r="AJ142" i="10"/>
  <c r="AO188" i="10"/>
  <c r="AB187" i="10"/>
  <c r="AE187" i="10" s="1"/>
  <c r="AL187" i="10"/>
  <c r="AO187" i="10" s="1"/>
  <c r="BA159" i="10"/>
  <c r="Z186" i="10"/>
  <c r="AT186" i="10"/>
  <c r="AE142" i="10"/>
  <c r="AY142" i="10"/>
  <c r="AT140" i="10"/>
  <c r="AJ140" i="10"/>
  <c r="Z116" i="10"/>
  <c r="AT116" i="10"/>
  <c r="AE31" i="10"/>
  <c r="AY186" i="10"/>
  <c r="AE188" i="10"/>
  <c r="AY188" i="10"/>
  <c r="AJ116" i="10"/>
  <c r="BA87" i="10"/>
  <c r="Z188" i="10"/>
  <c r="AJ188" i="10"/>
  <c r="AT188" i="10"/>
  <c r="AV59" i="10"/>
  <c r="AY59" i="10" s="1"/>
  <c r="AQ59" i="10"/>
  <c r="AT59" i="10" s="1"/>
  <c r="AL59" i="10"/>
  <c r="AO59" i="10" s="1"/>
  <c r="AG59" i="10"/>
  <c r="AJ59" i="10" s="1"/>
  <c r="AB59" i="10"/>
  <c r="AE59" i="10" s="1"/>
  <c r="W59" i="10"/>
  <c r="Z59" i="10" s="1"/>
  <c r="AE116" i="10"/>
  <c r="AO116" i="10"/>
  <c r="AY116" i="10"/>
  <c r="Z31" i="10"/>
  <c r="AJ31" i="10"/>
  <c r="AT31" i="10"/>
  <c r="AZ186" i="10" l="1"/>
  <c r="BA186" i="10" s="1"/>
  <c r="AZ140" i="10"/>
  <c r="AZ187" i="10"/>
  <c r="BA187" i="10" s="1"/>
  <c r="T187" i="10" s="1"/>
  <c r="AZ188" i="10"/>
  <c r="BA188" i="10" s="1"/>
  <c r="AZ180" i="10"/>
  <c r="BA180" i="10" s="1"/>
  <c r="T180" i="10" s="1"/>
  <c r="AZ59" i="10"/>
  <c r="BA59" i="10" s="1"/>
  <c r="AZ142" i="10"/>
  <c r="BA142" i="10" s="1"/>
  <c r="T142" i="10" s="1"/>
  <c r="AZ138" i="10"/>
  <c r="BA138" i="10" s="1"/>
  <c r="AZ97" i="10"/>
  <c r="BA97" i="10" s="1"/>
  <c r="T97" i="10" s="1"/>
  <c r="AZ39" i="10"/>
  <c r="BA39" i="10" s="1"/>
  <c r="BA160" i="10"/>
  <c r="T160" i="10" s="1"/>
  <c r="T91" i="10"/>
  <c r="T87" i="10"/>
  <c r="T159" i="10"/>
  <c r="T65" i="10"/>
  <c r="T81" i="10"/>
  <c r="AZ209" i="10"/>
  <c r="BA209" i="10" s="1"/>
  <c r="T209" i="10" s="1"/>
  <c r="AZ239" i="10"/>
  <c r="AZ31" i="10"/>
  <c r="BA31" i="10" s="1"/>
  <c r="T31" i="10" s="1"/>
  <c r="AZ116" i="10"/>
  <c r="BA116" i="10" s="1"/>
  <c r="T116" i="10" s="1"/>
  <c r="T119" i="10" l="1"/>
  <c r="BA140" i="10"/>
  <c r="T140" i="10" s="1"/>
  <c r="T138" i="10"/>
  <c r="T59" i="10"/>
  <c r="T186" i="10"/>
  <c r="T11" i="10"/>
  <c r="T6" i="10"/>
  <c r="T39" i="10"/>
  <c r="B74" i="10"/>
  <c r="D74" i="10" s="1"/>
  <c r="B73" i="10"/>
  <c r="D73" i="10" s="1"/>
  <c r="B72" i="10"/>
  <c r="D72" i="10" s="1"/>
  <c r="B71" i="10"/>
  <c r="D71" i="10" s="1"/>
  <c r="B75" i="10"/>
  <c r="D75" i="10" s="1"/>
  <c r="B76" i="10"/>
  <c r="D76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l="1"/>
  <c r="A80" i="23" l="1"/>
  <c r="A81" i="23" s="1"/>
  <c r="A9" i="23"/>
  <c r="A11" i="23" l="1"/>
  <c r="F148" i="23"/>
  <c r="F152" i="23" s="1"/>
  <c r="X142" i="23" s="1"/>
  <c r="A187" i="23" l="1"/>
  <c r="A18" i="23" s="1"/>
  <c r="A87" i="23"/>
  <c r="A19" i="23" s="1"/>
  <c r="A23" i="23" l="1"/>
  <c r="A25" i="23" l="1"/>
  <c r="A12" i="23"/>
  <c r="F61" i="23"/>
  <c r="F60" i="23"/>
  <c r="C8" i="24"/>
  <c r="C19" i="24" s="1"/>
  <c r="I8" i="24"/>
  <c r="I19" i="24" s="1"/>
  <c r="G8" i="24"/>
  <c r="G19" i="24" s="1"/>
  <c r="K8" i="24"/>
  <c r="K19" i="24" s="1"/>
  <c r="M8" i="24"/>
  <c r="M19" i="24" s="1"/>
  <c r="E8" i="24"/>
  <c r="A8" i="24" l="1"/>
  <c r="F62" i="23"/>
  <c r="X52" i="23" s="1"/>
  <c r="E19" i="24"/>
  <c r="A19" i="24" s="1"/>
</calcChain>
</file>

<file path=xl/comments1.xml><?xml version="1.0" encoding="utf-8"?>
<comments xmlns="http://schemas.openxmlformats.org/spreadsheetml/2006/main">
  <authors>
    <author>AZUCENA MEDINA</author>
    <author>W10</author>
  </authors>
  <commentList>
    <comment ref="BA60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2 DIAS DE LA SEMAN PASADA Y 2 DIAS DE ESTA</t>
        </r>
      </text>
    </comment>
    <comment ref="D100" authorId="1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PAGO EN EFECTIVO
</t>
        </r>
      </text>
    </comment>
    <comment ref="R179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MODIFICACION DE SUELDO
</t>
        </r>
      </text>
    </comment>
    <comment ref="BL180" authorId="0" shapeId="0">
      <text>
        <r>
          <rPr>
            <b/>
            <sz val="9"/>
            <color indexed="81"/>
            <rFont val="Tahoma"/>
            <family val="2"/>
          </rPr>
          <t>AZUCENA MEDINA:DIF BONO</t>
        </r>
      </text>
    </comment>
    <comment ref="BL185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pago Jorge Vargas</t>
        </r>
      </text>
    </comment>
  </commentList>
</comments>
</file>

<file path=xl/comments2.xml><?xml version="1.0" encoding="utf-8"?>
<comments xmlns="http://schemas.openxmlformats.org/spreadsheetml/2006/main">
  <authors>
    <author>W10</author>
    <author>RH</author>
    <author>Vanesa Ramos</author>
    <author>AZUCENA MEDINA</author>
  </authors>
  <commentList>
    <comment ref="U8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Calidad e instructora
</t>
        </r>
      </text>
    </comment>
    <comment ref="U10" authorId="0" shapeId="0">
      <text>
        <r>
          <rPr>
            <b/>
            <sz val="9"/>
            <color indexed="81"/>
            <rFont val="Tahoma"/>
            <family val="2"/>
          </rPr>
          <t xml:space="preserve">Mecanico
</t>
        </r>
      </text>
    </comment>
    <comment ref="U12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Mantenimiento de maquinas </t>
        </r>
      </text>
    </comment>
    <comment ref="U13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CALIADAD</t>
        </r>
      </text>
    </comment>
    <comment ref="U18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Mecanico
</t>
        </r>
      </text>
    </comment>
    <comment ref="U2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W78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SE PAGO EL TAXI</t>
        </r>
      </text>
    </comment>
    <comment ref="U81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calidad/intructora
</t>
        </r>
      </text>
    </comment>
    <comment ref="U82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W84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PRODUCCION</t>
        </r>
      </text>
    </comment>
    <comment ref="U116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U118" authorId="0" shapeId="0">
      <text>
        <r>
          <rPr>
            <sz val="9"/>
            <color indexed="81"/>
            <rFont val="Tahoma"/>
            <family val="2"/>
          </rPr>
          <t>Calidad</t>
        </r>
      </text>
    </comment>
    <comment ref="U164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U165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W185" authorId="1" shapeId="0">
      <text>
        <r>
          <rPr>
            <b/>
            <sz val="9"/>
            <color indexed="81"/>
            <rFont val="Tahoma"/>
            <charset val="1"/>
          </rPr>
          <t>RH:</t>
        </r>
        <r>
          <rPr>
            <sz val="9"/>
            <color indexed="81"/>
            <rFont val="Tahoma"/>
            <charset val="1"/>
          </rPr>
          <t xml:space="preserve">
SE QUEDO T EXTRA </t>
        </r>
      </text>
    </comment>
    <comment ref="U187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Calidad e instructora
</t>
        </r>
      </text>
    </comment>
    <comment ref="W188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 EMPAQUE</t>
        </r>
      </text>
    </comment>
    <comment ref="U190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ENTRENANDOSE PARA MECANICA</t>
        </r>
      </text>
    </comment>
    <comment ref="V21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SON 200 DE CALIDAD Y 200 DE SEM PASADA NO SE LE AGREGARON</t>
        </r>
      </text>
    </comment>
    <comment ref="U217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AUDITORA</t>
        </r>
      </text>
    </comment>
    <comment ref="V218" authorId="3" shapeId="0">
      <text>
        <r>
          <rPr>
            <b/>
            <sz val="9"/>
            <color indexed="81"/>
            <rFont val="Tahoma"/>
            <charset val="1"/>
          </rPr>
          <t>AZUCENA MEDINA:</t>
        </r>
        <r>
          <rPr>
            <sz val="9"/>
            <color indexed="81"/>
            <rFont val="Tahoma"/>
            <charset val="1"/>
          </rPr>
          <t xml:space="preserve">
GASOLINA X TRANS PERSONAL</t>
        </r>
      </text>
    </comment>
    <comment ref="W218" authorId="1" shapeId="0">
      <text>
        <r>
          <rPr>
            <sz val="9"/>
            <color indexed="81"/>
            <rFont val="Tahoma"/>
            <family val="2"/>
          </rPr>
          <t>ME AYUDO CON LA RUTA POR QUE EL CAMION FALTO  DEL MAR A SAB</t>
        </r>
      </text>
    </comment>
    <comment ref="A221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MOVER A STOCKIN 2</t>
        </r>
      </text>
    </comment>
    <comment ref="U246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W24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TIEMPO EXTRA SABADO Y DOMINGO</t>
        </r>
      </text>
    </comment>
    <comment ref="W248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TIEMPO EXTRA SABADO</t>
        </r>
      </text>
    </comment>
    <comment ref="U249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250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W25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 SABADO Y DONMIGO</t>
        </r>
      </text>
    </comment>
    <comment ref="W278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 SABADO Y DOMINGO </t>
        </r>
      </text>
    </comment>
    <comment ref="W279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SEMANA QUE NO HABRA NOMINA EL GUARDIA SI TRABAJA</t>
        </r>
      </text>
    </comment>
    <comment ref="D288" authorId="3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AJUSTE DE SUELDO</t>
        </r>
      </text>
    </comment>
  </commentList>
</comments>
</file>

<file path=xl/sharedStrings.xml><?xml version="1.0" encoding="utf-8"?>
<sst xmlns="http://schemas.openxmlformats.org/spreadsheetml/2006/main" count="6238" uniqueCount="620">
  <si>
    <t>MARTES 06/03</t>
  </si>
  <si>
    <t>MIERCOLES 07/03</t>
  </si>
  <si>
    <t>JUEVES 08/03</t>
  </si>
  <si>
    <t>VIERNES 09/03</t>
  </si>
  <si>
    <t>SABADO 10/03</t>
  </si>
  <si>
    <t>TEJIDO</t>
  </si>
  <si>
    <t>SUELDO ESTIMADO FALTA SOLO RELOJ</t>
  </si>
  <si>
    <t>BONO</t>
  </si>
  <si>
    <t>L</t>
  </si>
  <si>
    <t>M</t>
  </si>
  <si>
    <t>J</t>
  </si>
  <si>
    <t>V</t>
  </si>
  <si>
    <t>S</t>
  </si>
  <si>
    <t>COSTOS</t>
  </si>
  <si>
    <t>NOMINA</t>
  </si>
  <si>
    <t>PXP</t>
  </si>
  <si>
    <t>PXA</t>
  </si>
  <si>
    <t>TOTAL</t>
  </si>
  <si>
    <t>INC</t>
  </si>
  <si>
    <t>CB</t>
  </si>
  <si>
    <t>FP</t>
  </si>
  <si>
    <t>R</t>
  </si>
  <si>
    <t>CALIDAD</t>
  </si>
  <si>
    <t>Antunez Requejo Gabriela</t>
  </si>
  <si>
    <t>Balderas Balderas Myriam Ivet</t>
  </si>
  <si>
    <t>Medrano Suarez Jose Adolfo</t>
  </si>
  <si>
    <t>REAL</t>
  </si>
  <si>
    <t>PR</t>
  </si>
  <si>
    <t>PROM</t>
  </si>
  <si>
    <t>LIDER</t>
  </si>
  <si>
    <t>MECANICO</t>
  </si>
  <si>
    <t xml:space="preserve"> </t>
  </si>
  <si>
    <t>MANUAL</t>
  </si>
  <si>
    <t>MTTO</t>
  </si>
  <si>
    <t>TEJIDO 2</t>
  </si>
  <si>
    <t>3ER TURNO</t>
  </si>
  <si>
    <t>Bustamante Villegas Osvaldo</t>
  </si>
  <si>
    <t>Diaz Martinez Angela Elizabeth</t>
  </si>
  <si>
    <t>Favela Saucedo Idalia Azucena</t>
  </si>
  <si>
    <t>Minor Flores Adilene</t>
  </si>
  <si>
    <t>Moran Hernandez Raul</t>
  </si>
  <si>
    <t>Ramirez Vital Jose Armando</t>
  </si>
  <si>
    <t>TEJIDO 3</t>
  </si>
  <si>
    <t>Beberaje Cruz Ramon Humberto</t>
  </si>
  <si>
    <t>PUÑO</t>
  </si>
  <si>
    <t>Cuapio Flores Mario</t>
  </si>
  <si>
    <t>Sanchez Flores Miguel Angel</t>
  </si>
  <si>
    <t>AE</t>
  </si>
  <si>
    <t>Armijo Anchondo Pedro</t>
  </si>
  <si>
    <t>Garcia Nuñez Elizabeth</t>
  </si>
  <si>
    <t>Rodriguez Uribe Erika Elizabeth</t>
  </si>
  <si>
    <t>AE 2</t>
  </si>
  <si>
    <t>Balan Perez Ever Guadalupe</t>
  </si>
  <si>
    <t>Nuñez Viaña Maria del Rosario</t>
  </si>
  <si>
    <t>Ramirez Flores Jose Alejandro</t>
  </si>
  <si>
    <t>Rodriguez Castillo Rosa Karen</t>
  </si>
  <si>
    <t>AE 3</t>
  </si>
  <si>
    <t>Esquivel Picon Miguel Angel</t>
  </si>
  <si>
    <t>Pacheco Viaña Jaqueline</t>
  </si>
  <si>
    <t>Vargas Cuellar Juana Gabriela</t>
  </si>
  <si>
    <t>TEJIDO LEON</t>
  </si>
  <si>
    <t>Burciaga Rodriguez Inocente</t>
  </si>
  <si>
    <t>Requejo Hernandez Noe</t>
  </si>
  <si>
    <t>Reyes Chavarria Jose Emilio</t>
  </si>
  <si>
    <t>Salazar Holguin Ana Liliana</t>
  </si>
  <si>
    <t>GTE PROD</t>
  </si>
  <si>
    <t>LIMPIEZA</t>
  </si>
  <si>
    <t>VIGILANTE</t>
  </si>
  <si>
    <t>RH</t>
  </si>
  <si>
    <t>ALMACEN</t>
  </si>
  <si>
    <t>APOYO LG</t>
  </si>
  <si>
    <t>Alatorre Dresel Ana Laura</t>
  </si>
  <si>
    <t>AUXILIAR ADMVO</t>
  </si>
  <si>
    <t>AYUDA</t>
  </si>
  <si>
    <t>PAGO</t>
  </si>
  <si>
    <t>PRIMAS</t>
  </si>
  <si>
    <t>AÑOS</t>
  </si>
  <si>
    <t>F.INGRESO</t>
  </si>
  <si>
    <t>BONO X CONTRATACION</t>
  </si>
  <si>
    <t>BONOS X PERSONAL</t>
  </si>
  <si>
    <t>Castro Viaña Mario Ivan</t>
  </si>
  <si>
    <t>Feria Cruz Carlos Ignacio</t>
  </si>
  <si>
    <t>TOT 1</t>
  </si>
  <si>
    <t>TRAT</t>
  </si>
  <si>
    <t>CARGADOR</t>
  </si>
  <si>
    <t>Hernandez Gonzalez Myrtala</t>
  </si>
  <si>
    <t>Balderas Martinez Yessenia</t>
  </si>
  <si>
    <t>Aguilar Muñoz Eduardo</t>
  </si>
  <si>
    <t>Carranza Hernandez Maria Fernanda</t>
  </si>
  <si>
    <t>Gonzalez Lopez Violeta</t>
  </si>
  <si>
    <t>Torres Garcia Xiomara Abigail</t>
  </si>
  <si>
    <t>Flores Miranda Aislen</t>
  </si>
  <si>
    <t>EVENT</t>
  </si>
  <si>
    <t>Rodriguez Lopez Andrea Isabel</t>
  </si>
  <si>
    <t>Medellin Rodriguez Yesenia Abigail</t>
  </si>
  <si>
    <t>Carrillo Delgado Judith</t>
  </si>
  <si>
    <t>Dominguez Soto Jesus Alberto</t>
  </si>
  <si>
    <t>Hernandez Flores Maria Guadalupe</t>
  </si>
  <si>
    <t>T EXT</t>
  </si>
  <si>
    <t>INSTRUCTOR</t>
  </si>
  <si>
    <t>Rodriguez Puentes Cesar Ivan</t>
  </si>
  <si>
    <t>Burciaga Aguirre Marisa Isabel</t>
  </si>
  <si>
    <t>Garcia Ortega Leslie Coraima</t>
  </si>
  <si>
    <t>Chavarria Machado Samuel</t>
  </si>
  <si>
    <t>Aleman Rubio Isaias de Jesus</t>
  </si>
  <si>
    <t>Martinez Diaz Javier</t>
  </si>
  <si>
    <t>Viaña Dominguez Gladis Nayeli</t>
  </si>
  <si>
    <t>SUPER PROD</t>
  </si>
  <si>
    <t>B ASISTENCIA</t>
  </si>
  <si>
    <t>Guerrero Zamarron Melani Abigail</t>
  </si>
  <si>
    <t>Antunez Orona Juan Manuel</t>
  </si>
  <si>
    <t>Acosta Orona Imelda Janeth</t>
  </si>
  <si>
    <t>FINIQUITOS</t>
  </si>
  <si>
    <t>AUX ADMVO</t>
  </si>
  <si>
    <t>Carranza Chavarria Esmeralda</t>
  </si>
  <si>
    <t>Valenzuela Rosales Jose Miguel</t>
  </si>
  <si>
    <t>Martinez Rosales Sugey Marisol</t>
  </si>
  <si>
    <t>Morales Holguin Sergio Joel</t>
  </si>
  <si>
    <t>Villanueva Sifuentes Kenia Abigail</t>
  </si>
  <si>
    <t>Martinez Robles Luis Miguel</t>
  </si>
  <si>
    <t>Vargas Mendez Ma. Isabel</t>
  </si>
  <si>
    <t>Limon Campos Beatriz Adriana</t>
  </si>
  <si>
    <t>Estrada Hernandez Arantxa</t>
  </si>
  <si>
    <t>Alaniz Mayorga Yulissa</t>
  </si>
  <si>
    <t>Salazar Martinez Yohana Cecilia</t>
  </si>
  <si>
    <t>Muñoz Rodriguez Susana</t>
  </si>
  <si>
    <t>Burciaga Dominguez America Adeleida</t>
  </si>
  <si>
    <t>Carrillo Alvarado Erika Miranda</t>
  </si>
  <si>
    <t>Ruiz Valenzuela Cynthia Marissa</t>
  </si>
  <si>
    <t>F</t>
  </si>
  <si>
    <t>Antunez Salazar Aracely</t>
  </si>
  <si>
    <t>Moreno Martinez Marisol</t>
  </si>
  <si>
    <t>PSG</t>
  </si>
  <si>
    <t>BONO+B ASIS</t>
  </si>
  <si>
    <t>BONO+B ASIS+T EXT</t>
  </si>
  <si>
    <t>NOMBRE</t>
  </si>
  <si>
    <t>PUESTO</t>
  </si>
  <si>
    <t>Padilla Reyes Laura Monserrat</t>
  </si>
  <si>
    <t>Caballero Coyoc Jose Alberto</t>
  </si>
  <si>
    <t>Perez Suarez Herber Antony</t>
  </si>
  <si>
    <t>OPERADOR</t>
  </si>
  <si>
    <t xml:space="preserve">MECANICO </t>
  </si>
  <si>
    <t>ADMINISTRATIVOS</t>
  </si>
  <si>
    <t>AUX ADMINISTRATIVO</t>
  </si>
  <si>
    <t>Vargas Chavez Sarai del Carmen</t>
  </si>
  <si>
    <t>Armijo Tostado Liliana Jaretzy</t>
  </si>
  <si>
    <t>PAGO EXTRA</t>
  </si>
  <si>
    <t>JUAREZ/SIFUENTES,BENITO</t>
  </si>
  <si>
    <t>Ramirez Requejo Maria Guadalupe</t>
  </si>
  <si>
    <t>NI</t>
  </si>
  <si>
    <t>Villegas Muñoz Maria de los Angeles</t>
  </si>
  <si>
    <t>Franco Alatorre Diego</t>
  </si>
  <si>
    <t>Enriquez Gutierrez Acacia</t>
  </si>
  <si>
    <t>Dominguez Soto Maria de los Angeles</t>
  </si>
  <si>
    <t>Ochoa Vital Edna Lizeth</t>
  </si>
  <si>
    <t>Martinez Sifuentes Mariana</t>
  </si>
  <si>
    <t>Juarez Sifuentes Sandra</t>
  </si>
  <si>
    <t>Espinoza Ponce Juan Jose</t>
  </si>
  <si>
    <t>Ramos Aguilar Alondra Vanesa</t>
  </si>
  <si>
    <t>DEL 08 AL 14 ENERO 24</t>
  </si>
  <si>
    <t xml:space="preserve">Villegas Galvan Cristian Jose </t>
  </si>
  <si>
    <t>Mijarez Rodriguez San Juana Guadalupe</t>
  </si>
  <si>
    <t xml:space="preserve">Carrillo Ojeda Jose Guadalupe </t>
  </si>
  <si>
    <t xml:space="preserve">Sandoval Martinez Vianey Nataly </t>
  </si>
  <si>
    <t>Alvarado Villegas Estrella Yanini</t>
  </si>
  <si>
    <t>PPP</t>
  </si>
  <si>
    <t>SUSP</t>
  </si>
  <si>
    <t>B</t>
  </si>
  <si>
    <t>Campista Hernandez Maria Elena</t>
  </si>
  <si>
    <t>Maria del Rosario Vidaña Sanchez</t>
  </si>
  <si>
    <t>FIN 2/2</t>
  </si>
  <si>
    <t>BONO+FINIQUITO</t>
  </si>
  <si>
    <t>Pozo Balan Darvin Gerson</t>
  </si>
  <si>
    <t>FIN  1/2</t>
  </si>
  <si>
    <t>BONO+ B ASIS</t>
  </si>
  <si>
    <t>B ASIS</t>
  </si>
  <si>
    <t>BONO+B ASIS+ T EXT</t>
  </si>
  <si>
    <t>PV2A 2/2</t>
  </si>
  <si>
    <t xml:space="preserve">BONO </t>
  </si>
  <si>
    <t>BONO+B ASIS+ DIF BONO</t>
  </si>
  <si>
    <t>CALIDAD FINAL</t>
  </si>
  <si>
    <t>PV2A  2/2</t>
  </si>
  <si>
    <t>Vargas Juarez Jorge</t>
  </si>
  <si>
    <t xml:space="preserve">TEJIDO </t>
  </si>
  <si>
    <t>TURNO1</t>
  </si>
  <si>
    <t>Responsable de llenado:</t>
  </si>
  <si>
    <t># EMP</t>
  </si>
  <si>
    <t>D</t>
  </si>
  <si>
    <t xml:space="preserve">Lider </t>
  </si>
  <si>
    <t xml:space="preserve">Mecanico </t>
  </si>
  <si>
    <t xml:space="preserve">Calidad </t>
  </si>
  <si>
    <t xml:space="preserve">Operador </t>
  </si>
  <si>
    <t>TURNO  2</t>
  </si>
  <si>
    <t>TURNO  3</t>
  </si>
  <si>
    <t xml:space="preserve">AE  </t>
  </si>
  <si>
    <t>TURNO  1</t>
  </si>
  <si>
    <t xml:space="preserve">Sanchez Florez Miguel Angel </t>
  </si>
  <si>
    <t>Franco Fajer Ricardo</t>
  </si>
  <si>
    <t>GERENTE DE PLANTA</t>
  </si>
  <si>
    <t>PRODUCCION</t>
  </si>
  <si>
    <t xml:space="preserve">ALMACEN </t>
  </si>
  <si>
    <t>AUDITORA FINAL</t>
  </si>
  <si>
    <t xml:space="preserve">Salario </t>
  </si>
  <si>
    <t xml:space="preserve">Bono productividas </t>
  </si>
  <si>
    <t xml:space="preserve">Bono de asitencia </t>
  </si>
  <si>
    <t xml:space="preserve">Nominal </t>
  </si>
  <si>
    <t>Pacheco Viaña Jaquelin</t>
  </si>
  <si>
    <t xml:space="preserve">TOT </t>
  </si>
  <si>
    <t>EXTRA</t>
  </si>
  <si>
    <t>BONO ASISTENCIA</t>
  </si>
  <si>
    <t>Mtto</t>
  </si>
  <si>
    <t>EVENTUALES</t>
  </si>
  <si>
    <t>otros</t>
  </si>
  <si>
    <t>BONOS EXTRA</t>
  </si>
  <si>
    <t>SUPERVISORA</t>
  </si>
  <si>
    <t>BONO EXTRA</t>
  </si>
  <si>
    <t>GERENTE PLANTA</t>
  </si>
  <si>
    <t>PUÑO2</t>
  </si>
  <si>
    <t>PUÑO3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</si>
  <si>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</si>
  <si>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</t>
  </si>
  <si>
    <t xml:space="preserve">Responsable de llenado: Myriam Iveth Balderas Balderas </t>
  </si>
  <si>
    <t>Responsable de llenado:Perez Suarez Herber Antony</t>
  </si>
  <si>
    <t>Responsable de llenado:Garcia Nuñez Elizabeth</t>
  </si>
  <si>
    <t>Responsable de llenado:Hernandez Gonzalez Myrtala</t>
  </si>
  <si>
    <t>Responsable de llenado:Muñoz Rodriguez Susana</t>
  </si>
  <si>
    <t>Responsable de llenado:Martinez Rosales Sugey Marisol</t>
  </si>
  <si>
    <t xml:space="preserve">PARAMETROS A EVALUAR  PARA BONO </t>
  </si>
  <si>
    <t xml:space="preserve">Deteccion de defectos </t>
  </si>
  <si>
    <t xml:space="preserve">limpieza de area </t>
  </si>
  <si>
    <t xml:space="preserve">Llenado de formatos </t>
  </si>
  <si>
    <t xml:space="preserve">Permisos </t>
  </si>
  <si>
    <t xml:space="preserve">Retardos </t>
  </si>
  <si>
    <t>Criler</t>
  </si>
  <si>
    <t>Operadora D</t>
  </si>
  <si>
    <t xml:space="preserve">Operador  </t>
  </si>
  <si>
    <t>Operador  D</t>
  </si>
  <si>
    <t>REBAJE POR FALTAS</t>
  </si>
  <si>
    <t>OTROS</t>
  </si>
  <si>
    <t>VAC</t>
  </si>
  <si>
    <t>Operador</t>
  </si>
  <si>
    <t xml:space="preserve">Bono productividad </t>
  </si>
  <si>
    <t>SUPERVISOR</t>
  </si>
  <si>
    <t>Primas, finiquitos, etc</t>
  </si>
  <si>
    <t>GERENTE GENERAL</t>
  </si>
  <si>
    <t>operadora</t>
  </si>
  <si>
    <t>A</t>
  </si>
  <si>
    <t>Bono productividad</t>
  </si>
  <si>
    <t>Bono extra</t>
  </si>
  <si>
    <t>Operadora</t>
  </si>
  <si>
    <t>Calidad</t>
  </si>
  <si>
    <t>Date</t>
  </si>
  <si>
    <t>Device ID</t>
  </si>
  <si>
    <t>Device</t>
  </si>
  <si>
    <t>User Group</t>
  </si>
  <si>
    <t>User</t>
  </si>
  <si>
    <t>Event</t>
  </si>
  <si>
    <t>All Users</t>
  </si>
  <si>
    <t>1:N authentication succeeded (Face)</t>
  </si>
  <si>
    <t>Authentication failed (Timeout)</t>
  </si>
  <si>
    <t>Mendez Reyes Yesica Ivon</t>
  </si>
  <si>
    <t>Gonzales Lopez Violeta</t>
  </si>
  <si>
    <t>Moreno Favela  Sonia Gisela</t>
  </si>
  <si>
    <t>calidad</t>
  </si>
  <si>
    <t>Alvarado Ojeda Dulce Violeta</t>
  </si>
  <si>
    <t>operador</t>
  </si>
  <si>
    <t>Silva Moreno Maria guadalupe</t>
  </si>
  <si>
    <t>TURNO 2</t>
  </si>
  <si>
    <t>Armijo Mendez Geronimo</t>
  </si>
  <si>
    <t>Padilla Armijo Nancy Lorena</t>
  </si>
  <si>
    <t>Hernandez Favela Margarita</t>
  </si>
  <si>
    <t>Gress Padilla Leidy Daniela</t>
  </si>
  <si>
    <t>Holguin Salas Hilda Yudit</t>
  </si>
  <si>
    <t>Antunez Romero Javier Armando</t>
  </si>
  <si>
    <t>Hernandez de la Rosa Maria  Fernanda</t>
  </si>
  <si>
    <t>Vargas Torres Pedro</t>
  </si>
  <si>
    <t>Torres Limones Frida Aurora Shikinkira</t>
  </si>
  <si>
    <t>FaceStation 2 542361075 (192.168.50.204)</t>
  </si>
  <si>
    <t>Avalos Villegas Chayanne</t>
  </si>
  <si>
    <t>Hernandez Garcia Santa Maria Magdalena</t>
  </si>
  <si>
    <t>Martinez Hernandez Irvin Adolfo</t>
  </si>
  <si>
    <t>Ramirez Rodriguez Perla Nohemi</t>
  </si>
  <si>
    <t>Flores Ortiz Elizabeth</t>
  </si>
  <si>
    <t>Moreno Martinez Jose uriel</t>
  </si>
  <si>
    <t>Martinez Rosales Jose Luis</t>
  </si>
  <si>
    <t>Tostado Sifuentes Haxel Rodrigo</t>
  </si>
  <si>
    <t>creler</t>
  </si>
  <si>
    <t>Solis Carranza Efrain</t>
  </si>
  <si>
    <t>Llamas Perez Prince Anais</t>
  </si>
  <si>
    <t>Gonzalez Ojeda Norma Cecilia</t>
  </si>
  <si>
    <t>Alvarado Avalos Mayra Daniela</t>
  </si>
  <si>
    <t>Martinez/Martinez Maria Azucena</t>
  </si>
  <si>
    <t>Moreno Martinez Angel de Jesus</t>
  </si>
  <si>
    <t>Rodriguez Martinez Jose Antonio</t>
  </si>
  <si>
    <t>Molina Sifuentes Monserrat Guadalupe</t>
  </si>
  <si>
    <t>Cardona Perez Rosa Velia</t>
  </si>
  <si>
    <t>Operador puño</t>
  </si>
  <si>
    <t>OPERADOR PUÑO</t>
  </si>
  <si>
    <t>AUDITORA</t>
  </si>
  <si>
    <t>AUX MECANICO</t>
  </si>
  <si>
    <t xml:space="preserve">OPERADOR </t>
  </si>
  <si>
    <t>Villegas Reyes Jesus Maria</t>
  </si>
  <si>
    <t>Botello Amaya Luz Maria</t>
  </si>
  <si>
    <t>DIA FESTIVO</t>
  </si>
  <si>
    <t>AUDITOR FINAL</t>
  </si>
  <si>
    <t xml:space="preserve">Hernandez Gonzalez Elsa </t>
  </si>
  <si>
    <t>Gomez Mendoza Ruben Dario</t>
  </si>
  <si>
    <t>Mecanico</t>
  </si>
  <si>
    <t>Vargas Castañeda Pedro Francisco</t>
  </si>
  <si>
    <t>Hernandez Ramirez Angel Adrian</t>
  </si>
  <si>
    <t>Cordona Perez Rosa Velia</t>
  </si>
  <si>
    <t>DHCP connected</t>
  </si>
  <si>
    <t>Botello Amaya Brenda Cecilia</t>
  </si>
  <si>
    <t>Balderas Aguilar Yhair Otoniel</t>
  </si>
  <si>
    <t>Creeler</t>
  </si>
  <si>
    <t>creeler</t>
  </si>
  <si>
    <t>BONO PRODUCCION EXTRA</t>
  </si>
  <si>
    <t>TIEMPO EXTRA SAB Y DOM</t>
  </si>
  <si>
    <t>Nominas</t>
  </si>
  <si>
    <t>NombreCompleto</t>
  </si>
  <si>
    <t>FechaInicio</t>
  </si>
  <si>
    <t>FechaFin</t>
  </si>
  <si>
    <t>L.Entrada</t>
  </si>
  <si>
    <t>L.Salida</t>
  </si>
  <si>
    <t>MA.Entrada</t>
  </si>
  <si>
    <t>MA.Salida</t>
  </si>
  <si>
    <t>MI.Entrada</t>
  </si>
  <si>
    <t>MI.Salida</t>
  </si>
  <si>
    <t>J.Entrada</t>
  </si>
  <si>
    <t>J.Salida</t>
  </si>
  <si>
    <t>V.Entrada</t>
  </si>
  <si>
    <t>V.Salida</t>
  </si>
  <si>
    <t>S.Entrada</t>
  </si>
  <si>
    <t>S.Salida</t>
  </si>
  <si>
    <t>D.Entrada</t>
  </si>
  <si>
    <t>D.Salida</t>
  </si>
  <si>
    <t>SAMUEL CHAVARRIA MACHADO</t>
  </si>
  <si>
    <t xml:space="preserve">15:33:00 </t>
  </si>
  <si>
    <t>GLADIS NAYELI VIAÑA DOMINGUEZ</t>
  </si>
  <si>
    <t xml:space="preserve">07:32:00 </t>
  </si>
  <si>
    <t xml:space="preserve">15:30:00 </t>
  </si>
  <si>
    <t xml:space="preserve">07:33:00 </t>
  </si>
  <si>
    <t xml:space="preserve">15:32:00 </t>
  </si>
  <si>
    <t xml:space="preserve">07:30:00 </t>
  </si>
  <si>
    <t xml:space="preserve">15:31:00 </t>
  </si>
  <si>
    <t>JUAN MANUEL ANTUNEZ ORONA</t>
  </si>
  <si>
    <t xml:space="preserve">07:43:00 </t>
  </si>
  <si>
    <t>ANGELA ELIZABETH DIAZ MARTINEZ</t>
  </si>
  <si>
    <t>SUGEY  MARISOL  MARTINEZ ROSALES</t>
  </si>
  <si>
    <t xml:space="preserve">07:34:00 </t>
  </si>
  <si>
    <t>MIGUEL ANGEL ESQUIVEL PICON</t>
  </si>
  <si>
    <t xml:space="preserve"> 07:31:00</t>
  </si>
  <si>
    <t xml:space="preserve"> 07:32:00</t>
  </si>
  <si>
    <t xml:space="preserve"> 07:30:00</t>
  </si>
  <si>
    <t>MA. ISABEL  VARGAS MENDEZ</t>
  </si>
  <si>
    <t xml:space="preserve">07:25:00 </t>
  </si>
  <si>
    <t xml:space="preserve">17:02:00 </t>
  </si>
  <si>
    <t>SAUL BAUTISTA REVUELTAS</t>
  </si>
  <si>
    <t>YOHANA CECILIA SALAZAR MARTINEZ</t>
  </si>
  <si>
    <t xml:space="preserve">07:24:00 </t>
  </si>
  <si>
    <t xml:space="preserve">07:21:00 </t>
  </si>
  <si>
    <t>YULISSA ALANIZ MAYORGA</t>
  </si>
  <si>
    <t xml:space="preserve">07:38:00 </t>
  </si>
  <si>
    <t xml:space="preserve">07:23:00 </t>
  </si>
  <si>
    <t xml:space="preserve">07:20:00 </t>
  </si>
  <si>
    <t>JOSE ALBERTO CABALLERO COYOC</t>
  </si>
  <si>
    <t>HERBER ANTONY PEREZ SUAREZ</t>
  </si>
  <si>
    <t>DIEGO FRANCO ALATORRE</t>
  </si>
  <si>
    <t>ACACIA ENRIQUEZ GUTIERREZ</t>
  </si>
  <si>
    <t>MARIA GUADALUPE RAMIREZ REQUEJO</t>
  </si>
  <si>
    <t>MARIA ELENA  HERNANDEZ CAMPISTA</t>
  </si>
  <si>
    <t>SANTA MARIA MAGDALENA HERNANDEZ GARCIA</t>
  </si>
  <si>
    <t>ELIZABETH GARCIA NUÑEZ</t>
  </si>
  <si>
    <t xml:space="preserve">07:29:00 </t>
  </si>
  <si>
    <t xml:space="preserve">17:01:00 </t>
  </si>
  <si>
    <t xml:space="preserve">07:45:00 </t>
  </si>
  <si>
    <t xml:space="preserve">17:00:00 </t>
  </si>
  <si>
    <t xml:space="preserve">07:36:00 </t>
  </si>
  <si>
    <t>GABRIELA ANTUNEZ REQUEJO</t>
  </si>
  <si>
    <t xml:space="preserve">07:28:00 </t>
  </si>
  <si>
    <t xml:space="preserve">07:22:00 </t>
  </si>
  <si>
    <t>SONIA GISELA MORENO FAVELA</t>
  </si>
  <si>
    <t xml:space="preserve">15:29:00 </t>
  </si>
  <si>
    <t>MARIA GUADALUPE SILVA MORENO</t>
  </si>
  <si>
    <t xml:space="preserve">07:26:00 </t>
  </si>
  <si>
    <t xml:space="preserve">07:27:00 </t>
  </si>
  <si>
    <t>NANCY LORENA PADILLA ARMIJO</t>
  </si>
  <si>
    <t>MARGARITA HERNANDEZ FAVELA</t>
  </si>
  <si>
    <t xml:space="preserve">15:28:00 </t>
  </si>
  <si>
    <t>LEIDY DANIELA GRESS PADILLA</t>
  </si>
  <si>
    <t>HILDA YUDITH HOLGUIN SALAS</t>
  </si>
  <si>
    <t>JAVIER ARMANDO ANTUNEZ ROMERO</t>
  </si>
  <si>
    <t xml:space="preserve">07:35:00 </t>
  </si>
  <si>
    <t>FRIDA AURORA TORRES LIMONES</t>
  </si>
  <si>
    <t>PEDRO VARGAS TORRES</t>
  </si>
  <si>
    <t>MARIA FERNANDA HERNANDEZ DE LA ROSA</t>
  </si>
  <si>
    <t>IRVIN ADOLFO MARTINEZ HERNANDEZ</t>
  </si>
  <si>
    <t>JOSE URIEL MORENO  MARTINEZ</t>
  </si>
  <si>
    <t>JOSE LUIS MARTINEZ ROSALES</t>
  </si>
  <si>
    <t>HAXEL RODRIGO TOSTADO SIFUENTES</t>
  </si>
  <si>
    <t>PRINCE ANAIS LLAMAS PEREZ</t>
  </si>
  <si>
    <t xml:space="preserve">07:17:00 </t>
  </si>
  <si>
    <t>EFRAIN SOLIS CARRANZA</t>
  </si>
  <si>
    <t>NORMA CECILIA GONZALEZ OJEDA</t>
  </si>
  <si>
    <t>MONSERRAT GUADALUPE MOLINA SIFUENTES</t>
  </si>
  <si>
    <t>JESUS MARIA VILLEGAS REYES</t>
  </si>
  <si>
    <t>JOSE ADOLFO MEDRANO SUAREZ</t>
  </si>
  <si>
    <t>ADILENE MINOR FLORES</t>
  </si>
  <si>
    <t xml:space="preserve">07:37:00 </t>
  </si>
  <si>
    <t>RAUL MORAN HERNANDEZ</t>
  </si>
  <si>
    <t>MARIA DEL ROSARIO  NUÑEZ VIAÑA</t>
  </si>
  <si>
    <t>JAQUELINE PACHECO VIAÑA</t>
  </si>
  <si>
    <t>JOSE ALEJANDRO RAMIREZ FLORES</t>
  </si>
  <si>
    <t>JOSE ARMANDO  RAMIREZ VITAL</t>
  </si>
  <si>
    <t xml:space="preserve">NOE REQUEJO HERNANDEZ </t>
  </si>
  <si>
    <t xml:space="preserve"> JOSE EMILIO REYES CHAVARRIA</t>
  </si>
  <si>
    <t>ROSA KAREN RODRIGUEZ CASTILLO</t>
  </si>
  <si>
    <t xml:space="preserve">07:31:00 </t>
  </si>
  <si>
    <t>ERIKA ELIZABETH  RODRIGUEZ  URIBE</t>
  </si>
  <si>
    <t>ANA LILIANA  SALAZAR HOLGUIN</t>
  </si>
  <si>
    <t>MIGUEL ANGEL SANCHEZ FLORES</t>
  </si>
  <si>
    <t xml:space="preserve">07:41:00 </t>
  </si>
  <si>
    <t xml:space="preserve">23:26:00 </t>
  </si>
  <si>
    <t xml:space="preserve">23:31:00 </t>
  </si>
  <si>
    <t>JOSE MIGUEL VALENZUELA  ROSALES</t>
  </si>
  <si>
    <t xml:space="preserve">07:18:00 </t>
  </si>
  <si>
    <t>CARLOS IGNACIO  FERIA CRUZ</t>
  </si>
  <si>
    <t xml:space="preserve">17:06:00 </t>
  </si>
  <si>
    <t>MARIO IVAN  CASTRO  VIAÑA</t>
  </si>
  <si>
    <t>MYRIAM IVET  BALDERAS BALDERAS</t>
  </si>
  <si>
    <t>MARIO CUAPIO FLORES</t>
  </si>
  <si>
    <t>XIOMARA ABIGAIL TORRES GARCIA</t>
  </si>
  <si>
    <t>MARIA FERNANDA CARRANZA  HERNANDEZ</t>
  </si>
  <si>
    <t>RAMON HUMBERTO BEBERAJE CRUZ</t>
  </si>
  <si>
    <t>VIOLETA GONZALEZ LOPEZ</t>
  </si>
  <si>
    <t xml:space="preserve">23:30:00 </t>
  </si>
  <si>
    <t>LESLIE CORAIMA GARCIA ORTEGA</t>
  </si>
  <si>
    <t>MYRTALA  HERNANDEZ GONZALEZ</t>
  </si>
  <si>
    <t>AILEN FLORES MIRANDA</t>
  </si>
  <si>
    <t xml:space="preserve"> 07:33:00</t>
  </si>
  <si>
    <t>MONSERRAT NUÑEZ MARTINEZ</t>
  </si>
  <si>
    <t>CATALINA ACEVEDO CAMACHO</t>
  </si>
  <si>
    <t>GABRIELA LIZBETH  LOZANO GUILLEN</t>
  </si>
  <si>
    <t>MARIA GUADALUPE  HERNANDEZ FLORES</t>
  </si>
  <si>
    <t>OSVALDO BUSTAMANTE VILLEGAS</t>
  </si>
  <si>
    <t>YESENIA ABIGAIL  MEDILLIN RODRIGUEZ</t>
  </si>
  <si>
    <t>JESUS ALBERTO DOMINGUEZ  SOTO</t>
  </si>
  <si>
    <t>JUDITH CARRILLO DELGADO</t>
  </si>
  <si>
    <t>MARISA ISABEL BURCIAGA AGUIRRE</t>
  </si>
  <si>
    <t>Tamper off</t>
  </si>
  <si>
    <t>Device started</t>
  </si>
  <si>
    <t>Network connected</t>
  </si>
  <si>
    <t>Network disconnected</t>
  </si>
  <si>
    <t>Martinez Martinez Maria Azucena</t>
  </si>
  <si>
    <t>BioStar disconnected</t>
  </si>
  <si>
    <t>BioStar connected</t>
  </si>
  <si>
    <t>Device time changed</t>
  </si>
  <si>
    <t xml:space="preserve"> 07:34:00</t>
  </si>
  <si>
    <t xml:space="preserve"> 07:35:00</t>
  </si>
  <si>
    <t xml:space="preserve">15:34:00 </t>
  </si>
  <si>
    <t xml:space="preserve">15:26:00 </t>
  </si>
  <si>
    <t xml:space="preserve">17:05:00 </t>
  </si>
  <si>
    <t xml:space="preserve">15:37:00 </t>
  </si>
  <si>
    <t xml:space="preserve">07:40:00 </t>
  </si>
  <si>
    <t xml:space="preserve">07:42:00 </t>
  </si>
  <si>
    <t xml:space="preserve">07:15:00 </t>
  </si>
  <si>
    <t xml:space="preserve">07:19:00 </t>
  </si>
  <si>
    <t xml:space="preserve">07:44:00 </t>
  </si>
  <si>
    <t xml:space="preserve">17:04:00 </t>
  </si>
  <si>
    <t xml:space="preserve">07:49:00 </t>
  </si>
  <si>
    <t xml:space="preserve"> 07:41:00</t>
  </si>
  <si>
    <t>SAN</t>
  </si>
  <si>
    <t>SANC</t>
  </si>
  <si>
    <t>TIEMPO EXTRA</t>
  </si>
  <si>
    <t>GASOLINA APOYO TRANSPORTE PERSONAL SAB 30 NOV 24</t>
  </si>
  <si>
    <t xml:space="preserve"> 07:36:00</t>
  </si>
  <si>
    <t xml:space="preserve"> 07:21:00</t>
  </si>
  <si>
    <t xml:space="preserve">07:48:00 </t>
  </si>
  <si>
    <t>JOSE ANTONIO RODRIGUEZ MARTINEZ</t>
  </si>
  <si>
    <t xml:space="preserve">17:03:00 </t>
  </si>
  <si>
    <t xml:space="preserve">16:59:00 </t>
  </si>
  <si>
    <t xml:space="preserve">07:59:00 </t>
  </si>
  <si>
    <t xml:space="preserve">07:39:00 </t>
  </si>
  <si>
    <t>07:33:00</t>
  </si>
  <si>
    <t xml:space="preserve">23:07:00 </t>
  </si>
  <si>
    <t xml:space="preserve">23:05:00 </t>
  </si>
  <si>
    <t>SEMANA DEL 02 AL 08 DIC DEL 2024</t>
  </si>
  <si>
    <t>T EXT SAB 07 DIC 24 REQUEJO HERNANDEZ NOE</t>
  </si>
  <si>
    <t>2024-12-09</t>
  </si>
  <si>
    <t>2024-12-15</t>
  </si>
  <si>
    <t xml:space="preserve">15:22:00 </t>
  </si>
  <si>
    <t xml:space="preserve"> 07:39:00</t>
  </si>
  <si>
    <t xml:space="preserve"> 07:38:00</t>
  </si>
  <si>
    <t xml:space="preserve"> 07:25:00</t>
  </si>
  <si>
    <t>PERLA NOHEMI FLORES ORTIZ</t>
  </si>
  <si>
    <t xml:space="preserve">07:46:00 </t>
  </si>
  <si>
    <t xml:space="preserve">07:16:00 </t>
  </si>
  <si>
    <t>07:30:00</t>
  </si>
  <si>
    <t xml:space="preserve">15:24:00 </t>
  </si>
  <si>
    <t xml:space="preserve">17:33:00 </t>
  </si>
  <si>
    <t xml:space="preserve"> 07:43:00</t>
  </si>
  <si>
    <t xml:space="preserve">07:47:00 </t>
  </si>
  <si>
    <t xml:space="preserve">07:55:00 </t>
  </si>
  <si>
    <t xml:space="preserve">07:50:00 </t>
  </si>
  <si>
    <t xml:space="preserve">07:52:00 </t>
  </si>
  <si>
    <t xml:space="preserve">23:25:00 </t>
  </si>
  <si>
    <t xml:space="preserve">23:33:00 </t>
  </si>
  <si>
    <t xml:space="preserve">16:11:00 </t>
  </si>
  <si>
    <t xml:space="preserve">15:36:00 </t>
  </si>
  <si>
    <t xml:space="preserve">23:19:00 </t>
  </si>
  <si>
    <t xml:space="preserve">07:13:00 </t>
  </si>
  <si>
    <t xml:space="preserve">07:09:00 </t>
  </si>
  <si>
    <t xml:space="preserve">07:57:00 </t>
  </si>
  <si>
    <t xml:space="preserve">23:08:00 </t>
  </si>
  <si>
    <t xml:space="preserve">23:04:00 </t>
  </si>
  <si>
    <t xml:space="preserve"> 07:48:00</t>
  </si>
  <si>
    <t xml:space="preserve">17:13:00 </t>
  </si>
  <si>
    <t xml:space="preserve">17:07:00 </t>
  </si>
  <si>
    <t xml:space="preserve"> 11:35:36 p. m.</t>
  </si>
  <si>
    <t xml:space="preserve"> 08:33:01 p. m.</t>
  </si>
  <si>
    <t xml:space="preserve"> 03:29:14 p. m.</t>
  </si>
  <si>
    <t xml:space="preserve"> 04:57:20 p. m.</t>
  </si>
  <si>
    <t xml:space="preserve"> 04:55:13 p. m.</t>
  </si>
  <si>
    <t xml:space="preserve">  11:32:58 p. m.</t>
  </si>
  <si>
    <t xml:space="preserve"> 07:33:36 a. m.</t>
  </si>
  <si>
    <t xml:space="preserve"> 07:33:49 a. m.</t>
  </si>
  <si>
    <t xml:space="preserve"> 11:38:13 p. m.</t>
  </si>
  <si>
    <t xml:space="preserve"> 11:07:30 p. m.</t>
  </si>
  <si>
    <t xml:space="preserve"> 05:00:59 p. m.</t>
  </si>
  <si>
    <t xml:space="preserve"> 11:05:57 p. m.</t>
  </si>
  <si>
    <t>inc</t>
  </si>
  <si>
    <t xml:space="preserve"> 05:00:39 p. m.</t>
  </si>
  <si>
    <t xml:space="preserve"> 05:00:48 p. m.</t>
  </si>
  <si>
    <t xml:space="preserve"> 05:01:37 p. m.</t>
  </si>
  <si>
    <t xml:space="preserve"> 06:50:11 a. m.</t>
  </si>
  <si>
    <t xml:space="preserve"> 04:21:10 p. m.</t>
  </si>
  <si>
    <t xml:space="preserve"> 06:47:03 a. m.</t>
  </si>
  <si>
    <t>vac</t>
  </si>
  <si>
    <t xml:space="preserve"> 11:19:22 p. m.</t>
  </si>
  <si>
    <t xml:space="preserve"> 11:25:27 p. m.</t>
  </si>
  <si>
    <t xml:space="preserve"> 05:01:42 p. m.</t>
  </si>
  <si>
    <t xml:space="preserve"> 05:02:16 p. m.</t>
  </si>
  <si>
    <t xml:space="preserve"> 07:35:58 a. m.</t>
  </si>
  <si>
    <t>falta</t>
  </si>
  <si>
    <t xml:space="preserve">  07:29:30 a. m.</t>
  </si>
  <si>
    <t xml:space="preserve"> 03:32:02 p. m.</t>
  </si>
  <si>
    <t xml:space="preserve"> 11:31:43 p. m.</t>
  </si>
  <si>
    <t xml:space="preserve"> 11:32:46 p. m.</t>
  </si>
  <si>
    <t xml:space="preserve"> 03:24:40 p. m.</t>
  </si>
  <si>
    <t xml:space="preserve"> 11:30:58 p. m.</t>
  </si>
  <si>
    <t xml:space="preserve"> 03:32:17 p. m.</t>
  </si>
  <si>
    <t xml:space="preserve"> 11:39:51 p. m.</t>
  </si>
  <si>
    <t xml:space="preserve"> 11:37:08 p. m.</t>
  </si>
  <si>
    <t xml:space="preserve"> 07:35:15 a. m.</t>
  </si>
  <si>
    <t xml:space="preserve"> 05:00:24 p. m.</t>
  </si>
  <si>
    <t xml:space="preserve"> 05:01:56 p. m.</t>
  </si>
  <si>
    <t xml:space="preserve"> 07:26:55 a. m.</t>
  </si>
  <si>
    <t xml:space="preserve"> 11:23:05 p. m.</t>
  </si>
  <si>
    <t xml:space="preserve"> 11:27:59 p. m.</t>
  </si>
  <si>
    <t xml:space="preserve">  01:06:02 p. m.</t>
  </si>
  <si>
    <t xml:space="preserve">  05:39:35 p. m.</t>
  </si>
  <si>
    <t xml:space="preserve"> 03:31:25 p. m.</t>
  </si>
  <si>
    <t xml:space="preserve"> 07:11:28 a. m.</t>
  </si>
  <si>
    <t>psg</t>
  </si>
  <si>
    <t xml:space="preserve"> 05:02:36 p. m.</t>
  </si>
  <si>
    <t xml:space="preserve"> 04:59:36 p. m.</t>
  </si>
  <si>
    <t xml:space="preserve"> 04:59:15 p. m.</t>
  </si>
  <si>
    <t xml:space="preserve"> 07:37:08 a. m.</t>
  </si>
  <si>
    <t xml:space="preserve"> 11:24:10 p. m.</t>
  </si>
  <si>
    <t>sanc</t>
  </si>
  <si>
    <t>san</t>
  </si>
  <si>
    <t xml:space="preserve"> 11:33:01 p. m.</t>
  </si>
  <si>
    <t xml:space="preserve"> 11:30:40 p. m.</t>
  </si>
  <si>
    <t xml:space="preserve"> 11:27:24 p. m.</t>
  </si>
  <si>
    <t xml:space="preserve"> 03:30:09 p. m.</t>
  </si>
  <si>
    <t xml:space="preserve"> 05:02:40 p. m.</t>
  </si>
  <si>
    <t xml:space="preserve"> 07:29:44 a. m.</t>
  </si>
  <si>
    <t xml:space="preserve"> 07:06:43 a. m.</t>
  </si>
  <si>
    <t xml:space="preserve"> 07:30:10 a. m.</t>
  </si>
  <si>
    <t xml:space="preserve"> 11:24:46 p. m.</t>
  </si>
  <si>
    <t xml:space="preserve"> 11:20:15 p. m.</t>
  </si>
  <si>
    <t xml:space="preserve"> 11:30:33 p. m.</t>
  </si>
  <si>
    <t xml:space="preserve"> 07:30:15 a. m.</t>
  </si>
  <si>
    <t xml:space="preserve"> 11:17:39 p. m.</t>
  </si>
  <si>
    <t xml:space="preserve"> 11:19:00 p. m.</t>
  </si>
  <si>
    <t xml:space="preserve"> 05:02:33 p. m.</t>
  </si>
  <si>
    <t xml:space="preserve"> 04:56:42 p. m.</t>
  </si>
  <si>
    <t xml:space="preserve"> 11:10:43 p. m.</t>
  </si>
  <si>
    <t xml:space="preserve"> 08:16:58 a. m.</t>
  </si>
  <si>
    <t xml:space="preserve"> 04:50:20 p. m.</t>
  </si>
  <si>
    <t xml:space="preserve"> 07:45:38 a. m.</t>
  </si>
  <si>
    <t xml:space="preserve"> 04:52:24 p. m.</t>
  </si>
  <si>
    <t xml:space="preserve"> 05:07:30 p. m.</t>
  </si>
  <si>
    <t xml:space="preserve"> 08:05:00 a. m.</t>
  </si>
  <si>
    <t xml:space="preserve"> 04:59:03 p. m.</t>
  </si>
  <si>
    <t xml:space="preserve"> 05:03:16 p. m.</t>
  </si>
  <si>
    <t xml:space="preserve"> 11:32:27 p. m.</t>
  </si>
  <si>
    <t xml:space="preserve"> 11:33:17 p. m.</t>
  </si>
  <si>
    <t xml:space="preserve"> 03:31:10 p. m.</t>
  </si>
  <si>
    <t xml:space="preserve"> 07:31:43 a. m.</t>
  </si>
  <si>
    <t xml:space="preserve"> 11:05:54 p. m.</t>
  </si>
  <si>
    <t xml:space="preserve">  07:31:03 a. m.</t>
  </si>
  <si>
    <t xml:space="preserve"> 11:27:20 p. m.</t>
  </si>
  <si>
    <t xml:space="preserve"> 07:22:03 a. m.</t>
  </si>
  <si>
    <t xml:space="preserve"> 05:01:44 p. m.</t>
  </si>
  <si>
    <t xml:space="preserve"> 05:00:04 p. m.</t>
  </si>
  <si>
    <t xml:space="preserve"> 11:19:21 p. m.</t>
  </si>
  <si>
    <t>|</t>
  </si>
  <si>
    <t>N+A2:N48umero</t>
  </si>
  <si>
    <t>SEMANA DEL 09 AL 15  DE DICIEMBRE DEL 2024</t>
  </si>
  <si>
    <t>DIF BONO SEM 02-08 DIC 24 BOTELLO AMAYA BRENDA CECILIA</t>
  </si>
  <si>
    <t>AY CON LA RUTA DE  LG  X FALTA DEL TRANS CHAVARRIA MACHADO SAMUEL</t>
  </si>
  <si>
    <t xml:space="preserve">SEMANA  </t>
  </si>
  <si>
    <t>FIN 3/3</t>
  </si>
  <si>
    <t>FIN</t>
  </si>
  <si>
    <t>FIN ARMIJO MENDEZ GERONIMO 3/3</t>
  </si>
  <si>
    <t>FIN AVALOS VILLEGAS CHAYANNE</t>
  </si>
  <si>
    <t>PV3A CUAPIO FLORES MARIO 1/2</t>
  </si>
  <si>
    <t>Rodriguez Uribe Edan Ivonne</t>
  </si>
  <si>
    <t>FIN RODRIGUEZ URIBE EDNA IVONNE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</si>
</sst>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[$$-80A]#,##0.00"/>
    <numFmt numFmtId="166" formatCode="[$$-80A]#,##0.0"/>
    <numFmt numFmtId="167" formatCode="_-&quot;$&quot;* #,##0_-;\-&quot;$&quot;* #,##0_-;_-&quot;$&quot;* &quot;-&quot;??_-;_-@_-"/>
    <numFmt numFmtId="168" formatCode="dd\-mm\-yy;@"/>
    <numFmt numFmtId="169" formatCode="&quot;$&quot;#,##0.00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2"/>
      <color indexed="12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  <font>
      <sz val="7"/>
      <color rgb="FF0070C0"/>
      <name val="Arial"/>
      <family val="2"/>
    </font>
    <font>
      <sz val="11"/>
      <color rgb="FF0070C0"/>
      <name val="Arial"/>
      <family val="2"/>
    </font>
    <font>
      <b/>
      <sz val="16"/>
      <color indexed="12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u/>
      <sz val="12"/>
      <color indexed="12"/>
      <name val="Arial"/>
      <family val="2"/>
    </font>
    <font>
      <b/>
      <sz val="11"/>
      <color rgb="FF0070C0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sz val="12"/>
      <color rgb="FF0070C0"/>
      <name val="Arial"/>
      <family val="2"/>
    </font>
    <font>
      <b/>
      <sz val="10"/>
      <color theme="9" tint="-0.499984740745262"/>
      <name val="Arial"/>
      <family val="2"/>
    </font>
    <font>
      <b/>
      <sz val="11"/>
      <color theme="9" tint="-0.499984740745262"/>
      <name val="Arial"/>
      <family val="2"/>
    </font>
    <font>
      <sz val="11"/>
      <color indexed="10"/>
      <name val="Arial"/>
      <family val="2"/>
    </font>
    <font>
      <b/>
      <sz val="7"/>
      <color indexed="48"/>
      <name val="Arial"/>
      <family val="2"/>
    </font>
    <font>
      <b/>
      <sz val="10"/>
      <color rgb="FF170CEE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b/>
      <sz val="10"/>
      <color indexed="10"/>
      <name val="Arial"/>
      <family val="2"/>
    </font>
    <font>
      <sz val="10"/>
      <color rgb="FF0070C0"/>
      <name val="Comic Sans MS"/>
      <family val="4"/>
    </font>
    <font>
      <sz val="10"/>
      <color rgb="FF002060"/>
      <name val="Comic Sans MS"/>
      <family val="4"/>
    </font>
    <font>
      <sz val="12"/>
      <name val="Arial"/>
      <family val="2"/>
    </font>
    <font>
      <sz val="11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9"/>
      <color rgb="FF0070C0"/>
      <name val="Arial"/>
      <family val="2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indexed="12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0"/>
      <name val="Comic Sans MS"/>
      <family val="4"/>
    </font>
    <font>
      <sz val="7"/>
      <name val="Comic Sans MS"/>
      <family val="4"/>
    </font>
    <font>
      <sz val="10"/>
      <color theme="7" tint="-0.249977111117893"/>
      <name val="Comic Sans MS"/>
      <family val="4"/>
    </font>
    <font>
      <b/>
      <sz val="10"/>
      <name val="Comic Sans MS"/>
      <family val="4"/>
    </font>
    <font>
      <sz val="10"/>
      <color rgb="FFFF0000"/>
      <name val="Comic Sans MS"/>
      <family val="4"/>
    </font>
    <font>
      <sz val="8"/>
      <name val="Arial"/>
      <family val="2"/>
    </font>
    <font>
      <b/>
      <sz val="10"/>
      <color rgb="FF7030A0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Arial"/>
      <family val="2"/>
    </font>
    <font>
      <sz val="10"/>
      <color indexed="8"/>
      <name val="Arial"/>
      <family val="2"/>
    </font>
    <font>
      <b/>
      <sz val="9"/>
      <name val="Comic Sans MS"/>
      <family val="4"/>
    </font>
    <font>
      <sz val="9"/>
      <color indexed="8"/>
      <name val="Arial Narrow"/>
      <family val="2"/>
    </font>
    <font>
      <sz val="9"/>
      <name val="Comic Sans MS"/>
      <family val="4"/>
    </font>
    <font>
      <sz val="7"/>
      <color indexed="8"/>
      <name val="Arial Narrow"/>
      <family val="2"/>
    </font>
    <font>
      <sz val="11"/>
      <color rgb="FF0070C0"/>
      <name val="Calibri"/>
      <family val="2"/>
    </font>
    <font>
      <sz val="11"/>
      <color rgb="FF002060"/>
      <name val="Calibri"/>
      <family val="2"/>
    </font>
    <font>
      <b/>
      <sz val="8"/>
      <name val="Comic Sans MS"/>
      <family val="4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8"/>
      <color indexed="10"/>
      <name val="Arial"/>
      <family val="2"/>
    </font>
    <font>
      <b/>
      <sz val="11"/>
      <color indexed="10"/>
      <name val="Arial"/>
      <family val="2"/>
    </font>
    <font>
      <b/>
      <sz val="9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sz val="10"/>
      <color rgb="FF0070C0"/>
      <name val="Arial"/>
      <family val="2"/>
    </font>
    <font>
      <b/>
      <sz val="10"/>
      <color indexed="8"/>
      <name val="Arial"/>
      <family val="2"/>
    </font>
    <font>
      <b/>
      <sz val="11"/>
      <color rgb="FF3A6C38"/>
      <name val="Arial"/>
      <family val="2"/>
    </font>
    <font>
      <b/>
      <sz val="2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Comic Sans MS"/>
      <family val="4"/>
    </font>
    <font>
      <sz val="8"/>
      <name val="Comic Sans MS"/>
      <family val="4"/>
    </font>
    <font>
      <b/>
      <sz val="11"/>
      <name val="Comic Sans MS"/>
      <family val="4"/>
    </font>
    <font>
      <b/>
      <sz val="11"/>
      <color rgb="FFFF0000"/>
      <name val="Calibri"/>
      <family val="2"/>
      <scheme val="minor"/>
    </font>
    <font>
      <b/>
      <sz val="8"/>
      <color rgb="FF000000"/>
      <name val="Arial"/>
      <family val="2"/>
    </font>
    <font>
      <b/>
      <sz val="14"/>
      <color rgb="FF0000FF"/>
      <name val="Arial"/>
      <family val="2"/>
    </font>
    <font>
      <sz val="10"/>
      <color indexed="8"/>
      <name val="Comic Sans MS"/>
      <family val="4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  <font>
      <b/>
      <sz val="7"/>
      <color indexed="8"/>
      <name val="Arial"/>
      <family val="2"/>
    </font>
    <font>
      <b/>
      <sz val="7"/>
      <color rgb="FF000000"/>
      <name val="Arial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</font>
    <font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9AE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EC88E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EDC4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6C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4E6C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7" fillId="0" borderId="0"/>
    <xf numFmtId="44" fontId="65" fillId="0" borderId="0" applyFont="0" applyFill="0" applyBorder="0" applyAlignment="0" applyProtection="0"/>
    <xf numFmtId="0" fontId="74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2" fillId="0" borderId="0"/>
  </cellStyleXfs>
  <cellXfs count="946">
    <xf numFmtId="0" fontId="0" fillId="0" borderId="0" xfId="0"/>
    <xf numFmtId="164" fontId="4" fillId="0" borderId="0" xfId="1" applyNumberFormat="1" applyFont="1" applyFill="1"/>
    <xf numFmtId="0" fontId="5" fillId="0" borderId="1" xfId="0" applyFont="1" applyBorder="1"/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/>
    <xf numFmtId="1" fontId="7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4" fontId="4" fillId="0" borderId="0" xfId="2" applyFont="1" applyFill="1" applyBorder="1"/>
    <xf numFmtId="0" fontId="8" fillId="0" borderId="0" xfId="0" applyNumberFormat="1" applyFont="1" applyFill="1" applyBorder="1" applyAlignment="1">
      <alignment horizontal="center"/>
    </xf>
    <xf numFmtId="44" fontId="4" fillId="0" borderId="0" xfId="2" applyFont="1" applyFill="1" applyBorder="1" applyAlignment="1">
      <alignment horizontal="center"/>
    </xf>
    <xf numFmtId="165" fontId="9" fillId="0" borderId="0" xfId="2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10" fillId="0" borderId="0" xfId="0" applyFont="1" applyFill="1" applyAlignment="1">
      <alignment vertical="center" wrapText="1"/>
    </xf>
    <xf numFmtId="0" fontId="11" fillId="0" borderId="0" xfId="0" applyNumberFormat="1" applyFont="1" applyFill="1" applyBorder="1" applyAlignment="1">
      <alignment horizontal="center"/>
    </xf>
    <xf numFmtId="165" fontId="12" fillId="0" borderId="0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14" fillId="0" borderId="0" xfId="0" applyFont="1" applyFill="1"/>
    <xf numFmtId="0" fontId="14" fillId="0" borderId="0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166" fontId="8" fillId="0" borderId="7" xfId="2" applyNumberFormat="1" applyFont="1" applyFill="1" applyBorder="1" applyAlignment="1">
      <alignment horizontal="center" wrapText="1"/>
    </xf>
    <xf numFmtId="44" fontId="16" fillId="0" borderId="0" xfId="2" applyFont="1" applyFill="1" applyBorder="1" applyAlignment="1">
      <alignment horizontal="center" wrapText="1"/>
    </xf>
    <xf numFmtId="165" fontId="17" fillId="2" borderId="8" xfId="2" applyNumberFormat="1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 applyBorder="1" applyAlignment="1"/>
    <xf numFmtId="0" fontId="7" fillId="0" borderId="9" xfId="0" applyFont="1" applyFill="1" applyBorder="1"/>
    <xf numFmtId="0" fontId="7" fillId="0" borderId="10" xfId="0" applyFont="1" applyFill="1" applyBorder="1"/>
    <xf numFmtId="166" fontId="18" fillId="0" borderId="8" xfId="0" applyNumberFormat="1" applyFont="1" applyFill="1" applyBorder="1" applyAlignment="1">
      <alignment vertical="center" wrapText="1"/>
    </xf>
    <xf numFmtId="166" fontId="19" fillId="0" borderId="0" xfId="0" applyNumberFormat="1" applyFont="1" applyFill="1" applyAlignment="1">
      <alignment horizontal="center" vertical="center"/>
    </xf>
    <xf numFmtId="166" fontId="19" fillId="0" borderId="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4" fillId="0" borderId="12" xfId="0" applyFont="1" applyFill="1" applyBorder="1"/>
    <xf numFmtId="44" fontId="7" fillId="0" borderId="13" xfId="2" applyFont="1" applyFill="1" applyBorder="1" applyAlignment="1">
      <alignment horizontal="center"/>
    </xf>
    <xf numFmtId="167" fontId="9" fillId="0" borderId="0" xfId="2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21" fillId="0" borderId="0" xfId="0" applyFont="1" applyFill="1" applyAlignment="1">
      <alignment vertical="center" wrapText="1"/>
    </xf>
    <xf numFmtId="165" fontId="22" fillId="0" borderId="0" xfId="0" applyNumberFormat="1" applyFont="1" applyFill="1" applyBorder="1" applyAlignment="1">
      <alignment horizontal="center"/>
    </xf>
    <xf numFmtId="0" fontId="19" fillId="0" borderId="0" xfId="0" applyFont="1" applyFill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4" fillId="0" borderId="12" xfId="0" applyFont="1" applyFill="1" applyBorder="1" applyAlignment="1">
      <alignment horizontal="center"/>
    </xf>
    <xf numFmtId="44" fontId="4" fillId="0" borderId="13" xfId="2" applyFont="1" applyFill="1" applyBorder="1" applyAlignment="1">
      <alignment horizontal="right" wrapText="1"/>
    </xf>
    <xf numFmtId="167" fontId="26" fillId="0" borderId="0" xfId="2" applyNumberFormat="1" applyFont="1" applyFill="1" applyBorder="1" applyAlignment="1">
      <alignment horizontal="center" wrapText="1"/>
    </xf>
    <xf numFmtId="167" fontId="26" fillId="0" borderId="0" xfId="2" applyNumberFormat="1" applyFont="1" applyFill="1" applyBorder="1" applyAlignment="1">
      <alignment horizontal="center" vertical="center" wrapText="1"/>
    </xf>
    <xf numFmtId="44" fontId="4" fillId="0" borderId="14" xfId="2" applyFont="1" applyFill="1" applyBorder="1"/>
    <xf numFmtId="44" fontId="4" fillId="0" borderId="15" xfId="2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44" fontId="4" fillId="0" borderId="16" xfId="2" applyFont="1" applyFill="1" applyBorder="1"/>
    <xf numFmtId="44" fontId="4" fillId="0" borderId="0" xfId="0" applyNumberFormat="1" applyFont="1" applyFill="1"/>
    <xf numFmtId="44" fontId="27" fillId="3" borderId="0" xfId="0" applyNumberFormat="1" applyFont="1" applyFill="1" applyBorder="1" applyAlignment="1">
      <alignment vertical="center" wrapText="1"/>
    </xf>
    <xf numFmtId="0" fontId="11" fillId="4" borderId="12" xfId="0" applyNumberFormat="1" applyFont="1" applyFill="1" applyBorder="1" applyAlignment="1">
      <alignment horizontal="center"/>
    </xf>
    <xf numFmtId="165" fontId="13" fillId="0" borderId="12" xfId="0" applyNumberFormat="1" applyFont="1" applyFill="1" applyBorder="1" applyAlignment="1">
      <alignment horizontal="center" vertical="center" wrapText="1"/>
    </xf>
    <xf numFmtId="165" fontId="13" fillId="5" borderId="0" xfId="0" quotePrefix="1" applyNumberFormat="1" applyFont="1" applyFill="1" applyBorder="1" applyAlignment="1">
      <alignment horizontal="center"/>
    </xf>
    <xf numFmtId="165" fontId="11" fillId="5" borderId="0" xfId="0" applyNumberFormat="1" applyFont="1" applyFill="1" applyBorder="1" applyAlignment="1">
      <alignment horizontal="center"/>
    </xf>
    <xf numFmtId="165" fontId="11" fillId="6" borderId="0" xfId="0" applyNumberFormat="1" applyFont="1" applyFill="1" applyBorder="1" applyAlignment="1">
      <alignment horizontal="center"/>
    </xf>
    <xf numFmtId="165" fontId="11" fillId="4" borderId="0" xfId="0" applyNumberFormat="1" applyFont="1" applyFill="1" applyBorder="1" applyAlignment="1">
      <alignment horizontal="center"/>
    </xf>
    <xf numFmtId="165" fontId="28" fillId="0" borderId="0" xfId="0" applyNumberFormat="1" applyFont="1" applyFill="1" applyBorder="1" applyAlignment="1">
      <alignment horizontal="center"/>
    </xf>
    <xf numFmtId="165" fontId="29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6" borderId="0" xfId="0" applyFill="1" applyBorder="1"/>
    <xf numFmtId="0" fontId="11" fillId="5" borderId="12" xfId="0" applyNumberFormat="1" applyFont="1" applyFill="1" applyBorder="1" applyAlignment="1">
      <alignment horizontal="center"/>
    </xf>
    <xf numFmtId="165" fontId="13" fillId="5" borderId="0" xfId="0" applyNumberFormat="1" applyFont="1" applyFill="1" applyBorder="1" applyAlignment="1">
      <alignment horizontal="center"/>
    </xf>
    <xf numFmtId="165" fontId="29" fillId="6" borderId="0" xfId="0" applyNumberFormat="1" applyFont="1" applyFill="1" applyBorder="1" applyAlignment="1">
      <alignment horizontal="center"/>
    </xf>
    <xf numFmtId="0" fontId="4" fillId="6" borderId="0" xfId="0" applyFont="1" applyFill="1" applyBorder="1"/>
    <xf numFmtId="167" fontId="4" fillId="0" borderId="0" xfId="2" applyNumberFormat="1" applyFont="1" applyFill="1" applyBorder="1"/>
    <xf numFmtId="0" fontId="0" fillId="6" borderId="0" xfId="0" applyFill="1" applyBorder="1" applyAlignment="1">
      <alignment horizontal="left"/>
    </xf>
    <xf numFmtId="0" fontId="5" fillId="0" borderId="19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44" fontId="4" fillId="0" borderId="0" xfId="2" applyFont="1" applyFill="1" applyBorder="1" applyAlignment="1">
      <alignment horizontal="right" wrapText="1"/>
    </xf>
    <xf numFmtId="165" fontId="13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/>
    <xf numFmtId="0" fontId="31" fillId="0" borderId="0" xfId="0" applyFont="1" applyFill="1"/>
    <xf numFmtId="0" fontId="32" fillId="0" borderId="0" xfId="0" applyFont="1" applyFill="1" applyBorder="1"/>
    <xf numFmtId="0" fontId="33" fillId="0" borderId="0" xfId="0" applyFont="1" applyFill="1" applyBorder="1"/>
    <xf numFmtId="0" fontId="33" fillId="9" borderId="0" xfId="0" applyFont="1" applyFill="1" applyBorder="1"/>
    <xf numFmtId="0" fontId="34" fillId="0" borderId="0" xfId="0" applyFont="1" applyFill="1" applyBorder="1"/>
    <xf numFmtId="0" fontId="6" fillId="0" borderId="0" xfId="0" applyFont="1" applyFill="1" applyBorder="1"/>
    <xf numFmtId="0" fontId="29" fillId="0" borderId="0" xfId="0" applyFont="1" applyFill="1" applyBorder="1"/>
    <xf numFmtId="0" fontId="4" fillId="9" borderId="0" xfId="0" applyFont="1" applyFill="1" applyBorder="1"/>
    <xf numFmtId="0" fontId="20" fillId="0" borderId="0" xfId="0" applyNumberFormat="1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 wrapText="1"/>
    </xf>
    <xf numFmtId="0" fontId="36" fillId="0" borderId="22" xfId="0" applyFont="1" applyFill="1" applyBorder="1" applyAlignment="1">
      <alignment horizontal="center" vertical="center" wrapText="1"/>
    </xf>
    <xf numFmtId="0" fontId="35" fillId="0" borderId="22" xfId="0" applyFont="1" applyFill="1" applyBorder="1" applyAlignment="1">
      <alignment horizontal="center" vertical="center" wrapText="1"/>
    </xf>
    <xf numFmtId="44" fontId="7" fillId="0" borderId="7" xfId="2" applyFont="1" applyFill="1" applyBorder="1" applyAlignment="1">
      <alignment horizontal="center"/>
    </xf>
    <xf numFmtId="1" fontId="21" fillId="0" borderId="0" xfId="0" applyNumberFormat="1" applyFont="1" applyFill="1" applyAlignment="1">
      <alignment vertical="center" wrapText="1"/>
    </xf>
    <xf numFmtId="0" fontId="37" fillId="0" borderId="0" xfId="0" applyNumberFormat="1" applyFont="1" applyFill="1" applyBorder="1" applyAlignment="1">
      <alignment horizontal="center"/>
    </xf>
    <xf numFmtId="0" fontId="29" fillId="0" borderId="0" xfId="0" applyFont="1" applyFill="1"/>
    <xf numFmtId="0" fontId="35" fillId="0" borderId="11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vertical="center" wrapText="1"/>
    </xf>
    <xf numFmtId="2" fontId="7" fillId="0" borderId="13" xfId="2" applyNumberFormat="1" applyFont="1" applyFill="1" applyBorder="1" applyAlignment="1">
      <alignment horizontal="center"/>
    </xf>
    <xf numFmtId="0" fontId="38" fillId="0" borderId="0" xfId="0" applyFont="1"/>
    <xf numFmtId="0" fontId="0" fillId="0" borderId="23" xfId="0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40" fillId="0" borderId="24" xfId="0" applyFont="1" applyFill="1" applyBorder="1" applyAlignment="1">
      <alignment horizontal="center"/>
    </xf>
    <xf numFmtId="2" fontId="7" fillId="0" borderId="25" xfId="2" applyNumberFormat="1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2" fontId="7" fillId="0" borderId="0" xfId="2" applyNumberFormat="1" applyFont="1" applyFill="1" applyBorder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/>
    <xf numFmtId="0" fontId="38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41" fillId="0" borderId="12" xfId="0" applyFont="1" applyFill="1" applyBorder="1" applyAlignment="1">
      <alignment horizontal="center"/>
    </xf>
    <xf numFmtId="0" fontId="30" fillId="0" borderId="12" xfId="0" applyFont="1" applyFill="1" applyBorder="1" applyAlignment="1">
      <alignment horizontal="center"/>
    </xf>
    <xf numFmtId="0" fontId="42" fillId="0" borderId="13" xfId="0" applyFont="1" applyBorder="1"/>
    <xf numFmtId="0" fontId="43" fillId="0" borderId="0" xfId="0" applyFont="1" applyFill="1"/>
    <xf numFmtId="0" fontId="43" fillId="0" borderId="0" xfId="0" applyFont="1"/>
    <xf numFmtId="0" fontId="44" fillId="0" borderId="0" xfId="0" applyFont="1" applyBorder="1"/>
    <xf numFmtId="44" fontId="4" fillId="0" borderId="20" xfId="2" applyFont="1" applyFill="1" applyBorder="1" applyAlignment="1">
      <alignment horizontal="right" wrapText="1"/>
    </xf>
    <xf numFmtId="2" fontId="8" fillId="0" borderId="0" xfId="0" applyNumberFormat="1" applyFont="1" applyFill="1" applyBorder="1" applyAlignment="1">
      <alignment horizontal="center"/>
    </xf>
    <xf numFmtId="0" fontId="43" fillId="0" borderId="0" xfId="0" applyFont="1" applyFill="1" applyBorder="1"/>
    <xf numFmtId="0" fontId="24" fillId="7" borderId="12" xfId="0" applyFont="1" applyFill="1" applyBorder="1" applyAlignment="1"/>
    <xf numFmtId="165" fontId="13" fillId="5" borderId="12" xfId="0" applyNumberFormat="1" applyFont="1" applyFill="1" applyBorder="1" applyAlignment="1">
      <alignment horizontal="center" vertical="center" wrapText="1"/>
    </xf>
    <xf numFmtId="0" fontId="45" fillId="10" borderId="11" xfId="0" applyNumberFormat="1" applyFont="1" applyFill="1" applyBorder="1" applyAlignment="1">
      <alignment horizontal="center"/>
    </xf>
    <xf numFmtId="44" fontId="46" fillId="0" borderId="0" xfId="2" applyFont="1" applyFill="1" applyBorder="1" applyAlignment="1">
      <alignment horizontal="center"/>
    </xf>
    <xf numFmtId="0" fontId="23" fillId="7" borderId="11" xfId="0" applyFont="1" applyFill="1" applyBorder="1" applyAlignment="1">
      <alignment horizontal="center"/>
    </xf>
    <xf numFmtId="0" fontId="35" fillId="0" borderId="28" xfId="0" applyFont="1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horizontal="center" vertical="center" wrapText="1"/>
    </xf>
    <xf numFmtId="0" fontId="35" fillId="0" borderId="29" xfId="0" applyFont="1" applyFill="1" applyBorder="1" applyAlignment="1">
      <alignment vertical="center" wrapText="1"/>
    </xf>
    <xf numFmtId="0" fontId="11" fillId="0" borderId="12" xfId="0" applyNumberFormat="1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25" fillId="0" borderId="30" xfId="0" applyFont="1" applyFill="1" applyBorder="1" applyAlignment="1">
      <alignment horizontal="center"/>
    </xf>
    <xf numFmtId="0" fontId="24" fillId="11" borderId="12" xfId="0" applyFont="1" applyFill="1" applyBorder="1" applyAlignment="1"/>
    <xf numFmtId="0" fontId="5" fillId="0" borderId="11" xfId="0" applyNumberFormat="1" applyFont="1" applyFill="1" applyBorder="1" applyAlignment="1">
      <alignment horizontal="center"/>
    </xf>
    <xf numFmtId="49" fontId="13" fillId="5" borderId="12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/>
    </xf>
    <xf numFmtId="0" fontId="4" fillId="0" borderId="19" xfId="0" applyFont="1" applyFill="1" applyBorder="1" applyAlignment="1"/>
    <xf numFmtId="0" fontId="47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8" fillId="0" borderId="0" xfId="0" applyFont="1" applyFill="1" applyBorder="1"/>
    <xf numFmtId="0" fontId="49" fillId="0" borderId="0" xfId="0" applyFont="1"/>
    <xf numFmtId="0" fontId="48" fillId="0" borderId="0" xfId="0" applyFont="1"/>
    <xf numFmtId="0" fontId="32" fillId="0" borderId="0" xfId="0" applyFont="1" applyFill="1"/>
    <xf numFmtId="44" fontId="48" fillId="12" borderId="32" xfId="2" applyFont="1" applyFill="1" applyBorder="1"/>
    <xf numFmtId="44" fontId="48" fillId="0" borderId="0" xfId="2" applyFont="1" applyFill="1" applyBorder="1"/>
    <xf numFmtId="0" fontId="48" fillId="0" borderId="0" xfId="0" applyFont="1" applyBorder="1"/>
    <xf numFmtId="0" fontId="5" fillId="13" borderId="11" xfId="0" applyNumberFormat="1" applyFont="1" applyFill="1" applyBorder="1" applyAlignment="1">
      <alignment horizontal="center"/>
    </xf>
    <xf numFmtId="0" fontId="48" fillId="13" borderId="12" xfId="0" applyFont="1" applyFill="1" applyBorder="1"/>
    <xf numFmtId="0" fontId="48" fillId="0" borderId="35" xfId="0" applyFont="1" applyFill="1" applyBorder="1"/>
    <xf numFmtId="0" fontId="48" fillId="0" borderId="0" xfId="0" applyFont="1" applyFill="1" applyAlignment="1">
      <alignment horizontal="center"/>
    </xf>
    <xf numFmtId="0" fontId="48" fillId="0" borderId="17" xfId="0" applyFont="1" applyFill="1" applyBorder="1"/>
    <xf numFmtId="44" fontId="50" fillId="0" borderId="38" xfId="2" applyFont="1" applyFill="1" applyBorder="1"/>
    <xf numFmtId="44" fontId="50" fillId="0" borderId="0" xfId="2" applyFont="1" applyFill="1" applyBorder="1"/>
    <xf numFmtId="0" fontId="51" fillId="13" borderId="12" xfId="0" applyFont="1" applyFill="1" applyBorder="1"/>
    <xf numFmtId="0" fontId="48" fillId="0" borderId="0" xfId="0" applyFont="1" applyAlignment="1">
      <alignment horizontal="center"/>
    </xf>
    <xf numFmtId="44" fontId="50" fillId="5" borderId="38" xfId="2" applyFont="1" applyFill="1" applyBorder="1"/>
    <xf numFmtId="44" fontId="50" fillId="5" borderId="39" xfId="2" applyFont="1" applyFill="1" applyBorder="1"/>
    <xf numFmtId="0" fontId="5" fillId="13" borderId="18" xfId="0" applyNumberFormat="1" applyFont="1" applyFill="1" applyBorder="1" applyAlignment="1">
      <alignment horizontal="center"/>
    </xf>
    <xf numFmtId="0" fontId="48" fillId="13" borderId="19" xfId="0" applyFont="1" applyFill="1" applyBorder="1"/>
    <xf numFmtId="0" fontId="48" fillId="0" borderId="42" xfId="0" applyFont="1" applyFill="1" applyBorder="1"/>
    <xf numFmtId="0" fontId="48" fillId="0" borderId="20" xfId="0" applyFont="1" applyFill="1" applyBorder="1"/>
    <xf numFmtId="0" fontId="17" fillId="0" borderId="39" xfId="2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42" fillId="0" borderId="0" xfId="0" applyFont="1" applyFill="1" applyBorder="1"/>
    <xf numFmtId="0" fontId="52" fillId="0" borderId="0" xfId="0" applyFont="1" applyFill="1" applyAlignment="1">
      <alignment horizontal="left"/>
    </xf>
    <xf numFmtId="0" fontId="53" fillId="0" borderId="0" xfId="0" applyFont="1" applyFill="1" applyBorder="1" applyAlignment="1">
      <alignment horizontal="left"/>
    </xf>
    <xf numFmtId="0" fontId="0" fillId="0" borderId="0" xfId="0" applyFill="1"/>
    <xf numFmtId="0" fontId="42" fillId="0" borderId="0" xfId="0" applyFont="1" applyFill="1"/>
    <xf numFmtId="0" fontId="54" fillId="0" borderId="0" xfId="0" applyFont="1" applyFill="1" applyBorder="1" applyAlignment="1">
      <alignment horizontal="center"/>
    </xf>
    <xf numFmtId="0" fontId="55" fillId="0" borderId="0" xfId="0" applyFont="1" applyFill="1" applyBorder="1"/>
    <xf numFmtId="0" fontId="57" fillId="0" borderId="21" xfId="0" applyFont="1" applyFill="1" applyBorder="1" applyAlignment="1">
      <alignment horizontal="center"/>
    </xf>
    <xf numFmtId="0" fontId="0" fillId="0" borderId="22" xfId="0" applyFill="1" applyBorder="1"/>
    <xf numFmtId="2" fontId="7" fillId="0" borderId="22" xfId="0" applyNumberFormat="1" applyFont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0" fontId="0" fillId="0" borderId="2" xfId="0" applyFill="1" applyBorder="1"/>
    <xf numFmtId="1" fontId="59" fillId="0" borderId="11" xfId="3" applyNumberFormat="1" applyFont="1" applyFill="1" applyBorder="1" applyAlignment="1" applyProtection="1">
      <alignment horizontal="center" vertical="center"/>
      <protection locked="0"/>
    </xf>
    <xf numFmtId="0" fontId="34" fillId="13" borderId="12" xfId="0" applyFont="1" applyFill="1" applyBorder="1"/>
    <xf numFmtId="1" fontId="0" fillId="0" borderId="12" xfId="0" applyNumberFormat="1" applyFill="1" applyBorder="1" applyAlignment="1">
      <alignment horizontal="center"/>
    </xf>
    <xf numFmtId="16" fontId="0" fillId="0" borderId="0" xfId="0" quotePrefix="1" applyNumberFormat="1"/>
    <xf numFmtId="0" fontId="0" fillId="0" borderId="0" xfId="0" quotePrefix="1" applyFill="1" applyBorder="1"/>
    <xf numFmtId="0" fontId="5" fillId="0" borderId="11" xfId="0" applyNumberFormat="1" applyFont="1" applyFill="1" applyBorder="1" applyAlignment="1">
      <alignment horizontal="center" vertical="top"/>
    </xf>
    <xf numFmtId="0" fontId="0" fillId="0" borderId="17" xfId="0" applyBorder="1"/>
    <xf numFmtId="0" fontId="49" fillId="0" borderId="0" xfId="0" applyFont="1" applyFill="1"/>
    <xf numFmtId="1" fontId="59" fillId="0" borderId="26" xfId="3" applyNumberFormat="1" applyFont="1" applyFill="1" applyBorder="1" applyAlignment="1" applyProtection="1">
      <alignment horizontal="center" vertical="center"/>
      <protection locked="0"/>
    </xf>
    <xf numFmtId="0" fontId="0" fillId="0" borderId="27" xfId="0" applyFill="1" applyBorder="1"/>
    <xf numFmtId="0" fontId="34" fillId="13" borderId="27" xfId="0" applyFont="1" applyFill="1" applyBorder="1"/>
    <xf numFmtId="1" fontId="0" fillId="0" borderId="27" xfId="0" applyNumberFormat="1" applyFill="1" applyBorder="1" applyAlignment="1">
      <alignment horizontal="center"/>
    </xf>
    <xf numFmtId="0" fontId="0" fillId="0" borderId="13" xfId="0" applyBorder="1"/>
    <xf numFmtId="1" fontId="59" fillId="0" borderId="18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Fill="1" applyBorder="1"/>
    <xf numFmtId="0" fontId="34" fillId="13" borderId="19" xfId="0" applyFont="1" applyFill="1" applyBorder="1"/>
    <xf numFmtId="1" fontId="0" fillId="0" borderId="19" xfId="0" applyNumberFormat="1" applyFill="1" applyBorder="1" applyAlignment="1">
      <alignment horizontal="center"/>
    </xf>
    <xf numFmtId="0" fontId="5" fillId="0" borderId="18" xfId="0" applyNumberFormat="1" applyFont="1" applyFill="1" applyBorder="1" applyAlignment="1">
      <alignment horizontal="center" vertical="top"/>
    </xf>
    <xf numFmtId="0" fontId="0" fillId="0" borderId="20" xfId="0" applyBorder="1"/>
    <xf numFmtId="0" fontId="57" fillId="0" borderId="0" xfId="0" applyFont="1" applyFill="1" applyBorder="1" applyAlignment="1">
      <alignment horizontal="center"/>
    </xf>
    <xf numFmtId="1" fontId="61" fillId="0" borderId="0" xfId="0" applyNumberFormat="1" applyFont="1" applyFill="1" applyBorder="1" applyAlignment="1" applyProtection="1">
      <alignment horizontal="left" vertical="top"/>
      <protection locked="0"/>
    </xf>
    <xf numFmtId="0" fontId="34" fillId="0" borderId="0" xfId="0" applyFont="1" applyFill="1" applyBorder="1" applyAlignment="1" applyProtection="1">
      <alignment horizontal="left" vertical="top"/>
      <protection locked="0"/>
    </xf>
    <xf numFmtId="168" fontId="58" fillId="0" borderId="0" xfId="0" applyNumberFormat="1" applyFont="1" applyFill="1" applyBorder="1" applyAlignment="1">
      <alignment horizontal="center" vertical="center" wrapText="1" shrinkToFit="1"/>
    </xf>
    <xf numFmtId="0" fontId="0" fillId="0" borderId="0" xfId="0" quotePrefix="1" applyNumberFormat="1" applyBorder="1"/>
    <xf numFmtId="0" fontId="5" fillId="0" borderId="0" xfId="0" applyNumberFormat="1" applyFont="1" applyFill="1" applyBorder="1" applyAlignment="1">
      <alignment horizontal="center" vertical="top"/>
    </xf>
    <xf numFmtId="0" fontId="49" fillId="0" borderId="0" xfId="0" applyFont="1" applyFill="1" applyBorder="1"/>
    <xf numFmtId="1" fontId="21" fillId="0" borderId="0" xfId="0" applyNumberFormat="1" applyFont="1" applyFill="1" applyBorder="1" applyAlignment="1">
      <alignment vertical="center" wrapText="1"/>
    </xf>
    <xf numFmtId="0" fontId="31" fillId="0" borderId="0" xfId="0" applyFont="1" applyFill="1" applyBorder="1"/>
    <xf numFmtId="1" fontId="61" fillId="0" borderId="0" xfId="0" applyNumberFormat="1" applyFont="1" applyFill="1" applyAlignment="1" applyProtection="1">
      <alignment horizontal="left" vertical="top"/>
      <protection locked="0"/>
    </xf>
    <xf numFmtId="0" fontId="34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>
      <alignment horizontal="center"/>
    </xf>
    <xf numFmtId="0" fontId="2" fillId="0" borderId="0" xfId="0" applyFont="1"/>
    <xf numFmtId="0" fontId="0" fillId="0" borderId="0" xfId="0" quotePrefix="1" applyNumberFormat="1"/>
    <xf numFmtId="164" fontId="4" fillId="0" borderId="0" xfId="1" applyNumberFormat="1" applyFont="1" applyFill="1" applyBorder="1"/>
    <xf numFmtId="168" fontId="60" fillId="0" borderId="0" xfId="0" applyNumberFormat="1" applyFont="1" applyFill="1" applyBorder="1" applyAlignment="1">
      <alignment horizontal="center" vertical="center" wrapText="1" shrinkToFit="1"/>
    </xf>
    <xf numFmtId="0" fontId="0" fillId="0" borderId="0" xfId="0" applyFill="1" applyBorder="1" applyAlignment="1"/>
    <xf numFmtId="0" fontId="62" fillId="0" borderId="0" xfId="0" applyFont="1" applyFill="1"/>
    <xf numFmtId="0" fontId="63" fillId="0" borderId="0" xfId="0" applyFont="1" applyFill="1"/>
    <xf numFmtId="0" fontId="63" fillId="0" borderId="0" xfId="0" applyFont="1" applyFill="1" applyBorder="1"/>
    <xf numFmtId="0" fontId="64" fillId="0" borderId="0" xfId="0" applyFont="1" applyAlignment="1"/>
    <xf numFmtId="0" fontId="44" fillId="0" borderId="0" xfId="0" applyFont="1" applyFill="1"/>
    <xf numFmtId="0" fontId="44" fillId="0" borderId="0" xfId="0" applyFont="1" applyFill="1" applyBorder="1"/>
    <xf numFmtId="164" fontId="0" fillId="0" borderId="0" xfId="1" applyNumberFormat="1" applyFont="1" applyFill="1"/>
    <xf numFmtId="0" fontId="4" fillId="14" borderId="12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right"/>
    </xf>
    <xf numFmtId="2" fontId="66" fillId="0" borderId="49" xfId="0" applyNumberFormat="1" applyFont="1" applyFill="1" applyBorder="1" applyAlignment="1">
      <alignment horizontal="center"/>
    </xf>
    <xf numFmtId="2" fontId="67" fillId="0" borderId="50" xfId="0" applyNumberFormat="1" applyFont="1" applyFill="1" applyBorder="1" applyAlignment="1">
      <alignment horizontal="center"/>
    </xf>
    <xf numFmtId="0" fontId="40" fillId="0" borderId="50" xfId="0" applyFont="1" applyFill="1" applyBorder="1" applyAlignment="1">
      <alignment horizontal="center"/>
    </xf>
    <xf numFmtId="0" fontId="4" fillId="0" borderId="50" xfId="0" applyFont="1" applyFill="1" applyBorder="1"/>
    <xf numFmtId="0" fontId="40" fillId="0" borderId="51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right"/>
    </xf>
    <xf numFmtId="0" fontId="4" fillId="15" borderId="38" xfId="0" applyFont="1" applyFill="1" applyBorder="1" applyAlignment="1">
      <alignment horizontal="right"/>
    </xf>
    <xf numFmtId="2" fontId="5" fillId="0" borderId="49" xfId="0" applyNumberFormat="1" applyFont="1" applyFill="1" applyBorder="1" applyAlignment="1">
      <alignment horizontal="center"/>
    </xf>
    <xf numFmtId="0" fontId="68" fillId="0" borderId="50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51" xfId="0" applyFont="1" applyFill="1" applyBorder="1" applyAlignment="1">
      <alignment horizontal="center"/>
    </xf>
    <xf numFmtId="0" fontId="7" fillId="0" borderId="38" xfId="0" applyFont="1" applyFill="1" applyBorder="1"/>
    <xf numFmtId="0" fontId="17" fillId="0" borderId="16" xfId="0" applyFont="1" applyFill="1" applyBorder="1" applyAlignment="1">
      <alignment horizontal="center" wrapText="1" shrinkToFit="1"/>
    </xf>
    <xf numFmtId="0" fontId="2" fillId="0" borderId="14" xfId="0" applyFont="1" applyFill="1" applyBorder="1" applyAlignment="1">
      <alignment horizontal="center" wrapText="1" shrinkToFit="1"/>
    </xf>
    <xf numFmtId="0" fontId="25" fillId="16" borderId="14" xfId="0" applyFont="1" applyFill="1" applyBorder="1" applyAlignment="1">
      <alignment horizontal="center"/>
    </xf>
    <xf numFmtId="0" fontId="69" fillId="16" borderId="14" xfId="0" applyFont="1" applyFill="1" applyBorder="1" applyAlignment="1">
      <alignment horizontal="center"/>
    </xf>
    <xf numFmtId="0" fontId="25" fillId="16" borderId="15" xfId="0" applyFont="1" applyFill="1" applyBorder="1" applyAlignment="1">
      <alignment horizontal="center"/>
    </xf>
    <xf numFmtId="0" fontId="70" fillId="0" borderId="8" xfId="0" applyFont="1" applyFill="1" applyBorder="1" applyAlignment="1">
      <alignment horizontal="right"/>
    </xf>
    <xf numFmtId="2" fontId="71" fillId="0" borderId="49" xfId="0" applyNumberFormat="1" applyFont="1" applyFill="1" applyBorder="1" applyAlignment="1">
      <alignment horizontal="center"/>
    </xf>
    <xf numFmtId="0" fontId="20" fillId="0" borderId="50" xfId="0" applyFont="1" applyFill="1" applyBorder="1" applyAlignment="1">
      <alignment horizontal="center"/>
    </xf>
    <xf numFmtId="0" fontId="7" fillId="0" borderId="50" xfId="0" applyFont="1" applyFill="1" applyBorder="1" applyAlignment="1">
      <alignment horizontal="center"/>
    </xf>
    <xf numFmtId="0" fontId="70" fillId="0" borderId="50" xfId="0" applyFont="1" applyFill="1" applyBorder="1" applyAlignment="1">
      <alignment horizontal="center"/>
    </xf>
    <xf numFmtId="0" fontId="7" fillId="0" borderId="51" xfId="0" applyFont="1" applyFill="1" applyBorder="1" applyAlignment="1">
      <alignment horizontal="center"/>
    </xf>
    <xf numFmtId="0" fontId="25" fillId="14" borderId="12" xfId="0" applyFont="1" applyFill="1" applyBorder="1" applyAlignment="1">
      <alignment horizontal="center"/>
    </xf>
    <xf numFmtId="0" fontId="24" fillId="19" borderId="12" xfId="0" applyFont="1" applyFill="1" applyBorder="1" applyAlignment="1"/>
    <xf numFmtId="44" fontId="7" fillId="8" borderId="13" xfId="2" applyFont="1" applyFill="1" applyBorder="1" applyAlignment="1">
      <alignment horizontal="right" wrapText="1"/>
    </xf>
    <xf numFmtId="0" fontId="35" fillId="11" borderId="11" xfId="0" applyFont="1" applyFill="1" applyBorder="1" applyAlignment="1">
      <alignment horizontal="center" vertical="center" wrapText="1"/>
    </xf>
    <xf numFmtId="0" fontId="35" fillId="19" borderId="11" xfId="0" applyFont="1" applyFill="1" applyBorder="1" applyAlignment="1">
      <alignment horizontal="center" vertical="center" wrapText="1"/>
    </xf>
    <xf numFmtId="0" fontId="35" fillId="18" borderId="11" xfId="0" applyFont="1" applyFill="1" applyBorder="1" applyAlignment="1">
      <alignment horizontal="center" vertical="center" wrapText="1"/>
    </xf>
    <xf numFmtId="0" fontId="35" fillId="17" borderId="11" xfId="0" applyFont="1" applyFill="1" applyBorder="1" applyAlignment="1">
      <alignment horizontal="center" vertical="center" wrapText="1"/>
    </xf>
    <xf numFmtId="0" fontId="51" fillId="0" borderId="35" xfId="0" applyFont="1" applyFill="1" applyBorder="1"/>
    <xf numFmtId="0" fontId="4" fillId="14" borderId="19" xfId="0" applyFont="1" applyFill="1" applyBorder="1" applyAlignment="1">
      <alignment horizontal="center"/>
    </xf>
    <xf numFmtId="0" fontId="25" fillId="14" borderId="19" xfId="0" applyFont="1" applyFill="1" applyBorder="1" applyAlignment="1">
      <alignment horizontal="center"/>
    </xf>
    <xf numFmtId="0" fontId="24" fillId="0" borderId="12" xfId="0" applyFont="1" applyFill="1" applyBorder="1" applyAlignment="1"/>
    <xf numFmtId="0" fontId="35" fillId="20" borderId="11" xfId="0" applyFont="1" applyFill="1" applyBorder="1" applyAlignment="1">
      <alignment horizontal="center" vertical="center" wrapText="1"/>
    </xf>
    <xf numFmtId="0" fontId="23" fillId="19" borderId="11" xfId="0" applyNumberFormat="1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23" fillId="11" borderId="11" xfId="0" applyNumberFormat="1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24" fillId="8" borderId="12" xfId="0" applyFont="1" applyFill="1" applyBorder="1" applyAlignment="1"/>
    <xf numFmtId="0" fontId="23" fillId="8" borderId="11" xfId="0" applyNumberFormat="1" applyFont="1" applyFill="1" applyBorder="1" applyAlignment="1">
      <alignment horizontal="center"/>
    </xf>
    <xf numFmtId="0" fontId="45" fillId="17" borderId="11" xfId="0" applyNumberFormat="1" applyFont="1" applyFill="1" applyBorder="1" applyAlignment="1">
      <alignment horizontal="center"/>
    </xf>
    <xf numFmtId="0" fontId="75" fillId="17" borderId="12" xfId="0" applyFont="1" applyFill="1" applyBorder="1" applyAlignment="1"/>
    <xf numFmtId="0" fontId="7" fillId="21" borderId="12" xfId="0" applyFont="1" applyFill="1" applyBorder="1" applyAlignment="1"/>
    <xf numFmtId="164" fontId="4" fillId="14" borderId="0" xfId="1" applyNumberFormat="1" applyFont="1" applyFill="1"/>
    <xf numFmtId="0" fontId="11" fillId="14" borderId="12" xfId="0" applyNumberFormat="1" applyFont="1" applyFill="1" applyBorder="1" applyAlignment="1">
      <alignment horizontal="center"/>
    </xf>
    <xf numFmtId="165" fontId="13" fillId="14" borderId="0" xfId="0" quotePrefix="1" applyNumberFormat="1" applyFont="1" applyFill="1" applyBorder="1" applyAlignment="1">
      <alignment horizontal="center"/>
    </xf>
    <xf numFmtId="165" fontId="11" fillId="14" borderId="0" xfId="0" applyNumberFormat="1" applyFont="1" applyFill="1" applyBorder="1" applyAlignment="1">
      <alignment horizontal="center"/>
    </xf>
    <xf numFmtId="165" fontId="28" fillId="14" borderId="0" xfId="0" applyNumberFormat="1" applyFont="1" applyFill="1" applyBorder="1" applyAlignment="1">
      <alignment horizontal="center"/>
    </xf>
    <xf numFmtId="165" fontId="29" fillId="14" borderId="0" xfId="0" applyNumberFormat="1" applyFont="1" applyFill="1" applyBorder="1" applyAlignment="1">
      <alignment horizontal="center"/>
    </xf>
    <xf numFmtId="0" fontId="4" fillId="14" borderId="0" xfId="0" applyFont="1" applyFill="1" applyBorder="1"/>
    <xf numFmtId="0" fontId="0" fillId="14" borderId="0" xfId="0" applyFill="1" applyBorder="1" applyAlignment="1">
      <alignment horizontal="left"/>
    </xf>
    <xf numFmtId="0" fontId="0" fillId="14" borderId="0" xfId="0" applyFill="1" applyBorder="1"/>
    <xf numFmtId="0" fontId="5" fillId="0" borderId="21" xfId="0" applyFont="1" applyBorder="1" applyAlignment="1">
      <alignment horizontal="center"/>
    </xf>
    <xf numFmtId="0" fontId="0" fillId="0" borderId="22" xfId="0" applyBorder="1"/>
    <xf numFmtId="0" fontId="76" fillId="0" borderId="22" xfId="0" applyFont="1" applyBorder="1"/>
    <xf numFmtId="0" fontId="0" fillId="0" borderId="22" xfId="0" applyBorder="1" applyAlignment="1">
      <alignment horizontal="center"/>
    </xf>
    <xf numFmtId="0" fontId="2" fillId="0" borderId="22" xfId="0" applyFont="1" applyBorder="1"/>
    <xf numFmtId="0" fontId="4" fillId="0" borderId="22" xfId="0" applyFont="1" applyBorder="1" applyAlignment="1">
      <alignment horizontal="center"/>
    </xf>
    <xf numFmtId="44" fontId="4" fillId="0" borderId="7" xfId="2" applyFont="1" applyFill="1" applyBorder="1" applyAlignment="1">
      <alignment horizontal="right" wrapText="1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4" fontId="4" fillId="0" borderId="0" xfId="0" applyNumberFormat="1" applyFont="1"/>
    <xf numFmtId="44" fontId="27" fillId="3" borderId="0" xfId="0" applyNumberFormat="1" applyFont="1" applyFill="1" applyAlignment="1">
      <alignment vertical="center" wrapText="1"/>
    </xf>
    <xf numFmtId="0" fontId="11" fillId="0" borderId="0" xfId="0" applyFont="1" applyAlignment="1">
      <alignment horizontal="center"/>
    </xf>
    <xf numFmtId="165" fontId="13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29" fillId="0" borderId="0" xfId="0" applyNumberFormat="1" applyFont="1" applyAlignment="1">
      <alignment horizontal="center"/>
    </xf>
    <xf numFmtId="0" fontId="4" fillId="0" borderId="0" xfId="0" applyFont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165" fontId="13" fillId="6" borderId="12" xfId="0" applyNumberFormat="1" applyFont="1" applyFill="1" applyBorder="1" applyAlignment="1">
      <alignment horizontal="center" vertical="center" wrapText="1"/>
    </xf>
    <xf numFmtId="165" fontId="13" fillId="5" borderId="0" xfId="0" applyNumberFormat="1" applyFont="1" applyFill="1" applyAlignment="1">
      <alignment horizontal="center" vertical="center" wrapText="1"/>
    </xf>
    <xf numFmtId="165" fontId="11" fillId="6" borderId="0" xfId="0" applyNumberFormat="1" applyFont="1" applyFill="1" applyAlignment="1">
      <alignment horizontal="center"/>
    </xf>
    <xf numFmtId="165" fontId="77" fillId="5" borderId="0" xfId="0" applyNumberFormat="1" applyFont="1" applyFill="1" applyAlignment="1">
      <alignment horizontal="center"/>
    </xf>
    <xf numFmtId="165" fontId="11" fillId="5" borderId="0" xfId="0" applyNumberFormat="1" applyFont="1" applyFill="1" applyAlignment="1">
      <alignment horizontal="center"/>
    </xf>
    <xf numFmtId="165" fontId="56" fillId="6" borderId="0" xfId="0" applyNumberFormat="1" applyFont="1" applyFill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70" fillId="0" borderId="0" xfId="0" applyFont="1" applyFill="1" applyBorder="1" applyAlignment="1">
      <alignment horizontal="right"/>
    </xf>
    <xf numFmtId="2" fontId="71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70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165" fontId="13" fillId="6" borderId="0" xfId="0" applyNumberFormat="1" applyFont="1" applyFill="1" applyBorder="1" applyAlignment="1">
      <alignment horizontal="center" vertical="center" wrapText="1"/>
    </xf>
    <xf numFmtId="0" fontId="35" fillId="21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 wrapText="1"/>
    </xf>
    <xf numFmtId="165" fontId="37" fillId="0" borderId="0" xfId="0" applyNumberFormat="1" applyFont="1" applyFill="1" applyBorder="1" applyAlignment="1">
      <alignment horizontal="center"/>
    </xf>
    <xf numFmtId="0" fontId="46" fillId="0" borderId="11" xfId="0" applyNumberFormat="1" applyFont="1" applyFill="1" applyBorder="1" applyAlignment="1">
      <alignment horizontal="center"/>
    </xf>
    <xf numFmtId="44" fontId="4" fillId="8" borderId="13" xfId="2" applyFont="1" applyFill="1" applyBorder="1" applyAlignment="1">
      <alignment horizontal="right" wrapText="1"/>
    </xf>
    <xf numFmtId="0" fontId="3" fillId="14" borderId="1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4" fillId="6" borderId="12" xfId="0" applyFont="1" applyFill="1" applyBorder="1" applyAlignment="1"/>
    <xf numFmtId="0" fontId="46" fillId="21" borderId="11" xfId="0" applyFont="1" applyFill="1" applyBorder="1" applyAlignment="1">
      <alignment horizontal="center"/>
    </xf>
    <xf numFmtId="165" fontId="27" fillId="3" borderId="0" xfId="0" applyNumberFormat="1" applyFont="1" applyFill="1" applyBorder="1" applyAlignment="1">
      <alignment vertical="center" wrapText="1"/>
    </xf>
    <xf numFmtId="0" fontId="4" fillId="19" borderId="12" xfId="0" applyFont="1" applyFill="1" applyBorder="1" applyAlignment="1">
      <alignment horizontal="center"/>
    </xf>
    <xf numFmtId="0" fontId="25" fillId="19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25" fillId="6" borderId="12" xfId="0" applyFont="1" applyFill="1" applyBorder="1" applyAlignment="1">
      <alignment horizontal="center"/>
    </xf>
    <xf numFmtId="165" fontId="11" fillId="6" borderId="0" xfId="0" applyNumberFormat="1" applyFont="1" applyFill="1" applyBorder="1" applyAlignment="1">
      <alignment horizontal="right"/>
    </xf>
    <xf numFmtId="0" fontId="45" fillId="23" borderId="11" xfId="0" applyNumberFormat="1" applyFont="1" applyFill="1" applyBorder="1" applyAlignment="1">
      <alignment horizontal="center"/>
    </xf>
    <xf numFmtId="0" fontId="75" fillId="23" borderId="12" xfId="0" applyFont="1" applyFill="1" applyBorder="1" applyAlignment="1"/>
    <xf numFmtId="0" fontId="45" fillId="10" borderId="52" xfId="0" applyFont="1" applyFill="1" applyBorder="1" applyAlignment="1">
      <alignment horizontal="center"/>
    </xf>
    <xf numFmtId="0" fontId="78" fillId="14" borderId="12" xfId="0" applyFont="1" applyFill="1" applyBorder="1" applyAlignment="1" applyProtection="1">
      <alignment horizontal="center" vertical="top"/>
      <protection locked="0"/>
    </xf>
    <xf numFmtId="0" fontId="5" fillId="14" borderId="12" xfId="0" applyFont="1" applyFill="1" applyBorder="1" applyAlignment="1" applyProtection="1">
      <alignment horizontal="left" vertical="top"/>
      <protection locked="0"/>
    </xf>
    <xf numFmtId="0" fontId="4" fillId="22" borderId="12" xfId="0" applyFont="1" applyFill="1" applyBorder="1" applyAlignment="1">
      <alignment horizontal="center"/>
    </xf>
    <xf numFmtId="0" fontId="25" fillId="22" borderId="12" xfId="0" applyFont="1" applyFill="1" applyBorder="1" applyAlignment="1">
      <alignment horizontal="center"/>
    </xf>
    <xf numFmtId="0" fontId="24" fillId="13" borderId="12" xfId="0" applyFont="1" applyFill="1" applyBorder="1" applyAlignment="1"/>
    <xf numFmtId="0" fontId="23" fillId="13" borderId="11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4" fillId="24" borderId="12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25" fillId="9" borderId="12" xfId="0" applyFont="1" applyFill="1" applyBorder="1" applyAlignment="1">
      <alignment horizontal="center"/>
    </xf>
    <xf numFmtId="0" fontId="4" fillId="25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44" fontId="4" fillId="19" borderId="13" xfId="2" applyFont="1" applyFill="1" applyBorder="1" applyAlignment="1">
      <alignment horizontal="right" wrapText="1"/>
    </xf>
    <xf numFmtId="0" fontId="4" fillId="5" borderId="12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44" fontId="4" fillId="5" borderId="13" xfId="2" applyFont="1" applyFill="1" applyBorder="1" applyAlignment="1">
      <alignment horizontal="right" wrapText="1"/>
    </xf>
    <xf numFmtId="0" fontId="24" fillId="5" borderId="12" xfId="0" applyFont="1" applyFill="1" applyBorder="1" applyAlignment="1"/>
    <xf numFmtId="0" fontId="23" fillId="5" borderId="11" xfId="0" applyNumberFormat="1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3" fillId="0" borderId="11" xfId="0" applyNumberFormat="1" applyFont="1" applyFill="1" applyBorder="1" applyAlignment="1">
      <alignment horizontal="center"/>
    </xf>
    <xf numFmtId="0" fontId="23" fillId="26" borderId="11" xfId="0" applyNumberFormat="1" applyFont="1" applyFill="1" applyBorder="1" applyAlignment="1">
      <alignment horizontal="center"/>
    </xf>
    <xf numFmtId="0" fontId="24" fillId="26" borderId="12" xfId="0" applyFont="1" applyFill="1" applyBorder="1" applyAlignment="1"/>
    <xf numFmtId="0" fontId="79" fillId="26" borderId="12" xfId="0" applyFont="1" applyFill="1" applyBorder="1" applyAlignment="1"/>
    <xf numFmtId="0" fontId="6" fillId="14" borderId="12" xfId="0" applyFont="1" applyFill="1" applyBorder="1" applyAlignment="1">
      <alignment horizontal="center"/>
    </xf>
    <xf numFmtId="0" fontId="24" fillId="26" borderId="19" xfId="0" applyFont="1" applyFill="1" applyBorder="1" applyAlignment="1"/>
    <xf numFmtId="0" fontId="23" fillId="26" borderId="18" xfId="0" applyNumberFormat="1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24" fillId="27" borderId="12" xfId="0" applyFont="1" applyFill="1" applyBorder="1" applyAlignment="1"/>
    <xf numFmtId="0" fontId="24" fillId="27" borderId="11" xfId="0" applyFont="1" applyFill="1" applyBorder="1" applyAlignment="1">
      <alignment horizontal="center"/>
    </xf>
    <xf numFmtId="0" fontId="7" fillId="28" borderId="12" xfId="0" applyFont="1" applyFill="1" applyBorder="1" applyAlignment="1"/>
    <xf numFmtId="0" fontId="46" fillId="28" borderId="11" xfId="0" applyNumberFormat="1" applyFont="1" applyFill="1" applyBorder="1" applyAlignment="1">
      <alignment horizontal="center"/>
    </xf>
    <xf numFmtId="0" fontId="35" fillId="28" borderId="11" xfId="0" applyFont="1" applyFill="1" applyBorder="1" applyAlignment="1">
      <alignment horizontal="center" vertical="center" wrapText="1"/>
    </xf>
    <xf numFmtId="0" fontId="7" fillId="29" borderId="12" xfId="0" applyFont="1" applyFill="1" applyBorder="1" applyAlignment="1"/>
    <xf numFmtId="0" fontId="23" fillId="29" borderId="11" xfId="0" applyNumberFormat="1" applyFont="1" applyFill="1" applyBorder="1" applyAlignment="1">
      <alignment horizontal="center"/>
    </xf>
    <xf numFmtId="0" fontId="35" fillId="29" borderId="11" xfId="0" applyFont="1" applyFill="1" applyBorder="1" applyAlignment="1">
      <alignment horizontal="center" vertical="center" wrapText="1"/>
    </xf>
    <xf numFmtId="0" fontId="6" fillId="25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4" borderId="12" xfId="0" applyFill="1" applyBorder="1"/>
    <xf numFmtId="0" fontId="0" fillId="14" borderId="0" xfId="0" applyFont="1" applyFill="1" applyBorder="1"/>
    <xf numFmtId="0" fontId="38" fillId="14" borderId="12" xfId="0" applyFont="1" applyFill="1" applyBorder="1" applyAlignment="1"/>
    <xf numFmtId="0" fontId="0" fillId="0" borderId="12" xfId="0" applyBorder="1"/>
    <xf numFmtId="0" fontId="38" fillId="14" borderId="12" xfId="0" applyFont="1" applyFill="1" applyBorder="1" applyAlignment="1">
      <alignment horizontal="left" vertical="center"/>
    </xf>
    <xf numFmtId="0" fontId="38" fillId="14" borderId="12" xfId="0" applyFont="1" applyFill="1" applyBorder="1" applyAlignment="1">
      <alignment horizontal="left"/>
    </xf>
    <xf numFmtId="0" fontId="38" fillId="14" borderId="0" xfId="0" applyFont="1" applyFill="1" applyBorder="1" applyAlignment="1"/>
    <xf numFmtId="0" fontId="78" fillId="14" borderId="0" xfId="0" applyFont="1" applyFill="1" applyBorder="1" applyAlignment="1" applyProtection="1">
      <alignment horizontal="center" vertical="top"/>
      <protection locked="0"/>
    </xf>
    <xf numFmtId="0" fontId="46" fillId="14" borderId="12" xfId="0" applyFont="1" applyFill="1" applyBorder="1" applyAlignment="1" applyProtection="1">
      <alignment horizontal="center" vertical="center"/>
      <protection hidden="1"/>
    </xf>
    <xf numFmtId="0" fontId="46" fillId="14" borderId="12" xfId="0" applyFont="1" applyFill="1" applyBorder="1" applyAlignment="1" applyProtection="1">
      <alignment horizontal="center" vertical="center"/>
      <protection locked="0" hidden="1"/>
    </xf>
    <xf numFmtId="0" fontId="38" fillId="19" borderId="12" xfId="0" applyFont="1" applyFill="1" applyBorder="1" applyAlignment="1">
      <alignment horizontal="left"/>
    </xf>
    <xf numFmtId="0" fontId="82" fillId="14" borderId="0" xfId="0" applyNumberFormat="1" applyFont="1" applyFill="1" applyBorder="1" applyAlignment="1">
      <alignment horizontal="center"/>
    </xf>
    <xf numFmtId="0" fontId="38" fillId="14" borderId="0" xfId="0" applyFont="1" applyFill="1" applyBorder="1" applyAlignment="1">
      <alignment vertical="center"/>
    </xf>
    <xf numFmtId="0" fontId="78" fillId="14" borderId="0" xfId="0" applyFont="1" applyFill="1" applyBorder="1" applyAlignment="1" applyProtection="1">
      <protection locked="0"/>
    </xf>
    <xf numFmtId="0" fontId="46" fillId="14" borderId="12" xfId="0" applyFont="1" applyFill="1" applyBorder="1" applyAlignment="1" applyProtection="1">
      <alignment horizontal="left" vertical="center"/>
      <protection hidden="1"/>
    </xf>
    <xf numFmtId="0" fontId="38" fillId="14" borderId="0" xfId="0" applyFont="1" applyFill="1" applyBorder="1" applyAlignment="1">
      <alignment horizontal="left" vertical="center"/>
    </xf>
    <xf numFmtId="0" fontId="82" fillId="14" borderId="0" xfId="0" applyFont="1" applyFill="1" applyBorder="1" applyAlignment="1" applyProtection="1">
      <alignment horizontal="left" vertical="center"/>
      <protection locked="0"/>
    </xf>
    <xf numFmtId="0" fontId="78" fillId="14" borderId="0" xfId="0" applyFont="1" applyFill="1" applyBorder="1" applyAlignment="1" applyProtection="1">
      <alignment horizontal="left" vertical="center"/>
      <protection locked="0"/>
    </xf>
    <xf numFmtId="0" fontId="5" fillId="14" borderId="0" xfId="0" applyFont="1" applyFill="1" applyBorder="1" applyAlignment="1" applyProtection="1">
      <alignment horizontal="center" vertical="center"/>
      <protection locked="0"/>
    </xf>
    <xf numFmtId="0" fontId="82" fillId="14" borderId="0" xfId="0" applyFont="1" applyFill="1" applyBorder="1" applyAlignment="1" applyProtection="1">
      <alignment horizontal="center" vertical="center"/>
      <protection locked="0"/>
    </xf>
    <xf numFmtId="0" fontId="0" fillId="14" borderId="0" xfId="0" applyFill="1" applyBorder="1" applyAlignment="1"/>
    <xf numFmtId="0" fontId="82" fillId="14" borderId="0" xfId="0" applyFont="1" applyFill="1" applyBorder="1" applyAlignment="1" applyProtection="1">
      <alignment horizontal="center" vertical="top"/>
      <protection locked="0"/>
    </xf>
    <xf numFmtId="0" fontId="46" fillId="14" borderId="12" xfId="0" applyFont="1" applyFill="1" applyBorder="1" applyAlignment="1" applyProtection="1">
      <alignment horizontal="center"/>
      <protection locked="0" hidden="1"/>
    </xf>
    <xf numFmtId="0" fontId="82" fillId="14" borderId="12" xfId="0" applyFont="1" applyFill="1" applyBorder="1" applyAlignment="1">
      <alignment horizontal="left"/>
    </xf>
    <xf numFmtId="0" fontId="0" fillId="14" borderId="0" xfId="0" applyFont="1" applyFill="1" applyBorder="1"/>
    <xf numFmtId="0" fontId="0" fillId="14" borderId="0" xfId="0" applyFill="1"/>
    <xf numFmtId="0" fontId="38" fillId="0" borderId="12" xfId="0" applyFont="1" applyFill="1" applyBorder="1" applyAlignment="1"/>
    <xf numFmtId="0" fontId="78" fillId="0" borderId="12" xfId="0" applyFont="1" applyFill="1" applyBorder="1" applyAlignment="1" applyProtection="1">
      <alignment horizontal="center" vertical="top"/>
      <protection locked="0"/>
    </xf>
    <xf numFmtId="0" fontId="41" fillId="14" borderId="12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Border="1"/>
    <xf numFmtId="1" fontId="81" fillId="0" borderId="0" xfId="0" applyNumberFormat="1" applyFont="1" applyFill="1" applyBorder="1" applyAlignment="1" applyProtection="1">
      <alignment horizontal="center" vertical="top"/>
      <protection locked="0"/>
    </xf>
    <xf numFmtId="0" fontId="83" fillId="0" borderId="0" xfId="0" applyFont="1" applyFill="1" applyBorder="1" applyAlignment="1"/>
    <xf numFmtId="0" fontId="46" fillId="0" borderId="0" xfId="0" applyFont="1" applyFill="1" applyBorder="1" applyAlignment="1" applyProtection="1">
      <alignment horizontal="left" vertical="top"/>
      <protection locked="0"/>
    </xf>
    <xf numFmtId="0" fontId="78" fillId="0" borderId="0" xfId="0" applyFont="1" applyFill="1" applyBorder="1" applyAlignment="1" applyProtection="1">
      <alignment horizontal="center" vertical="top"/>
      <protection locked="0"/>
    </xf>
    <xf numFmtId="6" fontId="3" fillId="0" borderId="0" xfId="0" applyNumberFormat="1" applyFont="1" applyFill="1" applyBorder="1"/>
    <xf numFmtId="0" fontId="3" fillId="0" borderId="0" xfId="0" applyFont="1" applyFill="1"/>
    <xf numFmtId="1" fontId="82" fillId="0" borderId="0" xfId="0" applyNumberFormat="1" applyFont="1" applyFill="1" applyBorder="1" applyAlignment="1" applyProtection="1">
      <alignment horizontal="center" vertical="top"/>
      <protection locked="0"/>
    </xf>
    <xf numFmtId="0" fontId="38" fillId="0" borderId="0" xfId="0" applyFont="1" applyFill="1" applyBorder="1" applyAlignment="1"/>
    <xf numFmtId="0" fontId="38" fillId="0" borderId="0" xfId="0" applyFont="1" applyFill="1" applyBorder="1" applyAlignment="1">
      <alignment horizontal="left"/>
    </xf>
    <xf numFmtId="0" fontId="3" fillId="0" borderId="0" xfId="0" applyFont="1"/>
    <xf numFmtId="0" fontId="5" fillId="19" borderId="12" xfId="0" applyFont="1" applyFill="1" applyBorder="1" applyAlignment="1" applyProtection="1">
      <alignment horizontal="left" vertical="top"/>
      <protection locked="0"/>
    </xf>
    <xf numFmtId="0" fontId="38" fillId="9" borderId="12" xfId="0" applyFont="1" applyFill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85" fillId="0" borderId="0" xfId="0" applyFont="1" applyBorder="1"/>
    <xf numFmtId="0" fontId="7" fillId="0" borderId="51" xfId="0" applyFont="1" applyFill="1" applyBorder="1" applyAlignment="1">
      <alignment horizontal="right"/>
    </xf>
    <xf numFmtId="0" fontId="67" fillId="0" borderId="50" xfId="0" applyFont="1" applyFill="1" applyBorder="1" applyAlignment="1">
      <alignment horizontal="center"/>
    </xf>
    <xf numFmtId="0" fontId="87" fillId="0" borderId="50" xfId="0" applyFont="1" applyFill="1" applyBorder="1" applyAlignment="1">
      <alignment horizontal="center"/>
    </xf>
    <xf numFmtId="0" fontId="86" fillId="0" borderId="50" xfId="0" applyFont="1" applyFill="1" applyBorder="1" applyAlignment="1">
      <alignment horizontal="center"/>
    </xf>
    <xf numFmtId="2" fontId="86" fillId="0" borderId="49" xfId="0" applyNumberFormat="1" applyFont="1" applyFill="1" applyBorder="1" applyAlignment="1">
      <alignment horizontal="center"/>
    </xf>
    <xf numFmtId="0" fontId="86" fillId="0" borderId="51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2" xfId="0" applyBorder="1"/>
    <xf numFmtId="44" fontId="0" fillId="0" borderId="0" xfId="0" applyNumberFormat="1" applyAlignment="1">
      <alignment horizontal="center"/>
    </xf>
    <xf numFmtId="0" fontId="0" fillId="0" borderId="10" xfId="0" applyFill="1" applyBorder="1"/>
    <xf numFmtId="0" fontId="48" fillId="0" borderId="0" xfId="0" applyFont="1" applyFill="1" applyBorder="1" applyAlignment="1">
      <alignment horizontal="center"/>
    </xf>
    <xf numFmtId="0" fontId="0" fillId="0" borderId="9" xfId="0" applyFill="1" applyBorder="1"/>
    <xf numFmtId="0" fontId="0" fillId="0" borderId="0" xfId="0" applyNumberFormat="1" applyAlignment="1">
      <alignment horizontal="center"/>
    </xf>
    <xf numFmtId="2" fontId="7" fillId="0" borderId="25" xfId="6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5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4" fontId="51" fillId="0" borderId="0" xfId="2" applyFont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48" fillId="0" borderId="0" xfId="0" applyFont="1" applyBorder="1" applyAlignment="1">
      <alignment horizontal="center"/>
    </xf>
    <xf numFmtId="44" fontId="49" fillId="0" borderId="0" xfId="0" applyNumberFormat="1" applyFont="1" applyFill="1" applyBorder="1" applyAlignment="1">
      <alignment horizontal="center" vertical="center" wrapText="1"/>
    </xf>
    <xf numFmtId="44" fontId="89" fillId="0" borderId="9" xfId="0" applyNumberFormat="1" applyFont="1" applyFill="1" applyBorder="1"/>
    <xf numFmtId="44" fontId="51" fillId="0" borderId="0" xfId="2" applyFont="1" applyFill="1" applyBorder="1" applyAlignment="1">
      <alignment horizontal="center"/>
    </xf>
    <xf numFmtId="44" fontId="90" fillId="0" borderId="0" xfId="2" applyFont="1" applyBorder="1" applyAlignment="1">
      <alignment horizontal="center"/>
    </xf>
    <xf numFmtId="0" fontId="0" fillId="0" borderId="16" xfId="0" applyBorder="1"/>
    <xf numFmtId="0" fontId="0" fillId="0" borderId="14" xfId="0" applyBorder="1" applyAlignment="1">
      <alignment horizontal="center"/>
    </xf>
    <xf numFmtId="0" fontId="48" fillId="0" borderId="14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Border="1"/>
    <xf numFmtId="2" fontId="7" fillId="0" borderId="0" xfId="6" applyNumberFormat="1" applyFont="1" applyFill="1" applyBorder="1" applyAlignment="1">
      <alignment horizontal="center"/>
    </xf>
    <xf numFmtId="44" fontId="0" fillId="0" borderId="0" xfId="0" applyNumberFormat="1"/>
    <xf numFmtId="0" fontId="48" fillId="9" borderId="0" xfId="0" applyFont="1" applyFill="1" applyBorder="1" applyAlignment="1">
      <alignment horizontal="center"/>
    </xf>
    <xf numFmtId="0" fontId="5" fillId="33" borderId="12" xfId="0" applyFont="1" applyFill="1" applyBorder="1" applyAlignment="1" applyProtection="1">
      <alignment horizontal="left" vertical="top"/>
      <protection locked="0"/>
    </xf>
    <xf numFmtId="0" fontId="78" fillId="14" borderId="13" xfId="0" applyFont="1" applyFill="1" applyBorder="1" applyAlignment="1" applyProtection="1">
      <alignment horizontal="center" vertical="top"/>
      <protection locked="0"/>
    </xf>
    <xf numFmtId="0" fontId="0" fillId="0" borderId="19" xfId="0" applyBorder="1"/>
    <xf numFmtId="0" fontId="0" fillId="0" borderId="0" xfId="0" applyNumberFormat="1" applyFill="1" applyBorder="1" applyAlignment="1">
      <alignment horizontal="center"/>
    </xf>
    <xf numFmtId="169" fontId="3" fillId="0" borderId="0" xfId="0" applyNumberFormat="1" applyFont="1" applyFill="1" applyBorder="1"/>
    <xf numFmtId="0" fontId="3" fillId="9" borderId="11" xfId="0" applyFont="1" applyFill="1" applyBorder="1"/>
    <xf numFmtId="0" fontId="3" fillId="0" borderId="11" xfId="0" applyFont="1" applyBorder="1"/>
    <xf numFmtId="0" fontId="82" fillId="0" borderId="12" xfId="0" applyFont="1" applyFill="1" applyBorder="1" applyAlignment="1">
      <alignment horizontal="left"/>
    </xf>
    <xf numFmtId="0" fontId="0" fillId="0" borderId="12" xfId="0" applyFill="1" applyBorder="1" applyAlignment="1"/>
    <xf numFmtId="0" fontId="3" fillId="0" borderId="0" xfId="0" applyFont="1" applyAlignment="1">
      <alignment horizontal="center"/>
    </xf>
    <xf numFmtId="0" fontId="78" fillId="14" borderId="12" xfId="0" applyFont="1" applyFill="1" applyBorder="1" applyAlignment="1" applyProtection="1">
      <alignment horizontal="center" vertical="center"/>
      <protection locked="0"/>
    </xf>
    <xf numFmtId="0" fontId="78" fillId="14" borderId="12" xfId="0" applyFont="1" applyFill="1" applyBorder="1" applyAlignment="1" applyProtection="1">
      <alignment horizontal="center"/>
      <protection locked="0"/>
    </xf>
    <xf numFmtId="0" fontId="3" fillId="19" borderId="11" xfId="0" applyFont="1" applyFill="1" applyBorder="1"/>
    <xf numFmtId="0" fontId="38" fillId="14" borderId="19" xfId="0" applyFont="1" applyFill="1" applyBorder="1" applyAlignment="1"/>
    <xf numFmtId="0" fontId="78" fillId="14" borderId="19" xfId="0" applyFont="1" applyFill="1" applyBorder="1" applyAlignment="1" applyProtection="1">
      <alignment horizontal="center" vertical="top"/>
      <protection locked="0"/>
    </xf>
    <xf numFmtId="0" fontId="78" fillId="14" borderId="20" xfId="0" applyFont="1" applyFill="1" applyBorder="1" applyAlignment="1" applyProtection="1">
      <alignment horizontal="center" vertical="top"/>
      <protection locked="0"/>
    </xf>
    <xf numFmtId="0" fontId="3" fillId="0" borderId="18" xfId="0" applyFont="1" applyBorder="1"/>
    <xf numFmtId="0" fontId="3" fillId="19" borderId="11" xfId="0" applyNumberFormat="1" applyFont="1" applyFill="1" applyBorder="1"/>
    <xf numFmtId="0" fontId="3" fillId="0" borderId="11" xfId="0" applyNumberFormat="1" applyFont="1" applyBorder="1"/>
    <xf numFmtId="0" fontId="3" fillId="9" borderId="11" xfId="0" applyNumberFormat="1" applyFont="1" applyFill="1" applyBorder="1"/>
    <xf numFmtId="0" fontId="35" fillId="0" borderId="23" xfId="0" applyFont="1" applyFill="1" applyBorder="1" applyAlignment="1">
      <alignment horizontal="center" vertical="center" wrapText="1"/>
    </xf>
    <xf numFmtId="0" fontId="82" fillId="14" borderId="18" xfId="0" applyFont="1" applyFill="1" applyBorder="1" applyAlignment="1" applyProtection="1">
      <alignment horizontal="left"/>
      <protection hidden="1"/>
    </xf>
    <xf numFmtId="0" fontId="82" fillId="14" borderId="19" xfId="0" applyFont="1" applyFill="1" applyBorder="1" applyAlignment="1" applyProtection="1">
      <alignment horizontal="left"/>
      <protection hidden="1"/>
    </xf>
    <xf numFmtId="0" fontId="82" fillId="24" borderId="19" xfId="0" applyFont="1" applyFill="1" applyBorder="1" applyAlignment="1" applyProtection="1">
      <alignment horizontal="center" vertical="center"/>
      <protection hidden="1"/>
    </xf>
    <xf numFmtId="44" fontId="0" fillId="0" borderId="0" xfId="0" applyNumberFormat="1" applyFont="1" applyFill="1" applyBorder="1"/>
    <xf numFmtId="0" fontId="0" fillId="14" borderId="0" xfId="0" applyFont="1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46" fillId="30" borderId="11" xfId="0" applyFont="1" applyFill="1" applyBorder="1" applyAlignment="1" applyProtection="1">
      <alignment horizontal="center" vertical="center"/>
      <protection hidden="1"/>
    </xf>
    <xf numFmtId="0" fontId="46" fillId="30" borderId="12" xfId="0" applyFont="1" applyFill="1" applyBorder="1" applyAlignment="1" applyProtection="1">
      <alignment horizontal="center" vertical="center"/>
      <protection hidden="1"/>
    </xf>
    <xf numFmtId="0" fontId="46" fillId="30" borderId="12" xfId="0" applyFont="1" applyFill="1" applyBorder="1" applyAlignment="1" applyProtection="1">
      <alignment horizontal="center" vertical="center"/>
      <protection locked="0" hidden="1"/>
    </xf>
    <xf numFmtId="0" fontId="46" fillId="30" borderId="13" xfId="0" applyFont="1" applyFill="1" applyBorder="1" applyAlignment="1" applyProtection="1">
      <alignment horizontal="center" vertical="center"/>
      <protection locked="0" hidden="1"/>
    </xf>
    <xf numFmtId="0" fontId="46" fillId="37" borderId="12" xfId="0" applyFont="1" applyFill="1" applyBorder="1" applyAlignment="1" applyProtection="1">
      <alignment horizontal="center" vertical="center"/>
      <protection locked="0" hidden="1"/>
    </xf>
    <xf numFmtId="0" fontId="0" fillId="24" borderId="0" xfId="0" applyFill="1"/>
    <xf numFmtId="0" fontId="46" fillId="30" borderId="33" xfId="0" applyFont="1" applyFill="1" applyBorder="1" applyAlignment="1" applyProtection="1">
      <alignment horizontal="center" vertical="center"/>
      <protection locked="0" hidden="1"/>
    </xf>
    <xf numFmtId="0" fontId="78" fillId="14" borderId="40" xfId="0" applyFont="1" applyFill="1" applyBorder="1" applyAlignment="1" applyProtection="1">
      <alignment horizontal="center" vertical="top"/>
      <protection locked="0"/>
    </xf>
    <xf numFmtId="1" fontId="81" fillId="38" borderId="11" xfId="0" applyNumberFormat="1" applyFont="1" applyFill="1" applyBorder="1" applyAlignment="1" applyProtection="1">
      <alignment horizontal="center" vertical="top"/>
      <protection locked="0"/>
    </xf>
    <xf numFmtId="0" fontId="81" fillId="38" borderId="11" xfId="0" applyNumberFormat="1" applyFont="1" applyFill="1" applyBorder="1" applyAlignment="1">
      <alignment horizontal="center"/>
    </xf>
    <xf numFmtId="0" fontId="81" fillId="38" borderId="18" xfId="0" applyNumberFormat="1" applyFont="1" applyFill="1" applyBorder="1" applyAlignment="1">
      <alignment horizontal="center"/>
    </xf>
    <xf numFmtId="0" fontId="81" fillId="38" borderId="11" xfId="0" applyNumberFormat="1" applyFont="1" applyFill="1" applyBorder="1" applyAlignment="1">
      <alignment horizontal="center" vertical="center"/>
    </xf>
    <xf numFmtId="1" fontId="81" fillId="38" borderId="18" xfId="0" applyNumberFormat="1" applyFont="1" applyFill="1" applyBorder="1" applyAlignment="1" applyProtection="1">
      <alignment horizontal="center" vertical="top"/>
      <protection locked="0"/>
    </xf>
    <xf numFmtId="0" fontId="81" fillId="38" borderId="11" xfId="0" applyFont="1" applyFill="1" applyBorder="1" applyAlignment="1" applyProtection="1">
      <alignment horizontal="center"/>
      <protection hidden="1"/>
    </xf>
    <xf numFmtId="44" fontId="0" fillId="0" borderId="0" xfId="0" applyNumberFormat="1" applyFill="1" applyBorder="1" applyAlignment="1">
      <alignment horizontal="center"/>
    </xf>
    <xf numFmtId="44" fontId="51" fillId="0" borderId="0" xfId="2" applyNumberFormat="1" applyFont="1" applyBorder="1" applyAlignment="1">
      <alignment horizontal="center"/>
    </xf>
    <xf numFmtId="44" fontId="3" fillId="0" borderId="13" xfId="0" applyNumberFormat="1" applyFont="1" applyFill="1" applyBorder="1"/>
    <xf numFmtId="0" fontId="92" fillId="0" borderId="21" xfId="0" applyFont="1" applyFill="1" applyBorder="1" applyAlignment="1">
      <alignment horizontal="center" vertical="center" wrapText="1"/>
    </xf>
    <xf numFmtId="0" fontId="92" fillId="0" borderId="22" xfId="0" applyFont="1" applyFill="1" applyBorder="1" applyAlignment="1">
      <alignment horizontal="center" vertical="center" wrapText="1"/>
    </xf>
    <xf numFmtId="0" fontId="92" fillId="0" borderId="12" xfId="0" applyFont="1" applyFill="1" applyBorder="1" applyAlignment="1">
      <alignment horizontal="center" vertical="center" wrapText="1"/>
    </xf>
    <xf numFmtId="0" fontId="92" fillId="0" borderId="12" xfId="0" applyFont="1" applyFill="1" applyBorder="1" applyAlignment="1">
      <alignment vertical="center" wrapText="1"/>
    </xf>
    <xf numFmtId="0" fontId="57" fillId="0" borderId="0" xfId="0" applyFont="1" applyFill="1" applyBorder="1"/>
    <xf numFmtId="0" fontId="48" fillId="21" borderId="0" xfId="0" applyFont="1" applyFill="1" applyBorder="1" applyAlignment="1">
      <alignment horizontal="center"/>
    </xf>
    <xf numFmtId="0" fontId="94" fillId="20" borderId="11" xfId="0" applyFont="1" applyFill="1" applyBorder="1" applyAlignment="1">
      <alignment horizontal="center" vertical="center" wrapText="1"/>
    </xf>
    <xf numFmtId="0" fontId="48" fillId="18" borderId="0" xfId="0" applyFont="1" applyFill="1" applyBorder="1" applyAlignment="1">
      <alignment horizontal="center"/>
    </xf>
    <xf numFmtId="0" fontId="48" fillId="6" borderId="0" xfId="0" applyFont="1" applyFill="1" applyBorder="1" applyAlignment="1">
      <alignment horizontal="center" wrapText="1"/>
    </xf>
    <xf numFmtId="0" fontId="48" fillId="19" borderId="0" xfId="0" applyFont="1" applyFill="1" applyBorder="1" applyAlignment="1">
      <alignment horizontal="center"/>
    </xf>
    <xf numFmtId="0" fontId="48" fillId="39" borderId="0" xfId="0" applyFont="1" applyFill="1" applyBorder="1" applyAlignment="1">
      <alignment horizontal="center"/>
    </xf>
    <xf numFmtId="0" fontId="48" fillId="11" borderId="0" xfId="0" applyFont="1" applyFill="1" applyBorder="1" applyAlignment="1">
      <alignment horizontal="center"/>
    </xf>
    <xf numFmtId="0" fontId="48" fillId="4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82" fillId="14" borderId="0" xfId="0" applyNumberFormat="1" applyFont="1" applyFill="1" applyBorder="1" applyAlignment="1">
      <alignment horizontal="center" vertical="center"/>
    </xf>
    <xf numFmtId="44" fontId="3" fillId="14" borderId="13" xfId="0" applyNumberFormat="1" applyFont="1" applyFill="1" applyBorder="1"/>
    <xf numFmtId="44" fontId="3" fillId="0" borderId="0" xfId="0" applyNumberFormat="1" applyFont="1" applyFill="1" applyBorder="1"/>
    <xf numFmtId="0" fontId="0" fillId="0" borderId="0" xfId="0" applyFont="1" applyFill="1"/>
    <xf numFmtId="0" fontId="0" fillId="14" borderId="12" xfId="0" applyFont="1" applyFill="1" applyBorder="1"/>
    <xf numFmtId="0" fontId="0" fillId="14" borderId="12" xfId="0" applyFill="1" applyBorder="1" applyAlignment="1"/>
    <xf numFmtId="0" fontId="46" fillId="34" borderId="12" xfId="0" applyFont="1" applyFill="1" applyBorder="1" applyAlignment="1" applyProtection="1">
      <alignment horizontal="center" vertical="center"/>
      <protection locked="0" hidden="1"/>
    </xf>
    <xf numFmtId="0" fontId="46" fillId="34" borderId="12" xfId="0" applyFont="1" applyFill="1" applyBorder="1" applyAlignment="1" applyProtection="1">
      <alignment horizontal="left" vertical="center"/>
      <protection locked="0" hidden="1"/>
    </xf>
    <xf numFmtId="0" fontId="80" fillId="18" borderId="0" xfId="0" applyFont="1" applyFill="1" applyBorder="1" applyAlignment="1">
      <alignment wrapText="1"/>
    </xf>
    <xf numFmtId="0" fontId="46" fillId="37" borderId="12" xfId="0" applyFont="1" applyFill="1" applyBorder="1" applyAlignment="1" applyProtection="1">
      <alignment horizontal="center" vertical="center"/>
      <protection hidden="1"/>
    </xf>
    <xf numFmtId="0" fontId="46" fillId="37" borderId="12" xfId="0" applyFont="1" applyFill="1" applyBorder="1" applyAlignment="1" applyProtection="1">
      <alignment horizontal="left" vertical="center"/>
      <protection hidden="1"/>
    </xf>
    <xf numFmtId="0" fontId="46" fillId="37" borderId="12" xfId="0" applyFont="1" applyFill="1" applyBorder="1" applyAlignment="1" applyProtection="1">
      <alignment horizontal="left" vertical="center"/>
      <protection locked="0" hidden="1"/>
    </xf>
    <xf numFmtId="0" fontId="96" fillId="0" borderId="12" xfId="0" applyFont="1" applyBorder="1"/>
    <xf numFmtId="0" fontId="46" fillId="34" borderId="33" xfId="0" applyFont="1" applyFill="1" applyBorder="1" applyAlignment="1" applyProtection="1">
      <alignment horizontal="left" vertical="center"/>
      <protection locked="0" hidden="1"/>
    </xf>
    <xf numFmtId="0" fontId="38" fillId="0" borderId="12" xfId="0" applyFont="1" applyFill="1" applyBorder="1" applyAlignment="1">
      <alignment horizontal="left"/>
    </xf>
    <xf numFmtId="0" fontId="5" fillId="9" borderId="12" xfId="0" applyFont="1" applyFill="1" applyBorder="1" applyAlignment="1" applyProtection="1">
      <alignment vertical="center"/>
      <protection locked="0"/>
    </xf>
    <xf numFmtId="0" fontId="38" fillId="9" borderId="12" xfId="0" applyFont="1" applyFill="1" applyBorder="1" applyAlignment="1">
      <alignment vertical="center"/>
    </xf>
    <xf numFmtId="0" fontId="38" fillId="19" borderId="12" xfId="0" applyFont="1" applyFill="1" applyBorder="1" applyAlignment="1">
      <alignment vertical="center"/>
    </xf>
    <xf numFmtId="0" fontId="42" fillId="0" borderId="12" xfId="0" applyFont="1" applyBorder="1"/>
    <xf numFmtId="0" fontId="81" fillId="14" borderId="12" xfId="0" applyNumberFormat="1" applyFont="1" applyFill="1" applyBorder="1" applyAlignment="1">
      <alignment horizontal="center"/>
    </xf>
    <xf numFmtId="44" fontId="98" fillId="14" borderId="13" xfId="0" applyNumberFormat="1" applyFont="1" applyFill="1" applyBorder="1"/>
    <xf numFmtId="0" fontId="78" fillId="0" borderId="12" xfId="0" applyFont="1" applyFill="1" applyBorder="1" applyAlignment="1" applyProtection="1">
      <alignment horizontal="left" vertical="center"/>
      <protection locked="0"/>
    </xf>
    <xf numFmtId="0" fontId="46" fillId="0" borderId="12" xfId="0" applyFont="1" applyFill="1" applyBorder="1" applyAlignment="1" applyProtection="1">
      <alignment horizontal="center"/>
      <protection locked="0" hidden="1"/>
    </xf>
    <xf numFmtId="0" fontId="99" fillId="0" borderId="12" xfId="0" applyFont="1" applyFill="1" applyBorder="1"/>
    <xf numFmtId="0" fontId="41" fillId="0" borderId="12" xfId="0" applyFont="1" applyFill="1" applyBorder="1" applyAlignment="1" applyProtection="1">
      <alignment horizontal="center" vertical="top"/>
      <protection locked="0"/>
    </xf>
    <xf numFmtId="1" fontId="78" fillId="30" borderId="11" xfId="0" applyNumberFormat="1" applyFont="1" applyFill="1" applyBorder="1" applyAlignment="1" applyProtection="1">
      <alignment horizontal="left"/>
      <protection locked="0"/>
    </xf>
    <xf numFmtId="1" fontId="78" fillId="30" borderId="13" xfId="0" applyNumberFormat="1" applyFont="1" applyFill="1" applyBorder="1" applyAlignment="1" applyProtection="1">
      <alignment horizontal="left"/>
      <protection locked="0"/>
    </xf>
    <xf numFmtId="44" fontId="3" fillId="0" borderId="20" xfId="0" applyNumberFormat="1" applyFont="1" applyFill="1" applyBorder="1"/>
    <xf numFmtId="0" fontId="82" fillId="14" borderId="12" xfId="0" applyFont="1" applyFill="1" applyBorder="1" applyAlignment="1" applyProtection="1">
      <alignment horizontal="left"/>
      <protection locked="0"/>
    </xf>
    <xf numFmtId="0" fontId="100" fillId="21" borderId="11" xfId="0" applyFont="1" applyFill="1" applyBorder="1" applyAlignment="1">
      <alignment horizontal="center" vertical="center" wrapText="1"/>
    </xf>
    <xf numFmtId="0" fontId="100" fillId="20" borderId="11" xfId="0" applyFont="1" applyFill="1" applyBorder="1" applyAlignment="1">
      <alignment horizontal="center" vertical="center" wrapText="1"/>
    </xf>
    <xf numFmtId="0" fontId="100" fillId="0" borderId="11" xfId="0" applyFont="1" applyFill="1" applyBorder="1" applyAlignment="1">
      <alignment horizontal="center" vertical="center" wrapText="1"/>
    </xf>
    <xf numFmtId="0" fontId="100" fillId="18" borderId="11" xfId="0" applyFont="1" applyFill="1" applyBorder="1" applyAlignment="1">
      <alignment horizontal="center" vertical="center" wrapText="1"/>
    </xf>
    <xf numFmtId="0" fontId="100" fillId="6" borderId="11" xfId="0" applyFont="1" applyFill="1" applyBorder="1" applyAlignment="1">
      <alignment horizontal="center" vertical="center" wrapText="1"/>
    </xf>
    <xf numFmtId="0" fontId="100" fillId="19" borderId="11" xfId="0" applyFont="1" applyFill="1" applyBorder="1" applyAlignment="1">
      <alignment horizontal="center" vertical="center" wrapText="1"/>
    </xf>
    <xf numFmtId="0" fontId="100" fillId="39" borderId="11" xfId="0" applyFont="1" applyFill="1" applyBorder="1" applyAlignment="1">
      <alignment horizontal="center" vertical="center" wrapText="1"/>
    </xf>
    <xf numFmtId="0" fontId="100" fillId="11" borderId="11" xfId="0" applyFont="1" applyFill="1" applyBorder="1" applyAlignment="1">
      <alignment horizontal="center" vertical="center" wrapText="1"/>
    </xf>
    <xf numFmtId="0" fontId="100" fillId="17" borderId="11" xfId="0" applyFont="1" applyFill="1" applyBorder="1" applyAlignment="1">
      <alignment horizontal="center" vertical="center" wrapText="1"/>
    </xf>
    <xf numFmtId="0" fontId="100" fillId="40" borderId="11" xfId="0" applyFont="1" applyFill="1" applyBorder="1" applyAlignment="1">
      <alignment horizontal="center" vertical="center" wrapText="1"/>
    </xf>
    <xf numFmtId="0" fontId="101" fillId="0" borderId="1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/>
    </xf>
    <xf numFmtId="0" fontId="84" fillId="0" borderId="18" xfId="0" applyFont="1" applyFill="1" applyBorder="1" applyAlignment="1">
      <alignment horizontal="center"/>
    </xf>
    <xf numFmtId="0" fontId="39" fillId="0" borderId="19" xfId="0" applyFont="1" applyFill="1" applyBorder="1" applyAlignment="1">
      <alignment horizontal="center"/>
    </xf>
    <xf numFmtId="0" fontId="93" fillId="0" borderId="19" xfId="0" applyFont="1" applyFill="1" applyBorder="1" applyAlignment="1">
      <alignment horizontal="center"/>
    </xf>
    <xf numFmtId="0" fontId="68" fillId="0" borderId="12" xfId="0" applyFont="1" applyFill="1" applyBorder="1" applyAlignment="1" applyProtection="1">
      <alignment horizontal="center" vertical="top"/>
      <protection locked="0"/>
    </xf>
    <xf numFmtId="169" fontId="0" fillId="0" borderId="0" xfId="0" applyNumberFormat="1"/>
    <xf numFmtId="0" fontId="0" fillId="0" borderId="0" xfId="0" applyFont="1" applyFill="1" applyBorder="1"/>
    <xf numFmtId="0" fontId="41" fillId="14" borderId="19" xfId="0" applyFont="1" applyFill="1" applyBorder="1" applyAlignment="1" applyProtection="1">
      <alignment horizontal="center" vertical="top"/>
      <protection locked="0"/>
    </xf>
    <xf numFmtId="0" fontId="42" fillId="0" borderId="0" xfId="0" applyFont="1"/>
    <xf numFmtId="0" fontId="98" fillId="0" borderId="0" xfId="0" applyFont="1" applyFill="1"/>
    <xf numFmtId="0" fontId="42" fillId="0" borderId="0" xfId="0" applyFont="1" applyBorder="1"/>
    <xf numFmtId="0" fontId="98" fillId="0" borderId="0" xfId="0" applyFont="1"/>
    <xf numFmtId="0" fontId="42" fillId="0" borderId="0" xfId="0" applyFont="1" applyAlignment="1">
      <alignment horizontal="center"/>
    </xf>
    <xf numFmtId="0" fontId="42" fillId="0" borderId="0" xfId="0" applyFont="1" applyFill="1" applyAlignment="1">
      <alignment horizontal="right"/>
    </xf>
    <xf numFmtId="0" fontId="41" fillId="14" borderId="12" xfId="0" applyFont="1" applyFill="1" applyBorder="1" applyAlignment="1" applyProtection="1">
      <alignment horizontal="center"/>
      <protection locked="0" hidden="1"/>
    </xf>
    <xf numFmtId="0" fontId="0" fillId="41" borderId="12" xfId="0" applyFill="1" applyBorder="1"/>
    <xf numFmtId="0" fontId="0" fillId="38" borderId="12" xfId="0" applyFill="1" applyBorder="1"/>
    <xf numFmtId="0" fontId="41" fillId="14" borderId="12" xfId="0" applyFont="1" applyFill="1" applyBorder="1" applyAlignment="1" applyProtection="1">
      <alignment horizontal="center"/>
      <protection locked="0"/>
    </xf>
    <xf numFmtId="0" fontId="0" fillId="38" borderId="19" xfId="0" applyFill="1" applyBorder="1"/>
    <xf numFmtId="169" fontId="3" fillId="0" borderId="0" xfId="0" applyNumberFormat="1" applyFont="1"/>
    <xf numFmtId="0" fontId="3" fillId="9" borderId="18" xfId="0" applyFont="1" applyFill="1" applyBorder="1"/>
    <xf numFmtId="0" fontId="78" fillId="6" borderId="12" xfId="0" applyFont="1" applyFill="1" applyBorder="1" applyAlignment="1" applyProtection="1">
      <alignment horizontal="center" vertical="top"/>
      <protection locked="0"/>
    </xf>
    <xf numFmtId="0" fontId="0" fillId="0" borderId="0" xfId="0" applyFont="1" applyFill="1" applyBorder="1" applyAlignment="1">
      <alignment horizontal="center"/>
    </xf>
    <xf numFmtId="0" fontId="41" fillId="6" borderId="12" xfId="0" applyFont="1" applyFill="1" applyBorder="1" applyAlignment="1" applyProtection="1">
      <alignment horizontal="center" vertical="top"/>
      <protection locked="0"/>
    </xf>
    <xf numFmtId="0" fontId="38" fillId="0" borderId="19" xfId="0" applyFont="1" applyFill="1" applyBorder="1" applyAlignment="1">
      <alignment horizontal="left"/>
    </xf>
    <xf numFmtId="44" fontId="3" fillId="14" borderId="20" xfId="0" applyNumberFormat="1" applyFont="1" applyFill="1" applyBorder="1"/>
    <xf numFmtId="0" fontId="57" fillId="9" borderId="12" xfId="0" applyFont="1" applyFill="1" applyBorder="1" applyAlignment="1" applyProtection="1">
      <alignment horizontal="left" vertical="center"/>
      <protection locked="0"/>
    </xf>
    <xf numFmtId="0" fontId="82" fillId="14" borderId="12" xfId="0" applyFont="1" applyFill="1" applyBorder="1" applyAlignment="1" applyProtection="1">
      <alignment horizontal="left" vertical="center"/>
      <protection locked="0"/>
    </xf>
    <xf numFmtId="0" fontId="82" fillId="9" borderId="12" xfId="0" applyFont="1" applyFill="1" applyBorder="1" applyAlignment="1" applyProtection="1">
      <alignment horizontal="left" vertical="top"/>
      <protection locked="0"/>
    </xf>
    <xf numFmtId="0" fontId="82" fillId="19" borderId="12" xfId="0" applyFont="1" applyFill="1" applyBorder="1" applyAlignment="1" applyProtection="1">
      <alignment horizontal="left" vertical="center"/>
      <protection locked="0"/>
    </xf>
    <xf numFmtId="0" fontId="82" fillId="28" borderId="12" xfId="0" applyFont="1" applyFill="1" applyBorder="1" applyAlignment="1" applyProtection="1">
      <alignment horizontal="left" vertical="center"/>
      <protection locked="0"/>
    </xf>
    <xf numFmtId="0" fontId="82" fillId="34" borderId="12" xfId="0" applyFont="1" applyFill="1" applyBorder="1" applyAlignment="1" applyProtection="1">
      <alignment horizontal="left" vertical="center"/>
      <protection locked="0"/>
    </xf>
    <xf numFmtId="0" fontId="68" fillId="14" borderId="12" xfId="0" applyFont="1" applyFill="1" applyBorder="1" applyAlignment="1" applyProtection="1">
      <alignment horizontal="left" vertical="center"/>
      <protection locked="0"/>
    </xf>
    <xf numFmtId="0" fontId="82" fillId="31" borderId="12" xfId="0" applyFont="1" applyFill="1" applyBorder="1" applyAlignment="1" applyProtection="1">
      <alignment horizontal="left" vertical="center"/>
      <protection hidden="1"/>
    </xf>
    <xf numFmtId="0" fontId="82" fillId="27" borderId="12" xfId="0" applyFont="1" applyFill="1" applyBorder="1" applyAlignment="1" applyProtection="1">
      <alignment horizontal="left" vertical="center"/>
      <protection locked="0"/>
    </xf>
    <xf numFmtId="0" fontId="82" fillId="36" borderId="12" xfId="0" applyFont="1" applyFill="1" applyBorder="1" applyAlignment="1" applyProtection="1">
      <alignment horizontal="left" vertical="center"/>
      <protection locked="0"/>
    </xf>
    <xf numFmtId="0" fontId="0" fillId="26" borderId="12" xfId="0" applyFill="1" applyBorder="1"/>
    <xf numFmtId="0" fontId="0" fillId="0" borderId="0" xfId="0" applyFont="1" applyFill="1" applyBorder="1"/>
    <xf numFmtId="0" fontId="41" fillId="14" borderId="12" xfId="0" applyFont="1" applyFill="1" applyBorder="1" applyAlignment="1" applyProtection="1">
      <alignment horizontal="center" vertical="center"/>
      <protection locked="0"/>
    </xf>
    <xf numFmtId="0" fontId="45" fillId="22" borderId="1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93" fillId="0" borderId="0" xfId="0" applyFont="1" applyFill="1" applyBorder="1" applyAlignment="1">
      <alignment horizontal="center"/>
    </xf>
    <xf numFmtId="0" fontId="78" fillId="14" borderId="19" xfId="0" applyFont="1" applyFill="1" applyBorder="1" applyAlignment="1" applyProtection="1">
      <alignment horizontal="center"/>
      <protection locked="0"/>
    </xf>
    <xf numFmtId="0" fontId="41" fillId="14" borderId="19" xfId="0" applyFont="1" applyFill="1" applyBorder="1" applyAlignment="1" applyProtection="1">
      <alignment horizontal="center"/>
      <protection locked="0"/>
    </xf>
    <xf numFmtId="0" fontId="0" fillId="14" borderId="19" xfId="0" applyFill="1" applyBorder="1"/>
    <xf numFmtId="44" fontId="98" fillId="14" borderId="20" xfId="0" applyNumberFormat="1" applyFont="1" applyFill="1" applyBorder="1"/>
    <xf numFmtId="0" fontId="3" fillId="14" borderId="1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40" fillId="0" borderId="19" xfId="0" applyFont="1" applyFill="1" applyBorder="1" applyAlignment="1">
      <alignment horizontal="center"/>
    </xf>
    <xf numFmtId="2" fontId="7" fillId="0" borderId="20" xfId="2" applyNumberFormat="1" applyFont="1" applyFill="1" applyBorder="1" applyAlignment="1">
      <alignment horizontal="center"/>
    </xf>
    <xf numFmtId="0" fontId="82" fillId="9" borderId="19" xfId="0" applyFont="1" applyFill="1" applyBorder="1" applyAlignment="1" applyProtection="1">
      <alignment horizontal="left" vertical="top"/>
      <protection locked="0"/>
    </xf>
    <xf numFmtId="0" fontId="82" fillId="0" borderId="12" xfId="0" applyFont="1" applyFill="1" applyBorder="1" applyAlignment="1" applyProtection="1">
      <alignment horizontal="left" vertical="center"/>
      <protection locked="0"/>
    </xf>
    <xf numFmtId="0" fontId="0" fillId="14" borderId="4" xfId="0" applyFill="1" applyBorder="1"/>
    <xf numFmtId="0" fontId="0" fillId="14" borderId="36" xfId="0" applyFont="1" applyFill="1" applyBorder="1"/>
    <xf numFmtId="44" fontId="78" fillId="0" borderId="0" xfId="0" applyNumberFormat="1" applyFont="1" applyFill="1" applyBorder="1" applyAlignment="1" applyProtection="1">
      <alignment horizontal="center" vertical="top"/>
      <protection locked="0"/>
    </xf>
    <xf numFmtId="0" fontId="3" fillId="9" borderId="11" xfId="0" applyFont="1" applyFill="1" applyBorder="1" applyAlignment="1">
      <alignment horizontal="right"/>
    </xf>
    <xf numFmtId="0" fontId="91" fillId="14" borderId="12" xfId="0" applyFont="1" applyFill="1" applyBorder="1" applyAlignment="1">
      <alignment horizontal="center"/>
    </xf>
    <xf numFmtId="22" fontId="0" fillId="0" borderId="0" xfId="0" applyNumberFormat="1"/>
    <xf numFmtId="0" fontId="74" fillId="33" borderId="11" xfId="0" applyFont="1" applyFill="1" applyBorder="1" applyAlignment="1" applyProtection="1">
      <alignment horizontal="right" vertical="top"/>
      <protection locked="0"/>
    </xf>
    <xf numFmtId="0" fontId="0" fillId="0" borderId="0" xfId="0" applyFont="1" applyFill="1" applyBorder="1" applyAlignment="1">
      <alignment horizontal="center"/>
    </xf>
    <xf numFmtId="1" fontId="81" fillId="14" borderId="0" xfId="0" applyNumberFormat="1" applyFont="1" applyFill="1" applyBorder="1" applyAlignment="1" applyProtection="1">
      <alignment horizontal="center" vertical="top"/>
      <protection locked="0"/>
    </xf>
    <xf numFmtId="0" fontId="38" fillId="14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81" fillId="38" borderId="18" xfId="0" applyNumberFormat="1" applyFont="1" applyFill="1" applyBorder="1" applyAlignment="1">
      <alignment horizontal="center" vertical="center"/>
    </xf>
    <xf numFmtId="0" fontId="81" fillId="14" borderId="12" xfId="0" applyFont="1" applyFill="1" applyBorder="1" applyAlignment="1" applyProtection="1">
      <alignment horizontal="center" vertical="top"/>
      <protection locked="0"/>
    </xf>
    <xf numFmtId="0" fontId="57" fillId="9" borderId="19" xfId="0" applyFont="1" applyFill="1" applyBorder="1" applyAlignment="1" applyProtection="1">
      <alignment horizontal="left" vertical="center"/>
      <protection locked="0"/>
    </xf>
    <xf numFmtId="0" fontId="46" fillId="14" borderId="19" xfId="0" applyFont="1" applyFill="1" applyBorder="1" applyAlignment="1" applyProtection="1">
      <alignment horizontal="center" vertical="top"/>
      <protection locked="0"/>
    </xf>
    <xf numFmtId="0" fontId="3" fillId="14" borderId="11" xfId="0" applyNumberFormat="1" applyFont="1" applyFill="1" applyBorder="1"/>
    <xf numFmtId="0" fontId="46" fillId="14" borderId="12" xfId="0" applyFont="1" applyFill="1" applyBorder="1" applyAlignment="1" applyProtection="1">
      <alignment horizontal="center" vertical="top"/>
      <protection locked="0"/>
    </xf>
    <xf numFmtId="0" fontId="0" fillId="0" borderId="0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left"/>
    </xf>
    <xf numFmtId="0" fontId="82" fillId="28" borderId="19" xfId="0" applyFont="1" applyFill="1" applyBorder="1" applyAlignment="1" applyProtection="1">
      <alignment horizontal="left" vertical="center"/>
      <protection locked="0"/>
    </xf>
    <xf numFmtId="0" fontId="0" fillId="0" borderId="53" xfId="0" applyBorder="1"/>
    <xf numFmtId="0" fontId="3" fillId="14" borderId="11" xfId="0" applyFont="1" applyFill="1" applyBorder="1" applyAlignment="1">
      <alignment horizontal="right"/>
    </xf>
    <xf numFmtId="0" fontId="5" fillId="14" borderId="12" xfId="0" applyFont="1" applyFill="1" applyBorder="1" applyAlignment="1" applyProtection="1">
      <alignment vertical="center"/>
      <protection locked="0"/>
    </xf>
    <xf numFmtId="0" fontId="82" fillId="14" borderId="12" xfId="0" applyFont="1" applyFill="1" applyBorder="1" applyAlignment="1" applyProtection="1">
      <alignment horizontal="left" vertical="top"/>
      <protection locked="0"/>
    </xf>
    <xf numFmtId="0" fontId="81" fillId="14" borderId="0" xfId="0" applyNumberFormat="1" applyFont="1" applyFill="1" applyBorder="1" applyAlignment="1">
      <alignment horizontal="center"/>
    </xf>
    <xf numFmtId="2" fontId="67" fillId="0" borderId="5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97" fillId="14" borderId="12" xfId="0" applyFont="1" applyFill="1" applyBorder="1" applyAlignment="1">
      <alignment horizontal="center" vertical="center" wrapText="1"/>
    </xf>
    <xf numFmtId="0" fontId="81" fillId="38" borderId="12" xfId="0" applyNumberFormat="1" applyFont="1" applyFill="1" applyBorder="1" applyAlignment="1">
      <alignment horizontal="center"/>
    </xf>
    <xf numFmtId="0" fontId="45" fillId="22" borderId="12" xfId="0" applyFont="1" applyFill="1" applyBorder="1" applyAlignment="1">
      <alignment horizontal="center"/>
    </xf>
    <xf numFmtId="0" fontId="57" fillId="14" borderId="12" xfId="0" applyFont="1" applyFill="1" applyBorder="1" applyAlignment="1" applyProtection="1">
      <alignment horizontal="left" vertical="center"/>
      <protection locked="0"/>
    </xf>
    <xf numFmtId="0" fontId="0" fillId="14" borderId="11" xfId="0" applyFill="1" applyBorder="1"/>
    <xf numFmtId="0" fontId="45" fillId="22" borderId="19" xfId="0" applyFont="1" applyFill="1" applyBorder="1" applyAlignment="1">
      <alignment horizontal="center"/>
    </xf>
    <xf numFmtId="0" fontId="82" fillId="14" borderId="19" xfId="0" applyFont="1" applyFill="1" applyBorder="1" applyAlignment="1" applyProtection="1">
      <alignment horizontal="left" vertical="center"/>
      <protection locked="0"/>
    </xf>
    <xf numFmtId="0" fontId="78" fillId="14" borderId="13" xfId="0" applyFont="1" applyFill="1" applyBorder="1" applyAlignment="1" applyProtection="1">
      <alignment horizontal="left" vertical="center"/>
      <protection locked="0"/>
    </xf>
    <xf numFmtId="0" fontId="78" fillId="14" borderId="53" xfId="0" applyFont="1" applyFill="1" applyBorder="1" applyAlignment="1" applyProtection="1">
      <alignment horizontal="center" vertical="top"/>
      <protection locked="0"/>
    </xf>
    <xf numFmtId="0" fontId="38" fillId="14" borderId="53" xfId="0" applyFont="1" applyFill="1" applyBorder="1" applyAlignment="1"/>
    <xf numFmtId="0" fontId="46" fillId="14" borderId="0" xfId="0" applyFont="1" applyFill="1" applyBorder="1" applyAlignment="1" applyProtection="1">
      <alignment horizontal="center" vertical="center"/>
      <protection locked="0" hidden="1"/>
    </xf>
    <xf numFmtId="0" fontId="81" fillId="38" borderId="52" xfId="0" applyNumberFormat="1" applyFont="1" applyFill="1" applyBorder="1" applyAlignment="1">
      <alignment horizontal="center"/>
    </xf>
    <xf numFmtId="0" fontId="57" fillId="9" borderId="53" xfId="0" applyFont="1" applyFill="1" applyBorder="1" applyAlignment="1" applyProtection="1">
      <alignment horizontal="left" vertical="center"/>
      <protection locked="0"/>
    </xf>
    <xf numFmtId="0" fontId="82" fillId="14" borderId="12" xfId="0" applyNumberFormat="1" applyFont="1" applyFill="1" applyBorder="1" applyAlignment="1">
      <alignment horizontal="center"/>
    </xf>
    <xf numFmtId="0" fontId="5" fillId="14" borderId="12" xfId="0" applyFont="1" applyFill="1" applyBorder="1" applyAlignment="1" applyProtection="1">
      <alignment horizontal="center" vertical="center"/>
      <protection locked="0"/>
    </xf>
    <xf numFmtId="0" fontId="46" fillId="14" borderId="12" xfId="0" applyFont="1" applyFill="1" applyBorder="1" applyAlignment="1" applyProtection="1">
      <alignment horizontal="left" vertical="center"/>
      <protection locked="0" hidden="1"/>
    </xf>
    <xf numFmtId="0" fontId="41" fillId="14" borderId="12" xfId="0" applyFont="1" applyFill="1" applyBorder="1" applyAlignment="1" applyProtection="1">
      <alignment horizontal="center" vertical="center"/>
      <protection locked="0" hidden="1"/>
    </xf>
    <xf numFmtId="0" fontId="38" fillId="14" borderId="19" xfId="0" applyFont="1" applyFill="1" applyBorder="1" applyAlignment="1">
      <alignment horizontal="left"/>
    </xf>
    <xf numFmtId="0" fontId="3" fillId="14" borderId="18" xfId="0" applyFont="1" applyFill="1" applyBorder="1" applyAlignment="1">
      <alignment horizontal="right"/>
    </xf>
    <xf numFmtId="0" fontId="5" fillId="9" borderId="19" xfId="0" applyFont="1" applyFill="1" applyBorder="1" applyAlignment="1" applyProtection="1">
      <alignment vertical="center"/>
      <protection locked="0"/>
    </xf>
    <xf numFmtId="1" fontId="82" fillId="38" borderId="11" xfId="0" applyNumberFormat="1" applyFont="1" applyFill="1" applyBorder="1" applyAlignment="1" applyProtection="1">
      <alignment horizontal="center" vertical="top"/>
      <protection locked="0"/>
    </xf>
    <xf numFmtId="44" fontId="42" fillId="0" borderId="0" xfId="0" applyNumberFormat="1" applyFont="1"/>
    <xf numFmtId="0" fontId="95" fillId="35" borderId="27" xfId="0" applyFont="1" applyFill="1" applyBorder="1" applyAlignment="1">
      <alignment horizontal="center" vertical="center" textRotation="90" wrapText="1"/>
    </xf>
    <xf numFmtId="0" fontId="45" fillId="22" borderId="18" xfId="0" applyFont="1" applyFill="1" applyBorder="1" applyAlignment="1">
      <alignment horizontal="center"/>
    </xf>
    <xf numFmtId="0" fontId="46" fillId="19" borderId="11" xfId="0" applyFont="1" applyFill="1" applyBorder="1" applyAlignment="1" applyProtection="1">
      <alignment horizontal="right"/>
      <protection locked="0" hidden="1"/>
    </xf>
    <xf numFmtId="0" fontId="46" fillId="14" borderId="11" xfId="0" applyFont="1" applyFill="1" applyBorder="1" applyAlignment="1" applyProtection="1">
      <alignment horizontal="right"/>
      <protection locked="0" hidden="1"/>
    </xf>
    <xf numFmtId="0" fontId="41" fillId="14" borderId="19" xfId="0" applyFont="1" applyFill="1" applyBorder="1" applyAlignment="1" applyProtection="1">
      <alignment horizontal="center" vertical="center"/>
      <protection locked="0" hidden="1"/>
    </xf>
    <xf numFmtId="0" fontId="41" fillId="14" borderId="19" xfId="0" applyFont="1" applyFill="1" applyBorder="1" applyAlignment="1" applyProtection="1">
      <alignment horizontal="center" vertical="center"/>
      <protection locked="0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78" fillId="14" borderId="33" xfId="0" applyFont="1" applyFill="1" applyBorder="1" applyAlignment="1" applyProtection="1">
      <alignment horizontal="center" vertical="top"/>
      <protection locked="0"/>
    </xf>
    <xf numFmtId="0" fontId="46" fillId="0" borderId="12" xfId="0" applyFont="1" applyFill="1" applyBorder="1" applyAlignment="1" applyProtection="1">
      <alignment horizontal="center" vertical="center"/>
      <protection locked="0" hidden="1"/>
    </xf>
    <xf numFmtId="0" fontId="78" fillId="0" borderId="19" xfId="0" applyFont="1" applyFill="1" applyBorder="1" applyAlignment="1" applyProtection="1">
      <alignment horizontal="center" vertical="top"/>
      <protection locked="0"/>
    </xf>
    <xf numFmtId="0" fontId="41" fillId="0" borderId="19" xfId="0" applyFont="1" applyFill="1" applyBorder="1" applyAlignment="1" applyProtection="1">
      <alignment horizontal="center" vertical="top"/>
      <protection locked="0"/>
    </xf>
    <xf numFmtId="0" fontId="80" fillId="18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80" fillId="18" borderId="10" xfId="0" applyFont="1" applyFill="1" applyBorder="1" applyAlignment="1">
      <alignment horizontal="center" wrapText="1"/>
    </xf>
    <xf numFmtId="0" fontId="80" fillId="18" borderId="10" xfId="0" applyFont="1" applyFill="1" applyBorder="1" applyAlignment="1">
      <alignment wrapText="1"/>
    </xf>
    <xf numFmtId="0" fontId="46" fillId="14" borderId="11" xfId="0" applyFont="1" applyFill="1" applyBorder="1" applyAlignment="1" applyProtection="1">
      <alignment horizontal="center" vertical="center"/>
      <protection hidden="1"/>
    </xf>
    <xf numFmtId="0" fontId="96" fillId="0" borderId="13" xfId="0" applyFont="1" applyBorder="1"/>
    <xf numFmtId="0" fontId="99" fillId="0" borderId="13" xfId="0" applyFont="1" applyFill="1" applyBorder="1"/>
    <xf numFmtId="0" fontId="38" fillId="0" borderId="19" xfId="0" applyFont="1" applyFill="1" applyBorder="1" applyAlignment="1"/>
    <xf numFmtId="0" fontId="46" fillId="37" borderId="33" xfId="0" applyFont="1" applyFill="1" applyBorder="1" applyAlignment="1" applyProtection="1">
      <alignment horizontal="center" vertical="center"/>
      <protection locked="0" hidden="1"/>
    </xf>
    <xf numFmtId="0" fontId="0" fillId="0" borderId="33" xfId="0" applyBorder="1"/>
    <xf numFmtId="0" fontId="0" fillId="0" borderId="40" xfId="0" applyBorder="1"/>
    <xf numFmtId="0" fontId="0" fillId="0" borderId="11" xfId="0" applyBorder="1"/>
    <xf numFmtId="0" fontId="96" fillId="0" borderId="11" xfId="0" applyFont="1" applyBorder="1"/>
    <xf numFmtId="0" fontId="99" fillId="0" borderId="11" xfId="0" applyFont="1" applyFill="1" applyBorder="1"/>
    <xf numFmtId="0" fontId="0" fillId="0" borderId="18" xfId="0" applyBorder="1"/>
    <xf numFmtId="0" fontId="0" fillId="14" borderId="13" xfId="0" applyFill="1" applyBorder="1"/>
    <xf numFmtId="0" fontId="0" fillId="14" borderId="20" xfId="0" applyFill="1" applyBorder="1"/>
    <xf numFmtId="0" fontId="0" fillId="14" borderId="33" xfId="0" applyFill="1" applyBorder="1"/>
    <xf numFmtId="0" fontId="0" fillId="14" borderId="40" xfId="0" applyFill="1" applyBorder="1"/>
    <xf numFmtId="0" fontId="0" fillId="14" borderId="18" xfId="0" applyFill="1" applyBorder="1"/>
    <xf numFmtId="0" fontId="5" fillId="14" borderId="19" xfId="0" applyFont="1" applyFill="1" applyBorder="1" applyAlignment="1" applyProtection="1">
      <alignment horizontal="left" vertical="top"/>
      <protection locked="0"/>
    </xf>
    <xf numFmtId="0" fontId="46" fillId="19" borderId="11" xfId="0" applyFont="1" applyFill="1" applyBorder="1" applyAlignment="1" applyProtection="1">
      <alignment horizontal="right"/>
      <protection locked="0"/>
    </xf>
    <xf numFmtId="0" fontId="0" fillId="0" borderId="0" xfId="0" applyFont="1" applyFill="1" applyBorder="1" applyAlignment="1">
      <alignment horizontal="center"/>
    </xf>
    <xf numFmtId="0" fontId="78" fillId="11" borderId="12" xfId="0" applyFont="1" applyFill="1" applyBorder="1" applyAlignment="1" applyProtection="1">
      <alignment horizontal="center" vertical="top"/>
      <protection locked="0"/>
    </xf>
    <xf numFmtId="0" fontId="41" fillId="11" borderId="12" xfId="0" applyFont="1" applyFill="1" applyBorder="1" applyAlignment="1" applyProtection="1">
      <alignment horizontal="center" vertical="center"/>
      <protection locked="0" hidden="1"/>
    </xf>
    <xf numFmtId="1" fontId="78" fillId="30" borderId="12" xfId="0" applyNumberFormat="1" applyFont="1" applyFill="1" applyBorder="1" applyAlignment="1" applyProtection="1">
      <alignment horizontal="left"/>
      <protection locked="0"/>
    </xf>
    <xf numFmtId="0" fontId="82" fillId="14" borderId="19" xfId="0" applyFont="1" applyFill="1" applyBorder="1" applyAlignment="1">
      <alignment horizontal="left"/>
    </xf>
    <xf numFmtId="0" fontId="81" fillId="14" borderId="19" xfId="0" applyFont="1" applyFill="1" applyBorder="1" applyAlignment="1" applyProtection="1">
      <alignment horizontal="center" vertical="top"/>
      <protection locked="0"/>
    </xf>
    <xf numFmtId="0" fontId="78" fillId="14" borderId="13" xfId="0" applyFont="1" applyFill="1" applyBorder="1" applyAlignment="1" applyProtection="1">
      <alignment horizontal="left" vertical="top"/>
      <protection locked="0"/>
    </xf>
    <xf numFmtId="0" fontId="46" fillId="14" borderId="13" xfId="0" applyFont="1" applyFill="1" applyBorder="1" applyAlignment="1" applyProtection="1">
      <alignment horizontal="center"/>
      <protection locked="0" hidden="1"/>
    </xf>
    <xf numFmtId="0" fontId="78" fillId="0" borderId="13" xfId="0" applyFont="1" applyFill="1" applyBorder="1" applyAlignment="1" applyProtection="1">
      <alignment horizontal="center" vertical="top"/>
      <protection locked="0"/>
    </xf>
    <xf numFmtId="0" fontId="3" fillId="0" borderId="11" xfId="0" applyFont="1" applyFill="1" applyBorder="1" applyAlignment="1"/>
    <xf numFmtId="0" fontId="3" fillId="0" borderId="11" xfId="0" applyFont="1" applyFill="1" applyBorder="1"/>
    <xf numFmtId="0" fontId="3" fillId="14" borderId="18" xfId="0" applyFont="1" applyFill="1" applyBorder="1"/>
    <xf numFmtId="0" fontId="46" fillId="6" borderId="12" xfId="0" applyFont="1" applyFill="1" applyBorder="1" applyAlignment="1" applyProtection="1">
      <alignment horizontal="center"/>
      <protection locked="0" hidden="1"/>
    </xf>
    <xf numFmtId="0" fontId="46" fillId="14" borderId="19" xfId="0" applyFont="1" applyFill="1" applyBorder="1" applyAlignment="1" applyProtection="1">
      <alignment horizontal="center"/>
      <protection locked="0" hidden="1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13" xfId="0" applyNumberFormat="1" applyFont="1" applyFill="1" applyBorder="1" applyAlignment="1">
      <alignment horizontal="left"/>
    </xf>
    <xf numFmtId="0" fontId="106" fillId="0" borderId="0" xfId="0" applyFont="1" applyFill="1" applyBorder="1"/>
    <xf numFmtId="19" fontId="106" fillId="0" borderId="0" xfId="0" applyNumberFormat="1" applyFont="1" applyFill="1" applyBorder="1"/>
    <xf numFmtId="2" fontId="0" fillId="0" borderId="19" xfId="0" applyNumberFormat="1" applyBorder="1"/>
    <xf numFmtId="44" fontId="98" fillId="0" borderId="0" xfId="0" applyNumberFormat="1" applyFont="1" applyFill="1"/>
    <xf numFmtId="169" fontId="98" fillId="0" borderId="0" xfId="0" applyNumberFormat="1" applyFont="1"/>
    <xf numFmtId="0" fontId="46" fillId="14" borderId="33" xfId="0" applyFont="1" applyFill="1" applyBorder="1" applyAlignment="1" applyProtection="1">
      <alignment horizontal="center" vertical="center"/>
      <protection locked="0" hidden="1"/>
    </xf>
    <xf numFmtId="0" fontId="97" fillId="30" borderId="12" xfId="0" applyFont="1" applyFill="1" applyBorder="1" applyAlignment="1">
      <alignment horizontal="center" vertical="center" wrapText="1"/>
    </xf>
    <xf numFmtId="0" fontId="97" fillId="30" borderId="11" xfId="0" applyFont="1" applyFill="1" applyBorder="1" applyAlignment="1">
      <alignment horizontal="center" vertical="center" wrapText="1"/>
    </xf>
    <xf numFmtId="0" fontId="97" fillId="30" borderId="13" xfId="0" applyFont="1" applyFill="1" applyBorder="1" applyAlignment="1">
      <alignment horizontal="center" vertical="center" wrapText="1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105" fillId="0" borderId="58" xfId="0" applyFont="1" applyFill="1" applyBorder="1"/>
    <xf numFmtId="0" fontId="105" fillId="0" borderId="59" xfId="0" applyFont="1" applyFill="1" applyBorder="1"/>
    <xf numFmtId="0" fontId="105" fillId="0" borderId="60" xfId="0" applyFont="1" applyFill="1" applyBorder="1"/>
    <xf numFmtId="1" fontId="0" fillId="11" borderId="61" xfId="0" applyNumberFormat="1" applyFont="1" applyFill="1" applyBorder="1"/>
    <xf numFmtId="0" fontId="106" fillId="0" borderId="62" xfId="0" applyFont="1" applyFill="1" applyBorder="1"/>
    <xf numFmtId="1" fontId="0" fillId="5" borderId="61" xfId="0" applyNumberFormat="1" applyFont="1" applyFill="1" applyBorder="1"/>
    <xf numFmtId="19" fontId="106" fillId="0" borderId="62" xfId="0" applyNumberFormat="1" applyFont="1" applyFill="1" applyBorder="1"/>
    <xf numFmtId="1" fontId="0" fillId="0" borderId="61" xfId="0" applyNumberFormat="1" applyFont="1" applyFill="1" applyBorder="1"/>
    <xf numFmtId="1" fontId="0" fillId="44" borderId="61" xfId="0" applyNumberFormat="1" applyFont="1" applyFill="1" applyBorder="1"/>
    <xf numFmtId="1" fontId="0" fillId="13" borderId="61" xfId="0" applyNumberFormat="1" applyFont="1" applyFill="1" applyBorder="1"/>
    <xf numFmtId="0" fontId="0" fillId="0" borderId="63" xfId="0" applyFont="1" applyFill="1" applyBorder="1"/>
    <xf numFmtId="0" fontId="106" fillId="0" borderId="64" xfId="0" applyFont="1" applyFill="1" applyBorder="1"/>
    <xf numFmtId="0" fontId="106" fillId="0" borderId="61" xfId="0" applyFont="1" applyFill="1" applyBorder="1"/>
    <xf numFmtId="19" fontId="106" fillId="0" borderId="61" xfId="0" applyNumberFormat="1" applyFont="1" applyFill="1" applyBorder="1"/>
    <xf numFmtId="19" fontId="106" fillId="0" borderId="47" xfId="0" applyNumberFormat="1" applyFont="1" applyFill="1" applyBorder="1"/>
    <xf numFmtId="19" fontId="106" fillId="0" borderId="64" xfId="0" applyNumberFormat="1" applyFont="1" applyFill="1" applyBorder="1"/>
    <xf numFmtId="0" fontId="0" fillId="0" borderId="0" xfId="0" applyFont="1" applyFill="1" applyBorder="1"/>
    <xf numFmtId="0" fontId="78" fillId="14" borderId="33" xfId="0" applyFont="1" applyFill="1" applyBorder="1" applyAlignment="1" applyProtection="1">
      <alignment horizontal="left" vertical="center"/>
      <protection locked="0"/>
    </xf>
    <xf numFmtId="0" fontId="0" fillId="0" borderId="18" xfId="0" applyFont="1" applyFill="1" applyBorder="1" applyAlignment="1">
      <alignment horizontal="center"/>
    </xf>
    <xf numFmtId="1" fontId="81" fillId="38" borderId="19" xfId="0" applyNumberFormat="1" applyFont="1" applyFill="1" applyBorder="1" applyAlignment="1" applyProtection="1">
      <alignment horizontal="center" vertical="top"/>
      <protection locked="0"/>
    </xf>
    <xf numFmtId="0" fontId="78" fillId="14" borderId="33" xfId="0" applyFont="1" applyFill="1" applyBorder="1" applyAlignment="1" applyProtection="1">
      <protection locked="0"/>
    </xf>
    <xf numFmtId="0" fontId="78" fillId="14" borderId="40" xfId="0" applyFont="1" applyFill="1" applyBorder="1" applyAlignment="1" applyProtection="1">
      <protection locked="0"/>
    </xf>
    <xf numFmtId="0" fontId="41" fillId="6" borderId="12" xfId="0" applyFont="1" applyFill="1" applyBorder="1" applyAlignment="1" applyProtection="1">
      <alignment horizontal="center" vertical="center"/>
      <protection locked="0" hidden="1"/>
    </xf>
    <xf numFmtId="0" fontId="41" fillId="6" borderId="12" xfId="0" applyFont="1" applyFill="1" applyBorder="1" applyAlignment="1" applyProtection="1">
      <alignment horizontal="center"/>
      <protection locked="0" hidden="1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1" fontId="0" fillId="36" borderId="61" xfId="0" applyNumberFormat="1" applyFont="1" applyFill="1" applyBorder="1"/>
    <xf numFmtId="1" fontId="0" fillId="5" borderId="47" xfId="0" applyNumberFormat="1" applyFont="1" applyFill="1" applyBorder="1"/>
    <xf numFmtId="19" fontId="106" fillId="0" borderId="63" xfId="0" applyNumberFormat="1" applyFont="1" applyFill="1" applyBorder="1"/>
    <xf numFmtId="0" fontId="106" fillId="43" borderId="61" xfId="0" applyFont="1" applyFill="1" applyBorder="1"/>
    <xf numFmtId="0" fontId="106" fillId="43" borderId="62" xfId="0" applyFont="1" applyFill="1" applyBorder="1"/>
    <xf numFmtId="0" fontId="106" fillId="0" borderId="47" xfId="0" applyFont="1" applyFill="1" applyBorder="1"/>
    <xf numFmtId="0" fontId="0" fillId="0" borderId="62" xfId="0" applyFont="1" applyFill="1" applyBorder="1"/>
    <xf numFmtId="0" fontId="0" fillId="0" borderId="64" xfId="0" applyFont="1" applyFill="1" applyBorder="1"/>
    <xf numFmtId="0" fontId="46" fillId="45" borderId="12" xfId="0" applyFont="1" applyFill="1" applyBorder="1" applyAlignment="1" applyProtection="1">
      <alignment horizontal="center" vertical="top"/>
      <protection locked="0"/>
    </xf>
    <xf numFmtId="0" fontId="41" fillId="45" borderId="12" xfId="0" applyFont="1" applyFill="1" applyBorder="1" applyAlignment="1" applyProtection="1">
      <alignment horizontal="center" vertical="top"/>
      <protection locked="0"/>
    </xf>
    <xf numFmtId="0" fontId="78" fillId="45" borderId="12" xfId="0" applyFont="1" applyFill="1" applyBorder="1" applyAlignment="1" applyProtection="1">
      <alignment horizontal="center" vertical="top"/>
      <protection locked="0"/>
    </xf>
    <xf numFmtId="0" fontId="78" fillId="9" borderId="12" xfId="0" applyFont="1" applyFill="1" applyBorder="1" applyAlignment="1" applyProtection="1">
      <alignment horizontal="center" vertical="top"/>
      <protection locked="0"/>
    </xf>
    <xf numFmtId="0" fontId="41" fillId="9" borderId="12" xfId="0" applyFont="1" applyFill="1" applyBorder="1" applyAlignment="1" applyProtection="1">
      <alignment horizontal="center" vertical="top"/>
      <protection locked="0"/>
    </xf>
    <xf numFmtId="0" fontId="41" fillId="9" borderId="12" xfId="0" applyFont="1" applyFill="1" applyBorder="1" applyAlignment="1" applyProtection="1">
      <alignment horizontal="center"/>
      <protection locked="0" hidden="1"/>
    </xf>
    <xf numFmtId="1" fontId="81" fillId="5" borderId="18" xfId="0" applyNumberFormat="1" applyFont="1" applyFill="1" applyBorder="1" applyAlignment="1" applyProtection="1">
      <alignment horizontal="center" vertical="top"/>
      <protection locked="0"/>
    </xf>
    <xf numFmtId="0" fontId="38" fillId="5" borderId="19" xfId="0" applyFont="1" applyFill="1" applyBorder="1" applyAlignment="1"/>
    <xf numFmtId="0" fontId="5" fillId="5" borderId="19" xfId="0" applyFont="1" applyFill="1" applyBorder="1" applyAlignment="1" applyProtection="1">
      <alignment horizontal="left" vertical="top"/>
      <protection locked="0"/>
    </xf>
    <xf numFmtId="0" fontId="78" fillId="5" borderId="19" xfId="0" applyFont="1" applyFill="1" applyBorder="1" applyAlignment="1" applyProtection="1">
      <alignment horizontal="center" vertical="top"/>
      <protection locked="0"/>
    </xf>
    <xf numFmtId="0" fontId="41" fillId="5" borderId="19" xfId="0" applyFont="1" applyFill="1" applyBorder="1" applyAlignment="1" applyProtection="1">
      <alignment horizontal="center" vertical="center"/>
      <protection locked="0" hidden="1"/>
    </xf>
    <xf numFmtId="0" fontId="41" fillId="5" borderId="19" xfId="0" applyFont="1" applyFill="1" applyBorder="1" applyAlignment="1" applyProtection="1">
      <alignment horizontal="center"/>
      <protection locked="0" hidden="1"/>
    </xf>
    <xf numFmtId="0" fontId="78" fillId="5" borderId="40" xfId="0" applyFont="1" applyFill="1" applyBorder="1" applyAlignment="1" applyProtection="1">
      <alignment horizontal="center" vertical="top"/>
      <protection locked="0"/>
    </xf>
    <xf numFmtId="0" fontId="0" fillId="5" borderId="19" xfId="0" applyFill="1" applyBorder="1"/>
    <xf numFmtId="44" fontId="3" fillId="5" borderId="20" xfId="0" applyNumberFormat="1" applyFont="1" applyFill="1" applyBorder="1"/>
    <xf numFmtId="0" fontId="46" fillId="6" borderId="12" xfId="0" applyFont="1" applyFill="1" applyBorder="1" applyAlignment="1" applyProtection="1">
      <alignment horizontal="center" vertical="top"/>
      <protection locked="0"/>
    </xf>
    <xf numFmtId="0" fontId="46" fillId="45" borderId="12" xfId="0" applyFont="1" applyFill="1" applyBorder="1" applyAlignment="1" applyProtection="1">
      <alignment horizontal="center"/>
      <protection locked="0" hidden="1"/>
    </xf>
    <xf numFmtId="0" fontId="78" fillId="6" borderId="12" xfId="0" applyFont="1" applyFill="1" applyBorder="1" applyAlignment="1" applyProtection="1">
      <alignment horizontal="center"/>
      <protection locked="0"/>
    </xf>
    <xf numFmtId="0" fontId="41" fillId="6" borderId="12" xfId="0" applyFont="1" applyFill="1" applyBorder="1" applyAlignment="1" applyProtection="1">
      <alignment horizontal="center"/>
      <protection locked="0"/>
    </xf>
    <xf numFmtId="0" fontId="41" fillId="5" borderId="19" xfId="0" applyFont="1" applyFill="1" applyBorder="1" applyAlignment="1" applyProtection="1">
      <alignment horizontal="center" vertical="top"/>
      <protection locked="0"/>
    </xf>
    <xf numFmtId="0" fontId="3" fillId="5" borderId="18" xfId="0" applyNumberFormat="1" applyFont="1" applyFill="1" applyBorder="1"/>
    <xf numFmtId="0" fontId="46" fillId="0" borderId="12" xfId="0" applyFont="1" applyFill="1" applyBorder="1" applyAlignment="1" applyProtection="1">
      <alignment horizontal="center" vertical="top"/>
      <protection locked="0"/>
    </xf>
    <xf numFmtId="0" fontId="98" fillId="14" borderId="12" xfId="0" applyFont="1" applyFill="1" applyBorder="1" applyAlignment="1">
      <alignment horizontal="center"/>
    </xf>
    <xf numFmtId="0" fontId="46" fillId="14" borderId="33" xfId="0" applyFont="1" applyFill="1" applyBorder="1" applyAlignment="1" applyProtection="1">
      <alignment horizontal="center" vertical="top"/>
      <protection locked="0"/>
    </xf>
    <xf numFmtId="0" fontId="42" fillId="14" borderId="12" xfId="0" applyFont="1" applyFill="1" applyBorder="1"/>
    <xf numFmtId="0" fontId="98" fillId="14" borderId="11" xfId="0" applyNumberFormat="1" applyFont="1" applyFill="1" applyBorder="1"/>
    <xf numFmtId="0" fontId="81" fillId="6" borderId="11" xfId="0" applyNumberFormat="1" applyFont="1" applyFill="1" applyBorder="1" applyAlignment="1">
      <alignment horizontal="center"/>
    </xf>
    <xf numFmtId="0" fontId="38" fillId="6" borderId="12" xfId="0" applyFont="1" applyFill="1" applyBorder="1" applyAlignment="1"/>
    <xf numFmtId="0" fontId="38" fillId="6" borderId="12" xfId="0" applyFont="1" applyFill="1" applyBorder="1" applyAlignment="1">
      <alignment horizontal="left"/>
    </xf>
    <xf numFmtId="0" fontId="78" fillId="6" borderId="33" xfId="0" applyFont="1" applyFill="1" applyBorder="1" applyAlignment="1" applyProtection="1">
      <alignment horizontal="center" vertical="top"/>
      <protection locked="0"/>
    </xf>
    <xf numFmtId="0" fontId="3" fillId="6" borderId="11" xfId="0" applyFont="1" applyFill="1" applyBorder="1" applyAlignment="1">
      <alignment horizontal="right"/>
    </xf>
    <xf numFmtId="0" fontId="0" fillId="6" borderId="12" xfId="0" applyFill="1" applyBorder="1"/>
    <xf numFmtId="44" fontId="3" fillId="6" borderId="13" xfId="0" applyNumberFormat="1" applyFont="1" applyFill="1" applyBorder="1"/>
    <xf numFmtId="0" fontId="3" fillId="6" borderId="11" xfId="0" applyNumberFormat="1" applyFont="1" applyFill="1" applyBorder="1"/>
    <xf numFmtId="0" fontId="0" fillId="0" borderId="0" xfId="0" applyFont="1" applyFill="1" applyBorder="1" applyAlignment="1">
      <alignment horizontal="center"/>
    </xf>
    <xf numFmtId="168" fontId="60" fillId="0" borderId="33" xfId="0" applyNumberFormat="1" applyFont="1" applyFill="1" applyBorder="1" applyAlignment="1">
      <alignment horizontal="center" vertical="center" wrapText="1" shrinkToFit="1"/>
    </xf>
    <xf numFmtId="168" fontId="60" fillId="0" borderId="46" xfId="0" applyNumberFormat="1" applyFont="1" applyFill="1" applyBorder="1" applyAlignment="1">
      <alignment horizontal="center" vertical="center" wrapText="1" shrinkToFit="1"/>
    </xf>
    <xf numFmtId="16" fontId="0" fillId="13" borderId="12" xfId="0" applyNumberFormat="1" applyFill="1" applyBorder="1" applyAlignment="1">
      <alignment horizontal="center" vertical="top"/>
    </xf>
    <xf numFmtId="168" fontId="60" fillId="0" borderId="40" xfId="0" applyNumberFormat="1" applyFont="1" applyFill="1" applyBorder="1" applyAlignment="1">
      <alignment horizontal="center" vertical="center" wrapText="1" shrinkToFit="1"/>
    </xf>
    <xf numFmtId="168" fontId="60" fillId="0" borderId="42" xfId="0" applyNumberFormat="1" applyFont="1" applyFill="1" applyBorder="1" applyAlignment="1">
      <alignment horizontal="center" vertical="center" wrapText="1" shrinkToFit="1"/>
    </xf>
    <xf numFmtId="0" fontId="0" fillId="13" borderId="40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0" fillId="13" borderId="41" xfId="0" applyFill="1" applyBorder="1" applyAlignment="1">
      <alignment horizontal="center"/>
    </xf>
    <xf numFmtId="168" fontId="60" fillId="0" borderId="47" xfId="0" applyNumberFormat="1" applyFont="1" applyFill="1" applyBorder="1" applyAlignment="1">
      <alignment horizontal="center" vertical="center" wrapText="1" shrinkToFit="1"/>
    </xf>
    <xf numFmtId="168" fontId="60" fillId="0" borderId="48" xfId="0" applyNumberFormat="1" applyFont="1" applyFill="1" applyBorder="1" applyAlignment="1">
      <alignment horizontal="center" vertical="center" wrapText="1" shrinkToFit="1"/>
    </xf>
    <xf numFmtId="16" fontId="3" fillId="0" borderId="36" xfId="0" applyNumberFormat="1" applyFont="1" applyBorder="1" applyAlignment="1">
      <alignment horizontal="center"/>
    </xf>
    <xf numFmtId="16" fontId="3" fillId="0" borderId="37" xfId="0" applyNumberFormat="1" applyFont="1" applyBorder="1" applyAlignment="1">
      <alignment horizontal="center"/>
    </xf>
    <xf numFmtId="16" fontId="3" fillId="0" borderId="46" xfId="0" applyNumberFormat="1" applyFont="1" applyBorder="1" applyAlignment="1">
      <alignment horizontal="center"/>
    </xf>
    <xf numFmtId="168" fontId="60" fillId="0" borderId="12" xfId="0" applyNumberFormat="1" applyFont="1" applyFill="1" applyBorder="1" applyAlignment="1">
      <alignment horizontal="center" vertical="center" wrapText="1" shrinkToFit="1"/>
    </xf>
    <xf numFmtId="168" fontId="60" fillId="0" borderId="13" xfId="0" applyNumberFormat="1" applyFont="1" applyFill="1" applyBorder="1" applyAlignment="1">
      <alignment horizontal="center" vertical="center" wrapText="1" shrinkToFit="1"/>
    </xf>
    <xf numFmtId="16" fontId="0" fillId="13" borderId="33" xfId="0" applyNumberFormat="1" applyFill="1" applyBorder="1" applyAlignment="1">
      <alignment horizontal="left" vertical="top"/>
    </xf>
    <xf numFmtId="16" fontId="0" fillId="13" borderId="37" xfId="0" applyNumberFormat="1" applyFill="1" applyBorder="1" applyAlignment="1">
      <alignment horizontal="left" vertical="top"/>
    </xf>
    <xf numFmtId="16" fontId="0" fillId="13" borderId="34" xfId="0" applyNumberFormat="1" applyFill="1" applyBorder="1" applyAlignment="1">
      <alignment horizontal="left" vertical="top"/>
    </xf>
    <xf numFmtId="0" fontId="58" fillId="0" borderId="45" xfId="0" applyFont="1" applyFill="1" applyBorder="1" applyAlignment="1">
      <alignment horizontal="center" vertical="center" shrinkToFit="1"/>
    </xf>
    <xf numFmtId="0" fontId="58" fillId="0" borderId="31" xfId="0" applyFont="1" applyFill="1" applyBorder="1" applyAlignment="1">
      <alignment horizontal="center" vertical="center" shrinkToFit="1"/>
    </xf>
    <xf numFmtId="16" fontId="3" fillId="0" borderId="4" xfId="0" applyNumberFormat="1" applyFont="1" applyBorder="1" applyAlignment="1">
      <alignment horizontal="center"/>
    </xf>
    <xf numFmtId="16" fontId="3" fillId="0" borderId="5" xfId="0" applyNumberFormat="1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0" fontId="4" fillId="13" borderId="33" xfId="0" applyFont="1" applyFill="1" applyBorder="1" applyAlignment="1">
      <alignment horizontal="left"/>
    </xf>
    <xf numFmtId="0" fontId="4" fillId="13" borderId="34" xfId="0" applyFont="1" applyFill="1" applyBorder="1" applyAlignment="1">
      <alignment horizontal="left"/>
    </xf>
    <xf numFmtId="0" fontId="4" fillId="13" borderId="36" xfId="0" applyFont="1" applyFill="1" applyBorder="1" applyAlignment="1">
      <alignment horizontal="left"/>
    </xf>
    <xf numFmtId="0" fontId="4" fillId="13" borderId="37" xfId="0" applyFont="1" applyFill="1" applyBorder="1" applyAlignment="1">
      <alignment horizontal="left"/>
    </xf>
    <xf numFmtId="0" fontId="4" fillId="13" borderId="40" xfId="0" applyFont="1" applyFill="1" applyBorder="1" applyAlignment="1">
      <alignment horizontal="left"/>
    </xf>
    <xf numFmtId="0" fontId="4" fillId="13" borderId="41" xfId="0" applyFont="1" applyFill="1" applyBorder="1" applyAlignment="1">
      <alignment horizontal="left"/>
    </xf>
    <xf numFmtId="0" fontId="4" fillId="13" borderId="43" xfId="0" applyFont="1" applyFill="1" applyBorder="1" applyAlignment="1">
      <alignment horizontal="left"/>
    </xf>
    <xf numFmtId="0" fontId="4" fillId="13" borderId="4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56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 shrinkToFit="1"/>
    </xf>
    <xf numFmtId="0" fontId="7" fillId="5" borderId="5" xfId="0" applyFont="1" applyFill="1" applyBorder="1" applyAlignment="1">
      <alignment horizontal="center" vertical="center" wrapText="1" shrinkToFit="1"/>
    </xf>
    <xf numFmtId="0" fontId="7" fillId="5" borderId="31" xfId="0" applyFont="1" applyFill="1" applyBorder="1" applyAlignment="1">
      <alignment horizontal="center" vertical="center" wrapText="1" shrinkToFit="1"/>
    </xf>
    <xf numFmtId="0" fontId="7" fillId="0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80" fillId="18" borderId="21" xfId="0" applyFont="1" applyFill="1" applyBorder="1" applyAlignment="1">
      <alignment horizontal="center" wrapText="1"/>
    </xf>
    <xf numFmtId="0" fontId="80" fillId="18" borderId="22" xfId="0" applyFont="1" applyFill="1" applyBorder="1" applyAlignment="1">
      <alignment horizontal="center" wrapText="1"/>
    </xf>
    <xf numFmtId="0" fontId="80" fillId="18" borderId="7" xfId="0" applyFont="1" applyFill="1" applyBorder="1" applyAlignment="1">
      <alignment horizontal="center" wrapText="1"/>
    </xf>
    <xf numFmtId="1" fontId="78" fillId="11" borderId="11" xfId="0" applyNumberFormat="1" applyFont="1" applyFill="1" applyBorder="1" applyAlignment="1" applyProtection="1">
      <alignment horizontal="center"/>
      <protection locked="0"/>
    </xf>
    <xf numFmtId="1" fontId="78" fillId="11" borderId="12" xfId="0" applyNumberFormat="1" applyFont="1" applyFill="1" applyBorder="1" applyAlignment="1" applyProtection="1">
      <alignment horizontal="center"/>
      <protection locked="0"/>
    </xf>
    <xf numFmtId="1" fontId="78" fillId="11" borderId="33" xfId="0" applyNumberFormat="1" applyFont="1" applyFill="1" applyBorder="1" applyAlignment="1" applyProtection="1">
      <alignment horizontal="center"/>
      <protection locked="0"/>
    </xf>
    <xf numFmtId="0" fontId="80" fillId="30" borderId="11" xfId="0" applyFont="1" applyFill="1" applyBorder="1" applyAlignment="1">
      <alignment horizontal="center"/>
    </xf>
    <xf numFmtId="0" fontId="80" fillId="30" borderId="12" xfId="0" applyFont="1" applyFill="1" applyBorder="1" applyAlignment="1">
      <alignment horizontal="center"/>
    </xf>
    <xf numFmtId="0" fontId="80" fillId="30" borderId="13" xfId="0" applyFont="1" applyFill="1" applyBorder="1" applyAlignment="1">
      <alignment horizontal="center"/>
    </xf>
    <xf numFmtId="0" fontId="88" fillId="0" borderId="49" xfId="0" applyFont="1" applyBorder="1" applyAlignment="1">
      <alignment horizontal="center"/>
    </xf>
    <xf numFmtId="0" fontId="88" fillId="0" borderId="50" xfId="0" applyFont="1" applyBorder="1" applyAlignment="1">
      <alignment horizontal="center"/>
    </xf>
    <xf numFmtId="0" fontId="88" fillId="0" borderId="51" xfId="0" applyFont="1" applyBorder="1" applyAlignment="1">
      <alignment horizontal="center"/>
    </xf>
    <xf numFmtId="0" fontId="97" fillId="30" borderId="22" xfId="0" applyFont="1" applyFill="1" applyBorder="1" applyAlignment="1">
      <alignment horizontal="center" vertical="center" wrapText="1"/>
    </xf>
    <xf numFmtId="0" fontId="97" fillId="30" borderId="12" xfId="0" applyFont="1" applyFill="1" applyBorder="1" applyAlignment="1">
      <alignment horizontal="center" vertical="center" wrapText="1"/>
    </xf>
    <xf numFmtId="0" fontId="80" fillId="18" borderId="11" xfId="0" applyFont="1" applyFill="1" applyBorder="1" applyAlignment="1">
      <alignment horizontal="center"/>
    </xf>
    <xf numFmtId="0" fontId="80" fillId="18" borderId="12" xfId="0" applyFont="1" applyFill="1" applyBorder="1" applyAlignment="1">
      <alignment horizontal="center"/>
    </xf>
    <xf numFmtId="0" fontId="80" fillId="18" borderId="13" xfId="0" applyFont="1" applyFill="1" applyBorder="1" applyAlignment="1">
      <alignment horizontal="center"/>
    </xf>
    <xf numFmtId="1" fontId="78" fillId="11" borderId="13" xfId="0" applyNumberFormat="1" applyFont="1" applyFill="1" applyBorder="1" applyAlignment="1" applyProtection="1">
      <alignment horizontal="center"/>
      <protection locked="0"/>
    </xf>
    <xf numFmtId="0" fontId="97" fillId="30" borderId="21" xfId="0" applyFont="1" applyFill="1" applyBorder="1" applyAlignment="1">
      <alignment horizontal="center" vertical="center" wrapText="1"/>
    </xf>
    <xf numFmtId="0" fontId="97" fillId="30" borderId="11" xfId="0" applyFont="1" applyFill="1" applyBorder="1" applyAlignment="1">
      <alignment horizontal="center" vertical="center" wrapText="1"/>
    </xf>
    <xf numFmtId="0" fontId="81" fillId="11" borderId="11" xfId="0" applyNumberFormat="1" applyFont="1" applyFill="1" applyBorder="1" applyAlignment="1">
      <alignment horizontal="center"/>
    </xf>
    <xf numFmtId="0" fontId="81" fillId="11" borderId="12" xfId="0" applyNumberFormat="1" applyFont="1" applyFill="1" applyBorder="1" applyAlignment="1">
      <alignment horizontal="center"/>
    </xf>
    <xf numFmtId="0" fontId="81" fillId="11" borderId="13" xfId="0" applyNumberFormat="1" applyFont="1" applyFill="1" applyBorder="1" applyAlignment="1">
      <alignment horizontal="center"/>
    </xf>
    <xf numFmtId="0" fontId="97" fillId="30" borderId="56" xfId="0" applyFont="1" applyFill="1" applyBorder="1" applyAlignment="1">
      <alignment horizontal="center" vertical="center" wrapText="1"/>
    </xf>
    <xf numFmtId="0" fontId="97" fillId="30" borderId="27" xfId="0" applyFont="1" applyFill="1" applyBorder="1" applyAlignment="1">
      <alignment horizontal="center" vertical="center" wrapText="1"/>
    </xf>
    <xf numFmtId="0" fontId="97" fillId="30" borderId="54" xfId="0" applyFont="1" applyFill="1" applyBorder="1" applyAlignment="1">
      <alignment horizontal="center" vertical="center" wrapText="1"/>
    </xf>
    <xf numFmtId="0" fontId="97" fillId="30" borderId="57" xfId="0" applyFont="1" applyFill="1" applyBorder="1" applyAlignment="1">
      <alignment horizontal="center" vertical="center" wrapText="1"/>
    </xf>
    <xf numFmtId="0" fontId="97" fillId="30" borderId="55" xfId="0" applyFont="1" applyFill="1" applyBorder="1" applyAlignment="1">
      <alignment horizontal="center" vertical="center" wrapText="1"/>
    </xf>
    <xf numFmtId="0" fontId="97" fillId="30" borderId="26" xfId="0" applyFont="1" applyFill="1" applyBorder="1" applyAlignment="1">
      <alignment horizontal="center" vertical="center" wrapText="1"/>
    </xf>
    <xf numFmtId="0" fontId="97" fillId="30" borderId="7" xfId="0" applyFont="1" applyFill="1" applyBorder="1" applyAlignment="1">
      <alignment horizontal="center" vertical="center" wrapText="1"/>
    </xf>
    <xf numFmtId="0" fontId="97" fillId="30" borderId="13" xfId="0" applyFont="1" applyFill="1" applyBorder="1" applyAlignment="1">
      <alignment horizontal="center" vertical="center" wrapText="1"/>
    </xf>
    <xf numFmtId="0" fontId="80" fillId="14" borderId="11" xfId="0" applyFont="1" applyFill="1" applyBorder="1" applyAlignment="1">
      <alignment horizontal="center"/>
    </xf>
    <xf numFmtId="0" fontId="80" fillId="14" borderId="12" xfId="0" applyFont="1" applyFill="1" applyBorder="1" applyAlignment="1">
      <alignment horizontal="center"/>
    </xf>
    <xf numFmtId="0" fontId="80" fillId="14" borderId="13" xfId="0" applyFont="1" applyFill="1" applyBorder="1" applyAlignment="1">
      <alignment horizontal="center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80" fillId="18" borderId="11" xfId="0" applyFont="1" applyFill="1" applyBorder="1" applyAlignment="1">
      <alignment horizontal="center" vertical="center" wrapText="1"/>
    </xf>
    <xf numFmtId="0" fontId="80" fillId="18" borderId="12" xfId="0" applyFont="1" applyFill="1" applyBorder="1" applyAlignment="1">
      <alignment horizontal="center" vertical="center" wrapText="1"/>
    </xf>
    <xf numFmtId="0" fontId="80" fillId="18" borderId="13" xfId="0" applyFont="1" applyFill="1" applyBorder="1" applyAlignment="1">
      <alignment horizontal="center" vertical="center" wrapText="1"/>
    </xf>
    <xf numFmtId="0" fontId="80" fillId="11" borderId="11" xfId="0" applyFont="1" applyFill="1" applyBorder="1" applyAlignment="1">
      <alignment horizontal="center"/>
    </xf>
    <xf numFmtId="0" fontId="80" fillId="11" borderId="12" xfId="0" applyFont="1" applyFill="1" applyBorder="1" applyAlignment="1">
      <alignment horizontal="center"/>
    </xf>
    <xf numFmtId="0" fontId="80" fillId="11" borderId="13" xfId="0" applyFont="1" applyFill="1" applyBorder="1" applyAlignment="1">
      <alignment horizontal="center"/>
    </xf>
    <xf numFmtId="0" fontId="80" fillId="11" borderId="33" xfId="0" applyFont="1" applyFill="1" applyBorder="1" applyAlignment="1">
      <alignment horizontal="center"/>
    </xf>
    <xf numFmtId="0" fontId="3" fillId="35" borderId="12" xfId="0" applyFont="1" applyFill="1" applyBorder="1" applyAlignment="1">
      <alignment horizontal="center"/>
    </xf>
    <xf numFmtId="0" fontId="95" fillId="35" borderId="53" xfId="0" applyFont="1" applyFill="1" applyBorder="1" applyAlignment="1">
      <alignment horizontal="center" vertical="center" textRotation="90" wrapText="1"/>
    </xf>
    <xf numFmtId="0" fontId="95" fillId="35" borderId="29" xfId="0" applyFont="1" applyFill="1" applyBorder="1" applyAlignment="1">
      <alignment horizontal="center" vertical="center" textRotation="90" wrapText="1"/>
    </xf>
    <xf numFmtId="0" fontId="95" fillId="35" borderId="27" xfId="0" applyFont="1" applyFill="1" applyBorder="1" applyAlignment="1">
      <alignment horizontal="center" vertical="center" textRotation="90" wrapText="1"/>
    </xf>
    <xf numFmtId="0" fontId="80" fillId="30" borderId="0" xfId="0" applyFont="1" applyFill="1" applyBorder="1" applyAlignment="1">
      <alignment horizontal="center"/>
    </xf>
    <xf numFmtId="0" fontId="81" fillId="11" borderId="0" xfId="0" applyNumberFormat="1" applyFont="1" applyFill="1" applyBorder="1" applyAlignment="1">
      <alignment horizontal="center"/>
    </xf>
    <xf numFmtId="0" fontId="80" fillId="18" borderId="0" xfId="0" applyFont="1" applyFill="1" applyBorder="1" applyAlignment="1">
      <alignment horizontal="center" wrapText="1"/>
    </xf>
    <xf numFmtId="1" fontId="78" fillId="11" borderId="0" xfId="0" applyNumberFormat="1" applyFont="1" applyFill="1" applyBorder="1" applyAlignment="1" applyProtection="1">
      <alignment horizontal="center"/>
      <protection locked="0"/>
    </xf>
    <xf numFmtId="0" fontId="80" fillId="18" borderId="0" xfId="0" applyFont="1" applyFill="1" applyBorder="1" applyAlignment="1">
      <alignment horizontal="center"/>
    </xf>
    <xf numFmtId="0" fontId="97" fillId="35" borderId="12" xfId="0" applyFont="1" applyFill="1" applyBorder="1" applyAlignment="1">
      <alignment horizontal="center"/>
    </xf>
    <xf numFmtId="1" fontId="78" fillId="30" borderId="12" xfId="0" applyNumberFormat="1" applyFont="1" applyFill="1" applyBorder="1" applyAlignment="1" applyProtection="1">
      <alignment horizontal="left"/>
      <protection locked="0"/>
    </xf>
    <xf numFmtId="0" fontId="81" fillId="30" borderId="0" xfId="0" applyNumberFormat="1" applyFont="1" applyFill="1" applyBorder="1" applyAlignment="1">
      <alignment horizontal="left"/>
    </xf>
    <xf numFmtId="0" fontId="80" fillId="18" borderId="3" xfId="0" applyFont="1" applyFill="1" applyBorder="1" applyAlignment="1">
      <alignment horizontal="center" wrapText="1"/>
    </xf>
    <xf numFmtId="0" fontId="80" fillId="18" borderId="1" xfId="0" applyFont="1" applyFill="1" applyBorder="1" applyAlignment="1">
      <alignment horizontal="center" wrapText="1"/>
    </xf>
    <xf numFmtId="1" fontId="78" fillId="11" borderId="10" xfId="0" applyNumberFormat="1" applyFont="1" applyFill="1" applyBorder="1" applyAlignment="1" applyProtection="1">
      <alignment horizontal="center"/>
      <protection locked="0"/>
    </xf>
    <xf numFmtId="0" fontId="3" fillId="35" borderId="21" xfId="0" applyFont="1" applyFill="1" applyBorder="1" applyAlignment="1">
      <alignment horizontal="center"/>
    </xf>
    <xf numFmtId="0" fontId="3" fillId="35" borderId="22" xfId="0" applyFont="1" applyFill="1" applyBorder="1" applyAlignment="1">
      <alignment horizontal="center"/>
    </xf>
    <xf numFmtId="0" fontId="3" fillId="35" borderId="7" xfId="0" applyFont="1" applyFill="1" applyBorder="1" applyAlignment="1">
      <alignment horizontal="center"/>
    </xf>
    <xf numFmtId="0" fontId="95" fillId="35" borderId="13" xfId="0" applyFont="1" applyFill="1" applyBorder="1" applyAlignment="1">
      <alignment horizontal="center" vertical="center" textRotation="90" wrapText="1"/>
    </xf>
    <xf numFmtId="0" fontId="95" fillId="35" borderId="11" xfId="0" applyFont="1" applyFill="1" applyBorder="1" applyAlignment="1">
      <alignment horizontal="center" vertical="center" textRotation="90" wrapText="1"/>
    </xf>
    <xf numFmtId="0" fontId="95" fillId="35" borderId="12" xfId="0" applyFont="1" applyFill="1" applyBorder="1" applyAlignment="1">
      <alignment horizontal="center" vertical="center" textRotation="90" wrapText="1"/>
    </xf>
    <xf numFmtId="0" fontId="80" fillId="11" borderId="0" xfId="0" applyFont="1" applyFill="1" applyBorder="1" applyAlignment="1">
      <alignment horizontal="center"/>
    </xf>
    <xf numFmtId="44" fontId="51" fillId="32" borderId="49" xfId="0" applyNumberFormat="1" applyFont="1" applyFill="1" applyBorder="1" applyAlignment="1">
      <alignment horizontal="center"/>
    </xf>
    <xf numFmtId="44" fontId="51" fillId="32" borderId="50" xfId="0" applyNumberFormat="1" applyFont="1" applyFill="1" applyBorder="1" applyAlignment="1">
      <alignment horizontal="center"/>
    </xf>
    <xf numFmtId="44" fontId="51" fillId="32" borderId="51" xfId="0" applyNumberFormat="1" applyFont="1" applyFill="1" applyBorder="1" applyAlignment="1">
      <alignment horizontal="center"/>
    </xf>
    <xf numFmtId="2" fontId="67" fillId="0" borderId="49" xfId="0" applyNumberFormat="1" applyFont="1" applyFill="1" applyBorder="1" applyAlignment="1">
      <alignment horizontal="center"/>
    </xf>
    <xf numFmtId="2" fontId="67" fillId="0" borderId="50" xfId="0" applyNumberFormat="1" applyFont="1" applyFill="1" applyBorder="1" applyAlignment="1">
      <alignment horizontal="center"/>
    </xf>
    <xf numFmtId="2" fontId="67" fillId="0" borderId="51" xfId="0" applyNumberFormat="1" applyFont="1" applyFill="1" applyBorder="1" applyAlignment="1">
      <alignment horizontal="center"/>
    </xf>
    <xf numFmtId="0" fontId="106" fillId="6" borderId="61" xfId="0" applyFont="1" applyFill="1" applyBorder="1" applyAlignment="1">
      <alignment horizontal="center"/>
    </xf>
    <xf numFmtId="0" fontId="106" fillId="6" borderId="62" xfId="0" applyFont="1" applyFill="1" applyBorder="1" applyAlignment="1">
      <alignment horizontal="center"/>
    </xf>
    <xf numFmtId="0" fontId="106" fillId="42" borderId="0" xfId="0" applyFont="1" applyFill="1" applyBorder="1" applyAlignment="1">
      <alignment horizontal="center"/>
    </xf>
    <xf numFmtId="0" fontId="106" fillId="42" borderId="62" xfId="0" applyFont="1" applyFill="1" applyBorder="1" applyAlignment="1">
      <alignment horizontal="center"/>
    </xf>
    <xf numFmtId="0" fontId="106" fillId="42" borderId="61" xfId="0" applyFont="1" applyFill="1" applyBorder="1" applyAlignment="1">
      <alignment horizontal="center"/>
    </xf>
    <xf numFmtId="19" fontId="106" fillId="6" borderId="61" xfId="0" applyNumberFormat="1" applyFont="1" applyFill="1" applyBorder="1" applyAlignment="1">
      <alignment horizontal="center"/>
    </xf>
    <xf numFmtId="19" fontId="106" fillId="6" borderId="62" xfId="0" applyNumberFormat="1" applyFont="1" applyFill="1" applyBorder="1" applyAlignment="1">
      <alignment horizontal="center"/>
    </xf>
    <xf numFmtId="0" fontId="106" fillId="6" borderId="0" xfId="0" applyFont="1" applyFill="1" applyBorder="1" applyAlignment="1">
      <alignment horizontal="center"/>
    </xf>
    <xf numFmtId="19" fontId="106" fillId="6" borderId="0" xfId="0" applyNumberFormat="1" applyFont="1" applyFill="1" applyBorder="1" applyAlignment="1">
      <alignment horizontal="center"/>
    </xf>
    <xf numFmtId="0" fontId="106" fillId="43" borderId="61" xfId="0" applyFont="1" applyFill="1" applyBorder="1" applyAlignment="1">
      <alignment horizontal="center"/>
    </xf>
    <xf numFmtId="0" fontId="106" fillId="43" borderId="62" xfId="0" applyFont="1" applyFill="1" applyBorder="1" applyAlignment="1">
      <alignment horizontal="center"/>
    </xf>
    <xf numFmtId="0" fontId="106" fillId="34" borderId="61" xfId="0" applyFont="1" applyFill="1" applyBorder="1" applyAlignment="1">
      <alignment horizontal="center"/>
    </xf>
    <xf numFmtId="0" fontId="106" fillId="34" borderId="6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06" fillId="11" borderId="0" xfId="0" applyFont="1" applyFill="1" applyBorder="1" applyAlignment="1">
      <alignment horizontal="center"/>
    </xf>
    <xf numFmtId="0" fontId="106" fillId="11" borderId="62" xfId="0" applyFont="1" applyFill="1" applyBorder="1" applyAlignment="1">
      <alignment horizontal="center"/>
    </xf>
    <xf numFmtId="0" fontId="106" fillId="11" borderId="61" xfId="0" applyFont="1" applyFill="1" applyBorder="1" applyAlignment="1">
      <alignment horizontal="center"/>
    </xf>
  </cellXfs>
  <cellStyles count="9">
    <cellStyle name="Millares" xfId="1" builtinId="3"/>
    <cellStyle name="Moneda" xfId="2" builtinId="4"/>
    <cellStyle name="Moneda 2" xfId="4"/>
    <cellStyle name="Moneda 4" xfId="6"/>
    <cellStyle name="Moneda 4 3" xfId="7"/>
    <cellStyle name="Normal" xfId="0" builtinId="0"/>
    <cellStyle name="Normal 2" xfId="5"/>
    <cellStyle name="Normal 3" xfId="3"/>
    <cellStyle name="Normal 4" xfId="8"/>
  </cellStyles>
  <dxfs count="49"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AEC88E"/>
      <color rgb="FFFFCC66"/>
      <color rgb="FFFC9AE2"/>
      <color rgb="FFF4E6C4"/>
      <color rgb="FFFCE6C4"/>
      <color rgb="FFFCE4D6"/>
      <color rgb="FFEDC497"/>
      <color rgb="FFFFDF79"/>
      <color rgb="FFF9DDA5"/>
      <color rgb="FF3A6C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F389"/>
  <sheetViews>
    <sheetView view="pageBreakPreview" topLeftCell="D1" zoomScaleNormal="100" zoomScaleSheetLayoutView="100" workbookViewId="0">
      <pane ySplit="1" topLeftCell="A2" activePane="bottomLeft" state="frozen"/>
      <selection pane="bottomLeft" activeCell="D33" sqref="D33"/>
    </sheetView>
  </sheetViews>
  <sheetFormatPr baseColWidth="10" defaultColWidth="11.44140625" defaultRowHeight="409.6" customHeight="1" x14ac:dyDescent="0.35"/>
  <cols>
    <col min="1" max="1" width="1.44140625" style="232" customWidth="1"/>
    <col min="2" max="2" width="8.88671875" customWidth="1"/>
    <col min="3" max="3" width="6.5546875" customWidth="1"/>
    <col min="4" max="4" width="41.109375" style="107" customWidth="1"/>
    <col min="5" max="5" width="6.88671875" style="220" customWidth="1"/>
    <col min="6" max="6" width="7.88671875" style="221" customWidth="1"/>
    <col min="7" max="7" width="7.88671875" customWidth="1"/>
    <col min="8" max="9" width="5.33203125" customWidth="1"/>
    <col min="10" max="10" width="3.109375" customWidth="1"/>
    <col min="11" max="11" width="5.44140625" customWidth="1"/>
    <col min="12" max="12" width="4.44140625" style="181" customWidth="1"/>
    <col min="13" max="13" width="5" style="181" customWidth="1"/>
    <col min="14" max="14" width="4.109375" style="181" customWidth="1"/>
    <col min="15" max="15" width="4.5546875" style="181" customWidth="1"/>
    <col min="16" max="16" width="3.5546875" customWidth="1"/>
    <col min="17" max="17" width="11.6640625" customWidth="1"/>
    <col min="18" max="18" width="16.5546875" style="182" customWidth="1"/>
    <col min="19" max="19" width="4.5546875" style="229" bestFit="1" customWidth="1"/>
    <col min="20" max="20" width="12.88671875" bestFit="1" customWidth="1"/>
    <col min="21" max="21" width="5.33203125" bestFit="1" customWidth="1"/>
    <col min="22" max="22" width="17.88671875" style="154" bestFit="1" customWidth="1"/>
    <col min="23" max="23" width="14.109375" bestFit="1" customWidth="1"/>
    <col min="24" max="24" width="9.88671875" bestFit="1" customWidth="1"/>
    <col min="25" max="25" width="9.6640625" bestFit="1" customWidth="1"/>
    <col min="26" max="26" width="12.6640625" bestFit="1" customWidth="1"/>
    <col min="27" max="27" width="9.33203125" bestFit="1" customWidth="1"/>
    <col min="28" max="28" width="14.109375" bestFit="1" customWidth="1"/>
    <col min="29" max="29" width="9.88671875" bestFit="1" customWidth="1"/>
    <col min="30" max="30" width="9.6640625" bestFit="1" customWidth="1"/>
    <col min="31" max="31" width="12.6640625" bestFit="1" customWidth="1"/>
    <col min="32" max="32" width="9.33203125" bestFit="1" customWidth="1"/>
    <col min="33" max="33" width="14.109375" bestFit="1" customWidth="1"/>
    <col min="34" max="34" width="9.88671875" bestFit="1" customWidth="1"/>
    <col min="35" max="35" width="9.6640625" bestFit="1" customWidth="1"/>
    <col min="36" max="36" width="12.6640625" bestFit="1" customWidth="1"/>
    <col min="37" max="37" width="9.33203125" bestFit="1" customWidth="1"/>
    <col min="38" max="38" width="14.109375" bestFit="1" customWidth="1"/>
    <col min="39" max="39" width="9.88671875" bestFit="1" customWidth="1"/>
    <col min="40" max="40" width="9.6640625" bestFit="1" customWidth="1"/>
    <col min="41" max="41" width="12.6640625" bestFit="1" customWidth="1"/>
    <col min="42" max="42" width="9.33203125" bestFit="1" customWidth="1"/>
    <col min="43" max="43" width="14.109375" bestFit="1" customWidth="1"/>
    <col min="44" max="44" width="9.88671875" bestFit="1" customWidth="1"/>
    <col min="45" max="45" width="9.6640625" bestFit="1" customWidth="1"/>
    <col min="46" max="46" width="12.6640625" bestFit="1" customWidth="1"/>
    <col min="47" max="47" width="9.33203125" bestFit="1" customWidth="1"/>
    <col min="48" max="48" width="14.109375" bestFit="1" customWidth="1"/>
    <col min="49" max="49" width="9.88671875" bestFit="1" customWidth="1"/>
    <col min="50" max="50" width="9.6640625" bestFit="1" customWidth="1"/>
    <col min="51" max="51" width="12.6640625" bestFit="1" customWidth="1"/>
    <col min="52" max="52" width="14.88671875" customWidth="1"/>
    <col min="53" max="53" width="13" bestFit="1" customWidth="1"/>
    <col min="54" max="54" width="5.6640625" style="15" hidden="1" customWidth="1"/>
    <col min="55" max="55" width="6.5546875" style="15" hidden="1" customWidth="1"/>
    <col min="56" max="56" width="4.44140625" style="15" hidden="1" customWidth="1"/>
    <col min="57" max="57" width="6.33203125" style="15" hidden="1" customWidth="1"/>
    <col min="58" max="58" width="1.6640625" style="15" hidden="1" customWidth="1"/>
    <col min="59" max="59" width="8.88671875" style="16" hidden="1" customWidth="1"/>
    <col min="60" max="60" width="5.33203125" style="17" customWidth="1"/>
    <col min="61" max="61" width="10.5546875" style="18" customWidth="1"/>
    <col min="62" max="62" width="10" style="18" customWidth="1"/>
    <col min="63" max="63" width="10.88671875" style="18" customWidth="1"/>
    <col min="64" max="64" width="10.44140625" style="18" customWidth="1"/>
    <col min="65" max="65" width="10" style="18" customWidth="1"/>
    <col min="66" max="66" width="11.44140625" style="18" customWidth="1"/>
    <col min="67" max="67" width="11.44140625" style="124" customWidth="1"/>
    <col min="68" max="68" width="11" style="129" customWidth="1"/>
    <col min="69" max="69" width="5.44140625" style="22" customWidth="1"/>
    <col min="70" max="71" width="7.109375" style="22" customWidth="1"/>
    <col min="72" max="72" width="11.44140625" style="22"/>
    <col min="73" max="73" width="7.109375" style="232" customWidth="1"/>
    <col min="74" max="16384" width="11.44140625" style="22"/>
  </cols>
  <sheetData>
    <row r="1" spans="1:214" ht="16.5" thickBot="1" x14ac:dyDescent="0.3">
      <c r="A1" s="1">
        <v>1</v>
      </c>
      <c r="B1" s="2"/>
      <c r="C1" s="3"/>
      <c r="D1" s="4"/>
      <c r="E1" s="5"/>
      <c r="F1" s="6"/>
      <c r="G1" s="341"/>
      <c r="H1" s="341"/>
      <c r="I1" s="341"/>
      <c r="J1" s="341"/>
      <c r="K1" s="341"/>
      <c r="L1" s="341"/>
      <c r="M1" s="7"/>
      <c r="N1" s="341"/>
      <c r="O1" s="341"/>
      <c r="P1" s="341"/>
      <c r="Q1" s="8"/>
      <c r="R1" s="9"/>
      <c r="S1" s="10"/>
      <c r="T1" s="11"/>
      <c r="U1" s="11"/>
      <c r="V1" s="12"/>
      <c r="W1" s="854"/>
      <c r="X1" s="854"/>
      <c r="Y1" s="854"/>
      <c r="Z1" s="855"/>
      <c r="AA1" s="854" t="s">
        <v>0</v>
      </c>
      <c r="AB1" s="854"/>
      <c r="AC1" s="854"/>
      <c r="AD1" s="854"/>
      <c r="AE1" s="855"/>
      <c r="AF1" s="853" t="s">
        <v>1</v>
      </c>
      <c r="AG1" s="854"/>
      <c r="AH1" s="854"/>
      <c r="AI1" s="854"/>
      <c r="AJ1" s="855"/>
      <c r="AK1" s="853" t="s">
        <v>2</v>
      </c>
      <c r="AL1" s="854"/>
      <c r="AM1" s="854"/>
      <c r="AN1" s="854"/>
      <c r="AO1" s="855"/>
      <c r="AP1" s="853" t="s">
        <v>3</v>
      </c>
      <c r="AQ1" s="854"/>
      <c r="AR1" s="854"/>
      <c r="AS1" s="854"/>
      <c r="AT1" s="855"/>
      <c r="AU1" s="853" t="s">
        <v>4</v>
      </c>
      <c r="AV1" s="854"/>
      <c r="AW1" s="854"/>
      <c r="AX1" s="854"/>
      <c r="AY1" s="855"/>
      <c r="AZ1" s="13"/>
      <c r="BA1" s="14"/>
      <c r="BO1" s="19"/>
      <c r="BP1" s="20"/>
      <c r="BQ1" s="21"/>
      <c r="BR1" s="9"/>
      <c r="BS1" s="9"/>
      <c r="BU1" s="1">
        <v>1</v>
      </c>
    </row>
    <row r="2" spans="1:214" ht="30.75" customHeight="1" thickBot="1" x14ac:dyDescent="0.35">
      <c r="A2" s="1">
        <v>2</v>
      </c>
      <c r="B2" s="845" t="s">
        <v>5</v>
      </c>
      <c r="C2" s="846"/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  <c r="O2" s="846"/>
      <c r="P2" s="846"/>
      <c r="Q2" s="846"/>
      <c r="R2" s="23"/>
      <c r="S2" s="10"/>
      <c r="T2" s="24" t="s">
        <v>6</v>
      </c>
      <c r="U2" s="24" t="s">
        <v>7</v>
      </c>
      <c r="V2" s="25" t="s">
        <v>159</v>
      </c>
      <c r="W2" s="26"/>
      <c r="X2" s="27">
        <v>7.18</v>
      </c>
      <c r="Y2" s="27">
        <v>7.18</v>
      </c>
      <c r="Z2" s="28"/>
      <c r="AA2" s="26"/>
      <c r="AB2" s="26"/>
      <c r="AC2" s="26"/>
      <c r="AD2" s="26"/>
      <c r="AE2" s="28"/>
      <c r="AF2" s="29"/>
      <c r="AG2" s="26"/>
      <c r="AH2" s="26"/>
      <c r="AI2" s="26"/>
      <c r="AJ2" s="28"/>
      <c r="AK2" s="29"/>
      <c r="AL2" s="26"/>
      <c r="AM2" s="26"/>
      <c r="AN2" s="26"/>
      <c r="AO2" s="28"/>
      <c r="AP2" s="29"/>
      <c r="AQ2" s="26"/>
      <c r="AR2" s="26"/>
      <c r="AS2" s="26"/>
      <c r="AT2" s="28"/>
      <c r="AU2" s="29"/>
      <c r="AV2" s="26"/>
      <c r="AW2" s="26"/>
      <c r="AX2" s="26"/>
      <c r="AY2" s="28"/>
      <c r="AZ2" s="13"/>
      <c r="BA2" s="30">
        <v>0</v>
      </c>
      <c r="BO2" s="31"/>
      <c r="BP2" s="32"/>
      <c r="BQ2" s="21"/>
      <c r="BR2" s="9"/>
      <c r="BS2" s="9"/>
      <c r="BU2" s="1">
        <v>2</v>
      </c>
    </row>
    <row r="3" spans="1:214" ht="15.75" x14ac:dyDescent="0.25">
      <c r="A3" s="1">
        <v>3</v>
      </c>
      <c r="B3" s="33"/>
      <c r="C3" s="34"/>
      <c r="D3" s="35"/>
      <c r="E3" s="36" t="s">
        <v>8</v>
      </c>
      <c r="F3" s="37"/>
      <c r="G3" s="36" t="s">
        <v>9</v>
      </c>
      <c r="H3" s="36"/>
      <c r="I3" s="36" t="s">
        <v>9</v>
      </c>
      <c r="J3" s="36"/>
      <c r="K3" s="36" t="s">
        <v>10</v>
      </c>
      <c r="L3" s="36"/>
      <c r="M3" s="36" t="s">
        <v>11</v>
      </c>
      <c r="N3" s="36"/>
      <c r="O3" s="36" t="s">
        <v>12</v>
      </c>
      <c r="P3" s="38"/>
      <c r="Q3" s="38"/>
      <c r="R3" s="39" t="s">
        <v>13</v>
      </c>
      <c r="S3" s="10"/>
      <c r="T3" s="11"/>
      <c r="U3" s="11"/>
      <c r="V3" s="40">
        <v>0</v>
      </c>
      <c r="W3" s="41" t="s">
        <v>14</v>
      </c>
      <c r="X3" s="42" t="s">
        <v>15</v>
      </c>
      <c r="Y3" s="42" t="s">
        <v>16</v>
      </c>
      <c r="Z3" s="43" t="s">
        <v>17</v>
      </c>
      <c r="AA3" s="41" t="s">
        <v>18</v>
      </c>
      <c r="AB3" s="41" t="s">
        <v>14</v>
      </c>
      <c r="AC3" s="42" t="s">
        <v>15</v>
      </c>
      <c r="AD3" s="42" t="s">
        <v>16</v>
      </c>
      <c r="AE3" s="43" t="s">
        <v>17</v>
      </c>
      <c r="AF3" s="41" t="s">
        <v>18</v>
      </c>
      <c r="AG3" s="41" t="s">
        <v>14</v>
      </c>
      <c r="AH3" s="42" t="s">
        <v>15</v>
      </c>
      <c r="AI3" s="42" t="s">
        <v>16</v>
      </c>
      <c r="AJ3" s="43" t="s">
        <v>17</v>
      </c>
      <c r="AK3" s="41" t="s">
        <v>18</v>
      </c>
      <c r="AL3" s="41" t="s">
        <v>14</v>
      </c>
      <c r="AM3" s="42" t="s">
        <v>15</v>
      </c>
      <c r="AN3" s="42" t="s">
        <v>16</v>
      </c>
      <c r="AO3" s="43" t="s">
        <v>17</v>
      </c>
      <c r="AP3" s="41" t="s">
        <v>18</v>
      </c>
      <c r="AQ3" s="41" t="s">
        <v>14</v>
      </c>
      <c r="AR3" s="42" t="s">
        <v>15</v>
      </c>
      <c r="AS3" s="42" t="s">
        <v>16</v>
      </c>
      <c r="AT3" s="42" t="s">
        <v>17</v>
      </c>
      <c r="AU3" s="42" t="s">
        <v>18</v>
      </c>
      <c r="AV3" s="42" t="s">
        <v>14</v>
      </c>
      <c r="AW3" s="42" t="s">
        <v>15</v>
      </c>
      <c r="AX3" s="42" t="s">
        <v>16</v>
      </c>
      <c r="AY3" s="43" t="s">
        <v>17</v>
      </c>
      <c r="AZ3" s="13"/>
      <c r="BA3" s="44"/>
      <c r="BB3" s="15" t="s">
        <v>19</v>
      </c>
      <c r="BC3" s="15" t="s">
        <v>20</v>
      </c>
      <c r="BD3" s="15" t="s">
        <v>8</v>
      </c>
      <c r="BE3" s="15" t="s">
        <v>21</v>
      </c>
      <c r="BI3" s="18" t="s">
        <v>18</v>
      </c>
      <c r="BJ3" s="18" t="s">
        <v>108</v>
      </c>
      <c r="BK3" s="18" t="s">
        <v>98</v>
      </c>
      <c r="BL3" s="337"/>
      <c r="BM3" s="45" t="s">
        <v>75</v>
      </c>
      <c r="BN3" s="45" t="s">
        <v>146</v>
      </c>
      <c r="BO3" s="46"/>
      <c r="BP3" s="47"/>
      <c r="BQ3" s="21">
        <v>3</v>
      </c>
      <c r="BR3" s="48">
        <f>0.167*4+4</f>
        <v>4.6680000000000001</v>
      </c>
      <c r="BS3" s="48"/>
      <c r="BU3" s="1">
        <v>3</v>
      </c>
    </row>
    <row r="4" spans="1:214" s="69" customFormat="1" ht="15.75" customHeight="1" thickBot="1" x14ac:dyDescent="0.3">
      <c r="A4" s="1"/>
      <c r="B4" s="375">
        <v>164</v>
      </c>
      <c r="C4" s="34">
        <f t="shared" ref="C4:C15" si="0">+C3+1</f>
        <v>1</v>
      </c>
      <c r="D4" s="376"/>
      <c r="E4" s="233">
        <v>1</v>
      </c>
      <c r="F4" s="233"/>
      <c r="G4" s="233">
        <v>1</v>
      </c>
      <c r="H4" s="233"/>
      <c r="I4" s="233">
        <v>1</v>
      </c>
      <c r="J4" s="233"/>
      <c r="K4" s="233">
        <v>1</v>
      </c>
      <c r="L4" s="233"/>
      <c r="M4" s="233">
        <v>1</v>
      </c>
      <c r="N4" s="233"/>
      <c r="O4" s="233">
        <v>1</v>
      </c>
      <c r="P4" s="258"/>
      <c r="Q4" s="49">
        <f>IF((E4+G4+I4+K4+M4+O4)=6,1,0)</f>
        <v>1</v>
      </c>
      <c r="R4" s="50">
        <f>IF(Q4=1,1550,850)</f>
        <v>1550</v>
      </c>
      <c r="S4" s="51">
        <f t="shared" ref="S4:S15" si="1">+BH4</f>
        <v>0</v>
      </c>
      <c r="T4" s="11">
        <f>+BA4</f>
        <v>929</v>
      </c>
      <c r="U4" s="52">
        <f t="shared" ref="U4:U15" si="2">+BP4</f>
        <v>0</v>
      </c>
      <c r="V4" s="52" t="str">
        <f t="shared" ref="V4:V15" si="3">+BG4</f>
        <v>BONO+ B ASIS</v>
      </c>
      <c r="W4" s="53">
        <f>(R4-86.16)/6*E4</f>
        <v>243.97333333333333</v>
      </c>
      <c r="X4" s="53">
        <f>$Y$2*E4*Q4</f>
        <v>7.18</v>
      </c>
      <c r="Y4" s="53">
        <f>$Y$2*E4*Q4</f>
        <v>7.18</v>
      </c>
      <c r="Z4" s="54">
        <f>Y4+X4+W4</f>
        <v>258.33333333333331</v>
      </c>
      <c r="AA4" s="55"/>
      <c r="AB4" s="53">
        <f>(R4-86.16)/6*G4</f>
        <v>243.97333333333333</v>
      </c>
      <c r="AC4" s="53">
        <f>$Y$2*G4*Q4</f>
        <v>7.18</v>
      </c>
      <c r="AD4" s="53">
        <f>$Y$2*G4*Q4</f>
        <v>7.18</v>
      </c>
      <c r="AE4" s="54">
        <f>AD4+AC4+AB4</f>
        <v>258.33333333333331</v>
      </c>
      <c r="AF4" s="56"/>
      <c r="AG4" s="53">
        <f>(R4-86.16)/6*I4</f>
        <v>243.97333333333333</v>
      </c>
      <c r="AH4" s="53">
        <f>$Y$2*I4*Q4</f>
        <v>7.18</v>
      </c>
      <c r="AI4" s="53">
        <f>$Y$2*I4*Q4</f>
        <v>7.18</v>
      </c>
      <c r="AJ4" s="54">
        <f>AI4+AH4+AG4</f>
        <v>258.33333333333331</v>
      </c>
      <c r="AK4" s="57"/>
      <c r="AL4" s="53">
        <f>(R4-86.16)/6*K4</f>
        <v>243.97333333333333</v>
      </c>
      <c r="AM4" s="53">
        <f>$Y$2*K4*Q4</f>
        <v>7.18</v>
      </c>
      <c r="AN4" s="53">
        <f>$Y$2*K4*Q4</f>
        <v>7.18</v>
      </c>
      <c r="AO4" s="54">
        <f>AN4+AM4+AL4</f>
        <v>258.33333333333331</v>
      </c>
      <c r="AP4" s="56"/>
      <c r="AQ4" s="53">
        <f>(R4-86.16)/6*M4</f>
        <v>243.97333333333333</v>
      </c>
      <c r="AR4" s="53">
        <f>$Y$2*M4*Q4</f>
        <v>7.18</v>
      </c>
      <c r="AS4" s="53">
        <f>$Y$2*M4*Q4</f>
        <v>7.18</v>
      </c>
      <c r="AT4" s="54">
        <f>AS4+AR4+AQ4</f>
        <v>258.33333333333331</v>
      </c>
      <c r="AU4" s="56"/>
      <c r="AV4" s="53">
        <f>(R4-86.16)/6*O4</f>
        <v>243.97333333333333</v>
      </c>
      <c r="AW4" s="53">
        <f>$Y$2*O4*Q4</f>
        <v>7.18</v>
      </c>
      <c r="AX4" s="53">
        <f t="shared" ref="AX4:AX9" si="4">$Y$2*O4*Q4</f>
        <v>7.18</v>
      </c>
      <c r="AY4" s="54">
        <f>AX4+AW4+AV4</f>
        <v>258.33333333333331</v>
      </c>
      <c r="AZ4" s="58">
        <f t="shared" ref="AZ4:AZ7" si="5">+AY4+AT4+AO4++AJ4+AE4+Z4</f>
        <v>1549.9999999999998</v>
      </c>
      <c r="BA4" s="59">
        <v>929</v>
      </c>
      <c r="BB4" s="60"/>
      <c r="BC4" s="60"/>
      <c r="BD4" s="60"/>
      <c r="BE4" s="60"/>
      <c r="BF4" s="60"/>
      <c r="BG4" s="61" t="s">
        <v>174</v>
      </c>
      <c r="BH4" s="62"/>
      <c r="BI4" s="63"/>
      <c r="BJ4" s="63"/>
      <c r="BK4" s="64"/>
      <c r="BL4" s="64"/>
      <c r="BM4" s="65"/>
      <c r="BN4" s="65"/>
      <c r="BO4" s="66"/>
      <c r="BP4" s="67"/>
      <c r="BQ4" s="21"/>
      <c r="BR4" s="48"/>
      <c r="BS4" s="48"/>
      <c r="BT4" s="68"/>
      <c r="BU4" s="1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</row>
    <row r="5" spans="1:214" s="69" customFormat="1" ht="15.75" customHeight="1" thickBot="1" x14ac:dyDescent="0.3">
      <c r="A5" s="1">
        <v>420</v>
      </c>
      <c r="B5" s="375">
        <v>2</v>
      </c>
      <c r="C5" s="34">
        <f t="shared" si="0"/>
        <v>2</v>
      </c>
      <c r="D5" s="376" t="s">
        <v>23</v>
      </c>
      <c r="E5" s="233">
        <v>1</v>
      </c>
      <c r="F5" s="233"/>
      <c r="G5" s="233">
        <v>1</v>
      </c>
      <c r="H5" s="233"/>
      <c r="I5" s="233">
        <v>1</v>
      </c>
      <c r="J5" s="233"/>
      <c r="K5" s="233">
        <v>1</v>
      </c>
      <c r="L5" s="233"/>
      <c r="M5" s="233">
        <v>1</v>
      </c>
      <c r="N5" s="233"/>
      <c r="O5" s="233">
        <v>1</v>
      </c>
      <c r="P5" s="258"/>
      <c r="Q5" s="49">
        <f t="shared" ref="Q5:Q15" si="6">IF((E5+G5+I5+K5+M5+O5)=6,1,0)</f>
        <v>1</v>
      </c>
      <c r="R5" s="50">
        <f>IF(Q5=1,1550,850)</f>
        <v>1550</v>
      </c>
      <c r="S5" s="51">
        <f t="shared" si="1"/>
        <v>0</v>
      </c>
      <c r="T5" s="11">
        <f t="shared" ref="T5:T15" si="7">+BA5</f>
        <v>2100</v>
      </c>
      <c r="U5" s="52">
        <f t="shared" si="2"/>
        <v>0</v>
      </c>
      <c r="V5" s="52" t="str">
        <f t="shared" si="3"/>
        <v>BONO+ B ASIS</v>
      </c>
      <c r="W5" s="53">
        <f t="shared" ref="W5:W15" si="8">(R5-86.16)/6*E5</f>
        <v>243.97333333333333</v>
      </c>
      <c r="X5" s="53">
        <f t="shared" ref="X5:X15" si="9">$Y$2*E5*Q5</f>
        <v>7.18</v>
      </c>
      <c r="Y5" s="53">
        <f t="shared" ref="Y5:Y15" si="10">$Y$2*E5*Q5</f>
        <v>7.18</v>
      </c>
      <c r="Z5" s="54">
        <f t="shared" ref="Z5:Z15" si="11">Y5+X5+W5</f>
        <v>258.33333333333331</v>
      </c>
      <c r="AA5" s="55"/>
      <c r="AB5" s="53">
        <f t="shared" ref="AB5:AB15" si="12">(R5-86.16)/6*G5</f>
        <v>243.97333333333333</v>
      </c>
      <c r="AC5" s="53">
        <f t="shared" ref="AC5:AC15" si="13">$Y$2*G5*Q5</f>
        <v>7.18</v>
      </c>
      <c r="AD5" s="53">
        <f t="shared" ref="AD5:AD15" si="14">$Y$2*G5*Q5</f>
        <v>7.18</v>
      </c>
      <c r="AE5" s="54">
        <f t="shared" ref="AE5:AE14" si="15">AD5+AC5+AB5</f>
        <v>258.33333333333331</v>
      </c>
      <c r="AF5" s="56"/>
      <c r="AG5" s="53">
        <f t="shared" ref="AG5:AG15" si="16">(R5-86.16)/6*I5</f>
        <v>243.97333333333333</v>
      </c>
      <c r="AH5" s="53">
        <f t="shared" ref="AH5:AH15" si="17">$Y$2*I5*Q5</f>
        <v>7.18</v>
      </c>
      <c r="AI5" s="53">
        <f t="shared" ref="AI5:AI15" si="18">$Y$2*I5*Q5</f>
        <v>7.18</v>
      </c>
      <c r="AJ5" s="54">
        <f t="shared" ref="AJ5:AJ15" si="19">AI5+AH5+AG5</f>
        <v>258.33333333333331</v>
      </c>
      <c r="AK5" s="57"/>
      <c r="AL5" s="53">
        <f t="shared" ref="AL5:AL15" si="20">(R5-86.16)/6*K5</f>
        <v>243.97333333333333</v>
      </c>
      <c r="AM5" s="53">
        <f t="shared" ref="AM5:AM15" si="21">$Y$2*K5*Q5</f>
        <v>7.18</v>
      </c>
      <c r="AN5" s="53">
        <f t="shared" ref="AN5:AN15" si="22">$Y$2*K5*Q5</f>
        <v>7.18</v>
      </c>
      <c r="AO5" s="54">
        <f t="shared" ref="AO5:AO15" si="23">AN5+AM5+AL5</f>
        <v>258.33333333333331</v>
      </c>
      <c r="AP5" s="56"/>
      <c r="AQ5" s="53">
        <f t="shared" ref="AQ5:AQ15" si="24">(R5-86.16)/6*M5</f>
        <v>243.97333333333333</v>
      </c>
      <c r="AR5" s="53">
        <f t="shared" ref="AR5:AR15" si="25">$Y$2*M5*Q5</f>
        <v>7.18</v>
      </c>
      <c r="AS5" s="53">
        <f t="shared" ref="AS5:AS15" si="26">$Y$2*M5*Q5</f>
        <v>7.18</v>
      </c>
      <c r="AT5" s="54">
        <f t="shared" ref="AT5:AT15" si="27">AS5+AR5+AQ5</f>
        <v>258.33333333333331</v>
      </c>
      <c r="AU5" s="56"/>
      <c r="AV5" s="53">
        <f t="shared" ref="AV5:AV15" si="28">(R5-86.16)/6*O5</f>
        <v>243.97333333333333</v>
      </c>
      <c r="AW5" s="53">
        <f>$Y$2*O5*Q5</f>
        <v>7.18</v>
      </c>
      <c r="AX5" s="53">
        <f t="shared" si="4"/>
        <v>7.18</v>
      </c>
      <c r="AY5" s="54">
        <f t="shared" ref="AY5:AY15" si="29">AX5+AW5+AV5</f>
        <v>258.33333333333331</v>
      </c>
      <c r="AZ5" s="58">
        <f t="shared" si="5"/>
        <v>1549.9999999999998</v>
      </c>
      <c r="BA5" s="59">
        <f t="shared" ref="BA5:BA15" si="30">((AZ5-BB5-BC5-BD5-BE5-BF5)+BI5+BJ5+BK5+BL5+BM5+BN5+BO5)</f>
        <v>2100</v>
      </c>
      <c r="BB5" s="60"/>
      <c r="BC5" s="60"/>
      <c r="BD5" s="60"/>
      <c r="BE5" s="60"/>
      <c r="BF5" s="60"/>
      <c r="BG5" s="61" t="s">
        <v>174</v>
      </c>
      <c r="BH5" s="62"/>
      <c r="BI5" s="63">
        <v>300</v>
      </c>
      <c r="BJ5" s="63">
        <v>250</v>
      </c>
      <c r="BK5" s="64"/>
      <c r="BL5" s="64"/>
      <c r="BM5" s="65"/>
      <c r="BN5" s="65"/>
      <c r="BO5" s="66"/>
      <c r="BP5" s="67"/>
      <c r="BQ5" s="21"/>
      <c r="BR5" s="48"/>
      <c r="BS5" s="48"/>
      <c r="BT5" s="68"/>
      <c r="BU5" s="1">
        <v>420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</row>
    <row r="6" spans="1:214" s="69" customFormat="1" ht="15.75" customHeight="1" thickBot="1" x14ac:dyDescent="0.3">
      <c r="A6" s="1">
        <v>424</v>
      </c>
      <c r="B6" s="134">
        <v>6</v>
      </c>
      <c r="C6" s="34">
        <f t="shared" si="0"/>
        <v>3</v>
      </c>
      <c r="D6" s="130" t="s">
        <v>24</v>
      </c>
      <c r="E6" s="233">
        <v>1</v>
      </c>
      <c r="F6" s="233"/>
      <c r="G6" s="233">
        <v>1</v>
      </c>
      <c r="H6" s="233"/>
      <c r="I6" s="233">
        <v>1</v>
      </c>
      <c r="J6" s="233"/>
      <c r="K6" s="233">
        <v>1</v>
      </c>
      <c r="L6" s="233"/>
      <c r="M6" s="233">
        <v>1</v>
      </c>
      <c r="N6" s="233"/>
      <c r="O6" s="233">
        <v>1</v>
      </c>
      <c r="P6" s="258"/>
      <c r="Q6" s="49">
        <f t="shared" si="6"/>
        <v>1</v>
      </c>
      <c r="R6" s="50">
        <v>3000</v>
      </c>
      <c r="S6" s="51">
        <f t="shared" si="1"/>
        <v>0</v>
      </c>
      <c r="T6" s="11">
        <f t="shared" si="7"/>
        <v>3000.0000000000005</v>
      </c>
      <c r="U6" s="52">
        <f t="shared" si="2"/>
        <v>0</v>
      </c>
      <c r="V6" s="52">
        <f t="shared" si="3"/>
        <v>0</v>
      </c>
      <c r="W6" s="53">
        <f t="shared" si="8"/>
        <v>485.64000000000004</v>
      </c>
      <c r="X6" s="53">
        <f t="shared" si="9"/>
        <v>7.18</v>
      </c>
      <c r="Y6" s="53">
        <f t="shared" si="10"/>
        <v>7.18</v>
      </c>
      <c r="Z6" s="54">
        <f t="shared" si="11"/>
        <v>500.00000000000006</v>
      </c>
      <c r="AA6" s="55"/>
      <c r="AB6" s="53">
        <f t="shared" si="12"/>
        <v>485.64000000000004</v>
      </c>
      <c r="AC6" s="53">
        <f t="shared" si="13"/>
        <v>7.18</v>
      </c>
      <c r="AD6" s="53">
        <f t="shared" si="14"/>
        <v>7.18</v>
      </c>
      <c r="AE6" s="54">
        <f t="shared" si="15"/>
        <v>500.00000000000006</v>
      </c>
      <c r="AF6" s="56"/>
      <c r="AG6" s="53">
        <f t="shared" si="16"/>
        <v>485.64000000000004</v>
      </c>
      <c r="AH6" s="53">
        <f t="shared" si="17"/>
        <v>7.18</v>
      </c>
      <c r="AI6" s="53">
        <f t="shared" si="18"/>
        <v>7.18</v>
      </c>
      <c r="AJ6" s="54">
        <f t="shared" si="19"/>
        <v>500.00000000000006</v>
      </c>
      <c r="AK6" s="57"/>
      <c r="AL6" s="53">
        <f t="shared" si="20"/>
        <v>485.64000000000004</v>
      </c>
      <c r="AM6" s="53">
        <f t="shared" si="21"/>
        <v>7.18</v>
      </c>
      <c r="AN6" s="53">
        <f t="shared" si="22"/>
        <v>7.18</v>
      </c>
      <c r="AO6" s="54">
        <f t="shared" si="23"/>
        <v>500.00000000000006</v>
      </c>
      <c r="AP6" s="56"/>
      <c r="AQ6" s="53">
        <f t="shared" si="24"/>
        <v>485.64000000000004</v>
      </c>
      <c r="AR6" s="53">
        <f t="shared" si="25"/>
        <v>7.18</v>
      </c>
      <c r="AS6" s="53">
        <f t="shared" si="26"/>
        <v>7.18</v>
      </c>
      <c r="AT6" s="54">
        <f t="shared" si="27"/>
        <v>500.00000000000006</v>
      </c>
      <c r="AU6" s="56"/>
      <c r="AV6" s="53">
        <f t="shared" si="28"/>
        <v>485.64000000000004</v>
      </c>
      <c r="AW6" s="53">
        <f t="shared" ref="AW6:AW15" si="31">$Y$2*O6*Q6</f>
        <v>7.18</v>
      </c>
      <c r="AX6" s="53">
        <f t="shared" si="4"/>
        <v>7.18</v>
      </c>
      <c r="AY6" s="54">
        <f t="shared" si="29"/>
        <v>500.00000000000006</v>
      </c>
      <c r="AZ6" s="58">
        <f t="shared" si="5"/>
        <v>3000.0000000000005</v>
      </c>
      <c r="BA6" s="59">
        <f t="shared" si="30"/>
        <v>3000.0000000000005</v>
      </c>
      <c r="BB6" s="60"/>
      <c r="BC6" s="60"/>
      <c r="BD6" s="60"/>
      <c r="BE6" s="60"/>
      <c r="BF6" s="60"/>
      <c r="BG6" s="61"/>
      <c r="BH6" s="62"/>
      <c r="BI6" s="63"/>
      <c r="BJ6" s="63"/>
      <c r="BK6" s="64"/>
      <c r="BL6" s="64"/>
      <c r="BM6" s="65"/>
      <c r="BN6" s="65"/>
      <c r="BO6" s="66"/>
      <c r="BP6" s="67"/>
      <c r="BQ6" s="21"/>
      <c r="BR6" s="48"/>
      <c r="BS6" s="48"/>
      <c r="BT6" s="68"/>
      <c r="BU6" s="1">
        <v>424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spans="1:214" s="69" customFormat="1" ht="15.75" customHeight="1" thickBot="1" x14ac:dyDescent="0.3">
      <c r="A7" s="1"/>
      <c r="B7" s="375">
        <v>149</v>
      </c>
      <c r="C7" s="34">
        <f t="shared" si="0"/>
        <v>4</v>
      </c>
      <c r="D7" s="376" t="s">
        <v>127</v>
      </c>
      <c r="E7" s="233">
        <v>1</v>
      </c>
      <c r="F7" s="233"/>
      <c r="G7" s="233">
        <v>1</v>
      </c>
      <c r="H7" s="233"/>
      <c r="I7" s="233">
        <v>1</v>
      </c>
      <c r="J7" s="233"/>
      <c r="K7" s="233">
        <v>1</v>
      </c>
      <c r="L7" s="233"/>
      <c r="M7" s="233">
        <v>1</v>
      </c>
      <c r="N7" s="233"/>
      <c r="O7" s="233">
        <v>1</v>
      </c>
      <c r="P7" s="258"/>
      <c r="Q7" s="49">
        <f t="shared" si="6"/>
        <v>1</v>
      </c>
      <c r="R7" s="50">
        <f>IF(Q7=1,1550,850)</f>
        <v>1550</v>
      </c>
      <c r="S7" s="51">
        <f t="shared" si="1"/>
        <v>0</v>
      </c>
      <c r="T7" s="11">
        <f t="shared" si="7"/>
        <v>1799.9999999999998</v>
      </c>
      <c r="U7" s="52">
        <f t="shared" si="2"/>
        <v>0</v>
      </c>
      <c r="V7" s="52" t="str">
        <f t="shared" si="3"/>
        <v>BONO+ B ASIS</v>
      </c>
      <c r="W7" s="53">
        <f t="shared" si="8"/>
        <v>243.97333333333333</v>
      </c>
      <c r="X7" s="53">
        <f t="shared" si="9"/>
        <v>7.18</v>
      </c>
      <c r="Y7" s="53">
        <f t="shared" si="10"/>
        <v>7.18</v>
      </c>
      <c r="Z7" s="54">
        <f t="shared" si="11"/>
        <v>258.33333333333331</v>
      </c>
      <c r="AA7" s="55"/>
      <c r="AB7" s="53">
        <f t="shared" si="12"/>
        <v>243.97333333333333</v>
      </c>
      <c r="AC7" s="53">
        <f t="shared" si="13"/>
        <v>7.18</v>
      </c>
      <c r="AD7" s="53">
        <f t="shared" si="14"/>
        <v>7.18</v>
      </c>
      <c r="AE7" s="54">
        <f t="shared" si="15"/>
        <v>258.33333333333331</v>
      </c>
      <c r="AF7" s="56"/>
      <c r="AG7" s="53">
        <f t="shared" si="16"/>
        <v>243.97333333333333</v>
      </c>
      <c r="AH7" s="53">
        <f t="shared" si="17"/>
        <v>7.18</v>
      </c>
      <c r="AI7" s="53">
        <f t="shared" si="18"/>
        <v>7.18</v>
      </c>
      <c r="AJ7" s="54">
        <f t="shared" si="19"/>
        <v>258.33333333333331</v>
      </c>
      <c r="AK7" s="57"/>
      <c r="AL7" s="53">
        <f t="shared" si="20"/>
        <v>243.97333333333333</v>
      </c>
      <c r="AM7" s="53">
        <f t="shared" si="21"/>
        <v>7.18</v>
      </c>
      <c r="AN7" s="53">
        <f t="shared" si="22"/>
        <v>7.18</v>
      </c>
      <c r="AO7" s="54">
        <f t="shared" si="23"/>
        <v>258.33333333333331</v>
      </c>
      <c r="AP7" s="56"/>
      <c r="AQ7" s="53">
        <f t="shared" si="24"/>
        <v>243.97333333333333</v>
      </c>
      <c r="AR7" s="53">
        <f t="shared" si="25"/>
        <v>7.18</v>
      </c>
      <c r="AS7" s="53">
        <f t="shared" si="26"/>
        <v>7.18</v>
      </c>
      <c r="AT7" s="54">
        <f t="shared" si="27"/>
        <v>258.33333333333331</v>
      </c>
      <c r="AU7" s="56"/>
      <c r="AV7" s="53">
        <f t="shared" si="28"/>
        <v>243.97333333333333</v>
      </c>
      <c r="AW7" s="53">
        <f t="shared" si="31"/>
        <v>7.18</v>
      </c>
      <c r="AX7" s="53">
        <f t="shared" si="4"/>
        <v>7.18</v>
      </c>
      <c r="AY7" s="54">
        <f t="shared" si="29"/>
        <v>258.33333333333331</v>
      </c>
      <c r="AZ7" s="58">
        <f t="shared" si="5"/>
        <v>1549.9999999999998</v>
      </c>
      <c r="BA7" s="59">
        <f t="shared" si="30"/>
        <v>1799.9999999999998</v>
      </c>
      <c r="BB7" s="60"/>
      <c r="BC7" s="60"/>
      <c r="BD7" s="60"/>
      <c r="BE7" s="60"/>
      <c r="BF7" s="60"/>
      <c r="BG7" s="61" t="s">
        <v>174</v>
      </c>
      <c r="BH7" s="62"/>
      <c r="BI7" s="63">
        <v>100</v>
      </c>
      <c r="BJ7" s="63">
        <v>150</v>
      </c>
      <c r="BK7" s="64"/>
      <c r="BL7" s="64"/>
      <c r="BM7" s="65"/>
      <c r="BN7" s="65"/>
      <c r="BO7" s="66"/>
      <c r="BP7" s="67"/>
      <c r="BQ7" s="21"/>
      <c r="BR7" s="48"/>
      <c r="BS7" s="48"/>
      <c r="BT7" s="68"/>
      <c r="BU7" s="1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</row>
    <row r="8" spans="1:214" s="69" customFormat="1" ht="15.75" customHeight="1" thickBot="1" x14ac:dyDescent="0.3">
      <c r="A8" s="1"/>
      <c r="B8" s="375">
        <v>95</v>
      </c>
      <c r="C8" s="34">
        <f t="shared" si="0"/>
        <v>5</v>
      </c>
      <c r="D8" s="376" t="s">
        <v>95</v>
      </c>
      <c r="E8" s="233">
        <v>1</v>
      </c>
      <c r="F8" s="233"/>
      <c r="G8" s="233">
        <v>1</v>
      </c>
      <c r="H8" s="233"/>
      <c r="I8" s="233">
        <v>1</v>
      </c>
      <c r="J8" s="233"/>
      <c r="K8" s="233">
        <v>1</v>
      </c>
      <c r="L8" s="233"/>
      <c r="M8" s="233">
        <v>1</v>
      </c>
      <c r="N8" s="233"/>
      <c r="O8" s="233">
        <v>1</v>
      </c>
      <c r="P8" s="258"/>
      <c r="Q8" s="49">
        <f t="shared" si="6"/>
        <v>1</v>
      </c>
      <c r="R8" s="50">
        <f t="shared" ref="R8:R14" si="32">IF(Q8=1,1550,850)</f>
        <v>1550</v>
      </c>
      <c r="S8" s="51">
        <f t="shared" si="1"/>
        <v>0</v>
      </c>
      <c r="T8" s="11">
        <f t="shared" si="7"/>
        <v>1949.9999999999998</v>
      </c>
      <c r="U8" s="52">
        <f t="shared" si="2"/>
        <v>0</v>
      </c>
      <c r="V8" s="52" t="str">
        <f t="shared" si="3"/>
        <v>BONO+ B ASIS</v>
      </c>
      <c r="W8" s="53">
        <f t="shared" si="8"/>
        <v>243.97333333333333</v>
      </c>
      <c r="X8" s="53">
        <f t="shared" si="9"/>
        <v>7.18</v>
      </c>
      <c r="Y8" s="53">
        <f t="shared" si="10"/>
        <v>7.18</v>
      </c>
      <c r="Z8" s="54">
        <f t="shared" si="11"/>
        <v>258.33333333333331</v>
      </c>
      <c r="AA8" s="55"/>
      <c r="AB8" s="53">
        <f t="shared" si="12"/>
        <v>243.97333333333333</v>
      </c>
      <c r="AC8" s="53">
        <f t="shared" si="13"/>
        <v>7.18</v>
      </c>
      <c r="AD8" s="53">
        <f t="shared" si="14"/>
        <v>7.18</v>
      </c>
      <c r="AE8" s="54">
        <f t="shared" si="15"/>
        <v>258.33333333333331</v>
      </c>
      <c r="AF8" s="56"/>
      <c r="AG8" s="53">
        <f t="shared" si="16"/>
        <v>243.97333333333333</v>
      </c>
      <c r="AH8" s="53">
        <f t="shared" si="17"/>
        <v>7.18</v>
      </c>
      <c r="AI8" s="53">
        <f t="shared" si="18"/>
        <v>7.18</v>
      </c>
      <c r="AJ8" s="54">
        <f t="shared" si="19"/>
        <v>258.33333333333331</v>
      </c>
      <c r="AK8" s="57"/>
      <c r="AL8" s="53">
        <f t="shared" si="20"/>
        <v>243.97333333333333</v>
      </c>
      <c r="AM8" s="53">
        <f t="shared" si="21"/>
        <v>7.18</v>
      </c>
      <c r="AN8" s="53">
        <f t="shared" si="22"/>
        <v>7.18</v>
      </c>
      <c r="AO8" s="54">
        <f t="shared" si="23"/>
        <v>258.33333333333331</v>
      </c>
      <c r="AP8" s="56"/>
      <c r="AQ8" s="53">
        <f t="shared" si="24"/>
        <v>243.97333333333333</v>
      </c>
      <c r="AR8" s="53">
        <f t="shared" si="25"/>
        <v>7.18</v>
      </c>
      <c r="AS8" s="53">
        <f t="shared" si="26"/>
        <v>7.18</v>
      </c>
      <c r="AT8" s="54">
        <f t="shared" si="27"/>
        <v>258.33333333333331</v>
      </c>
      <c r="AU8" s="56"/>
      <c r="AV8" s="53">
        <f t="shared" si="28"/>
        <v>243.97333333333333</v>
      </c>
      <c r="AW8" s="53">
        <f t="shared" si="31"/>
        <v>7.18</v>
      </c>
      <c r="AX8" s="53">
        <f t="shared" si="4"/>
        <v>7.18</v>
      </c>
      <c r="AY8" s="54">
        <f t="shared" si="29"/>
        <v>258.33333333333331</v>
      </c>
      <c r="AZ8" s="58">
        <f>+AY8+AT8+AO8++AJ8+AE8+Z8</f>
        <v>1549.9999999999998</v>
      </c>
      <c r="BA8" s="59">
        <f t="shared" si="30"/>
        <v>1949.9999999999998</v>
      </c>
      <c r="BB8" s="60"/>
      <c r="BC8" s="60"/>
      <c r="BD8" s="60"/>
      <c r="BE8" s="60"/>
      <c r="BF8" s="60"/>
      <c r="BG8" s="61" t="s">
        <v>174</v>
      </c>
      <c r="BH8" s="62"/>
      <c r="BI8" s="63">
        <v>250</v>
      </c>
      <c r="BJ8" s="63">
        <v>150</v>
      </c>
      <c r="BK8" s="64"/>
      <c r="BL8" s="63"/>
      <c r="BM8" s="65"/>
      <c r="BN8" s="65"/>
      <c r="BO8" s="66"/>
      <c r="BP8" s="67"/>
      <c r="BQ8" s="21"/>
      <c r="BR8" s="48"/>
      <c r="BS8" s="48"/>
      <c r="BT8" s="68"/>
      <c r="BU8" s="1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</row>
    <row r="9" spans="1:214" s="69" customFormat="1" ht="15.75" customHeight="1" thickBot="1" x14ac:dyDescent="0.35">
      <c r="A9" s="1"/>
      <c r="B9" s="375">
        <v>59</v>
      </c>
      <c r="C9" s="34">
        <f t="shared" si="0"/>
        <v>6</v>
      </c>
      <c r="D9" s="376" t="s">
        <v>80</v>
      </c>
      <c r="E9" s="233">
        <v>1</v>
      </c>
      <c r="F9" s="233"/>
      <c r="G9" s="233">
        <v>1</v>
      </c>
      <c r="H9" s="233"/>
      <c r="I9" s="233">
        <v>1</v>
      </c>
      <c r="J9" s="233"/>
      <c r="K9" s="233">
        <v>1</v>
      </c>
      <c r="L9" s="233"/>
      <c r="M9" s="233">
        <v>1</v>
      </c>
      <c r="N9" s="233"/>
      <c r="O9" s="233">
        <v>1</v>
      </c>
      <c r="P9" s="258"/>
      <c r="Q9" s="49">
        <f t="shared" si="6"/>
        <v>1</v>
      </c>
      <c r="R9" s="50">
        <f t="shared" si="32"/>
        <v>1550</v>
      </c>
      <c r="S9" s="51">
        <f t="shared" si="1"/>
        <v>0</v>
      </c>
      <c r="T9" s="11">
        <f t="shared" si="7"/>
        <v>1949.9999999999998</v>
      </c>
      <c r="U9" s="52">
        <f t="shared" si="2"/>
        <v>0</v>
      </c>
      <c r="V9" s="52" t="str">
        <f t="shared" si="3"/>
        <v>BONO+ B ASIS</v>
      </c>
      <c r="W9" s="53">
        <f t="shared" si="8"/>
        <v>243.97333333333333</v>
      </c>
      <c r="X9" s="53">
        <f t="shared" si="9"/>
        <v>7.18</v>
      </c>
      <c r="Y9" s="53">
        <f t="shared" si="10"/>
        <v>7.18</v>
      </c>
      <c r="Z9" s="54">
        <f t="shared" si="11"/>
        <v>258.33333333333331</v>
      </c>
      <c r="AA9" s="55"/>
      <c r="AB9" s="53">
        <f t="shared" si="12"/>
        <v>243.97333333333333</v>
      </c>
      <c r="AC9" s="53">
        <f t="shared" si="13"/>
        <v>7.18</v>
      </c>
      <c r="AD9" s="53">
        <f t="shared" si="14"/>
        <v>7.18</v>
      </c>
      <c r="AE9" s="54">
        <f t="shared" si="15"/>
        <v>258.33333333333331</v>
      </c>
      <c r="AF9" s="56"/>
      <c r="AG9" s="53">
        <f t="shared" si="16"/>
        <v>243.97333333333333</v>
      </c>
      <c r="AH9" s="53">
        <f t="shared" si="17"/>
        <v>7.18</v>
      </c>
      <c r="AI9" s="53">
        <f t="shared" si="18"/>
        <v>7.18</v>
      </c>
      <c r="AJ9" s="54">
        <f t="shared" si="19"/>
        <v>258.33333333333331</v>
      </c>
      <c r="AK9" s="57"/>
      <c r="AL9" s="53">
        <f t="shared" si="20"/>
        <v>243.97333333333333</v>
      </c>
      <c r="AM9" s="53">
        <f t="shared" si="21"/>
        <v>7.18</v>
      </c>
      <c r="AN9" s="53">
        <f t="shared" si="22"/>
        <v>7.18</v>
      </c>
      <c r="AO9" s="54">
        <f t="shared" si="23"/>
        <v>258.33333333333331</v>
      </c>
      <c r="AP9" s="56"/>
      <c r="AQ9" s="53">
        <f t="shared" si="24"/>
        <v>243.97333333333333</v>
      </c>
      <c r="AR9" s="53">
        <f t="shared" si="25"/>
        <v>7.18</v>
      </c>
      <c r="AS9" s="53">
        <f t="shared" si="26"/>
        <v>7.18</v>
      </c>
      <c r="AT9" s="54">
        <f t="shared" si="27"/>
        <v>258.33333333333331</v>
      </c>
      <c r="AU9" s="56"/>
      <c r="AV9" s="53">
        <f t="shared" si="28"/>
        <v>243.97333333333333</v>
      </c>
      <c r="AW9" s="53">
        <f t="shared" si="31"/>
        <v>7.18</v>
      </c>
      <c r="AX9" s="53">
        <f t="shared" si="4"/>
        <v>7.18</v>
      </c>
      <c r="AY9" s="54">
        <f t="shared" si="29"/>
        <v>258.33333333333331</v>
      </c>
      <c r="AZ9" s="58">
        <f>+AY9+AT9+AO9++AJ9+AE9+Z9</f>
        <v>1549.9999999999998</v>
      </c>
      <c r="BA9" s="59">
        <f t="shared" si="30"/>
        <v>1949.9999999999998</v>
      </c>
      <c r="BB9" s="60"/>
      <c r="BC9" s="60"/>
      <c r="BD9" s="60"/>
      <c r="BE9" s="60"/>
      <c r="BF9" s="60"/>
      <c r="BG9" s="61" t="s">
        <v>174</v>
      </c>
      <c r="BH9" s="62"/>
      <c r="BI9" s="63">
        <v>250</v>
      </c>
      <c r="BJ9" s="63">
        <v>150</v>
      </c>
      <c r="BK9" s="64"/>
      <c r="BL9" s="64"/>
      <c r="BM9" s="65"/>
      <c r="BN9" s="65"/>
      <c r="BO9" s="66"/>
      <c r="BP9" s="67"/>
      <c r="BQ9" s="21"/>
      <c r="BR9" s="48"/>
      <c r="BS9" s="48"/>
      <c r="BT9" s="68"/>
      <c r="BU9" s="1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</row>
    <row r="10" spans="1:214" s="69" customFormat="1" ht="15.75" customHeight="1" thickBot="1" x14ac:dyDescent="0.3">
      <c r="A10" s="1"/>
      <c r="B10" s="375">
        <v>73</v>
      </c>
      <c r="C10" s="34">
        <f t="shared" si="0"/>
        <v>7</v>
      </c>
      <c r="D10" s="376" t="s">
        <v>102</v>
      </c>
      <c r="E10" s="233">
        <v>1</v>
      </c>
      <c r="F10" s="233"/>
      <c r="G10" s="233">
        <v>1</v>
      </c>
      <c r="H10" s="233"/>
      <c r="I10" s="233">
        <v>1</v>
      </c>
      <c r="J10" s="233"/>
      <c r="K10" s="233">
        <v>1</v>
      </c>
      <c r="L10" s="233"/>
      <c r="M10" s="233">
        <v>1</v>
      </c>
      <c r="N10" s="233"/>
      <c r="O10" s="233">
        <v>1</v>
      </c>
      <c r="P10" s="258"/>
      <c r="Q10" s="49">
        <f t="shared" si="6"/>
        <v>1</v>
      </c>
      <c r="R10" s="50">
        <f t="shared" si="32"/>
        <v>1550</v>
      </c>
      <c r="S10" s="51">
        <f t="shared" si="1"/>
        <v>0</v>
      </c>
      <c r="T10" s="11">
        <f t="shared" si="7"/>
        <v>1949.9999999999998</v>
      </c>
      <c r="U10" s="52">
        <f t="shared" si="2"/>
        <v>0</v>
      </c>
      <c r="V10" s="52" t="str">
        <f t="shared" si="3"/>
        <v>BONO+ B ASIS</v>
      </c>
      <c r="W10" s="53">
        <f t="shared" si="8"/>
        <v>243.97333333333333</v>
      </c>
      <c r="X10" s="53">
        <f t="shared" si="9"/>
        <v>7.18</v>
      </c>
      <c r="Y10" s="53">
        <f t="shared" si="10"/>
        <v>7.18</v>
      </c>
      <c r="Z10" s="54">
        <f t="shared" si="11"/>
        <v>258.33333333333331</v>
      </c>
      <c r="AA10" s="55"/>
      <c r="AB10" s="53">
        <f t="shared" si="12"/>
        <v>243.97333333333333</v>
      </c>
      <c r="AC10" s="53">
        <f t="shared" si="13"/>
        <v>7.18</v>
      </c>
      <c r="AD10" s="53">
        <f t="shared" si="14"/>
        <v>7.18</v>
      </c>
      <c r="AE10" s="54">
        <f t="shared" si="15"/>
        <v>258.33333333333331</v>
      </c>
      <c r="AF10" s="56"/>
      <c r="AG10" s="53">
        <f t="shared" si="16"/>
        <v>243.97333333333333</v>
      </c>
      <c r="AH10" s="53">
        <f t="shared" si="17"/>
        <v>7.18</v>
      </c>
      <c r="AI10" s="53">
        <f t="shared" si="18"/>
        <v>7.18</v>
      </c>
      <c r="AJ10" s="54">
        <f t="shared" si="19"/>
        <v>258.33333333333331</v>
      </c>
      <c r="AK10" s="57"/>
      <c r="AL10" s="53">
        <f t="shared" si="20"/>
        <v>243.97333333333333</v>
      </c>
      <c r="AM10" s="53">
        <f t="shared" si="21"/>
        <v>7.18</v>
      </c>
      <c r="AN10" s="53">
        <f t="shared" si="22"/>
        <v>7.18</v>
      </c>
      <c r="AO10" s="54">
        <f t="shared" si="23"/>
        <v>258.33333333333331</v>
      </c>
      <c r="AP10" s="56"/>
      <c r="AQ10" s="53">
        <f t="shared" si="24"/>
        <v>243.97333333333333</v>
      </c>
      <c r="AR10" s="53">
        <f t="shared" si="25"/>
        <v>7.18</v>
      </c>
      <c r="AS10" s="53">
        <f t="shared" si="26"/>
        <v>7.18</v>
      </c>
      <c r="AT10" s="54">
        <f t="shared" si="27"/>
        <v>258.33333333333331</v>
      </c>
      <c r="AU10" s="56"/>
      <c r="AV10" s="53">
        <f t="shared" si="28"/>
        <v>243.97333333333333</v>
      </c>
      <c r="AW10" s="53">
        <f t="shared" si="31"/>
        <v>7.18</v>
      </c>
      <c r="AX10" s="53">
        <f t="shared" ref="AX10:AX12" si="33">$Y$2*O10*Q10</f>
        <v>7.18</v>
      </c>
      <c r="AY10" s="54">
        <f t="shared" si="29"/>
        <v>258.33333333333331</v>
      </c>
      <c r="AZ10" s="58">
        <f t="shared" ref="AZ10:AZ15" si="34">+AY10+AT10+AO10++AJ10+AE10+Z10</f>
        <v>1549.9999999999998</v>
      </c>
      <c r="BA10" s="59">
        <f t="shared" si="30"/>
        <v>1949.9999999999998</v>
      </c>
      <c r="BB10" s="60"/>
      <c r="BC10" s="60"/>
      <c r="BD10" s="60"/>
      <c r="BE10" s="60"/>
      <c r="BF10" s="60"/>
      <c r="BG10" s="61" t="s">
        <v>174</v>
      </c>
      <c r="BH10" s="62"/>
      <c r="BI10" s="63">
        <v>250</v>
      </c>
      <c r="BJ10" s="63">
        <v>150</v>
      </c>
      <c r="BK10" s="64"/>
      <c r="BL10" s="64"/>
      <c r="BM10" s="65"/>
      <c r="BN10" s="65"/>
      <c r="BO10" s="66"/>
      <c r="BP10" s="67"/>
      <c r="BQ10" s="21"/>
      <c r="BR10" s="48"/>
      <c r="BS10" s="48"/>
      <c r="BT10" s="68"/>
      <c r="BU10" s="1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</row>
    <row r="11" spans="1:214" ht="15.75" customHeight="1" thickBot="1" x14ac:dyDescent="0.3">
      <c r="A11" s="1">
        <v>424</v>
      </c>
      <c r="B11" s="275">
        <v>26</v>
      </c>
      <c r="C11" s="34">
        <f t="shared" si="0"/>
        <v>8</v>
      </c>
      <c r="D11" s="274" t="s">
        <v>25</v>
      </c>
      <c r="E11" s="233">
        <v>1</v>
      </c>
      <c r="F11" s="233"/>
      <c r="G11" s="233">
        <v>1</v>
      </c>
      <c r="H11" s="233"/>
      <c r="I11" s="233">
        <v>1</v>
      </c>
      <c r="J11" s="233"/>
      <c r="K11" s="233">
        <v>1</v>
      </c>
      <c r="L11" s="233"/>
      <c r="M11" s="233">
        <v>1</v>
      </c>
      <c r="N11" s="233"/>
      <c r="O11" s="233">
        <v>1</v>
      </c>
      <c r="P11" s="258"/>
      <c r="Q11" s="49">
        <f t="shared" si="6"/>
        <v>1</v>
      </c>
      <c r="R11" s="260">
        <v>2500</v>
      </c>
      <c r="S11" s="51">
        <f t="shared" si="1"/>
        <v>0</v>
      </c>
      <c r="T11" s="11">
        <f t="shared" si="7"/>
        <v>2500</v>
      </c>
      <c r="U11" s="52">
        <f t="shared" si="2"/>
        <v>0</v>
      </c>
      <c r="V11" s="52">
        <f t="shared" si="3"/>
        <v>0</v>
      </c>
      <c r="W11" s="53">
        <f t="shared" si="8"/>
        <v>402.30666666666667</v>
      </c>
      <c r="X11" s="53">
        <f t="shared" si="9"/>
        <v>7.18</v>
      </c>
      <c r="Y11" s="53">
        <f t="shared" si="10"/>
        <v>7.18</v>
      </c>
      <c r="Z11" s="54">
        <f t="shared" si="11"/>
        <v>416.66666666666669</v>
      </c>
      <c r="AA11" s="55"/>
      <c r="AB11" s="53">
        <f t="shared" si="12"/>
        <v>402.30666666666667</v>
      </c>
      <c r="AC11" s="53">
        <f t="shared" si="13"/>
        <v>7.18</v>
      </c>
      <c r="AD11" s="53">
        <f t="shared" si="14"/>
        <v>7.18</v>
      </c>
      <c r="AE11" s="54">
        <f t="shared" si="15"/>
        <v>416.66666666666669</v>
      </c>
      <c r="AF11" s="56"/>
      <c r="AG11" s="53">
        <f t="shared" si="16"/>
        <v>402.30666666666667</v>
      </c>
      <c r="AH11" s="53">
        <f t="shared" si="17"/>
        <v>7.18</v>
      </c>
      <c r="AI11" s="53">
        <f t="shared" si="18"/>
        <v>7.18</v>
      </c>
      <c r="AJ11" s="54">
        <f t="shared" si="19"/>
        <v>416.66666666666669</v>
      </c>
      <c r="AK11" s="57"/>
      <c r="AL11" s="53">
        <f t="shared" si="20"/>
        <v>402.30666666666667</v>
      </c>
      <c r="AM11" s="53">
        <f t="shared" si="21"/>
        <v>7.18</v>
      </c>
      <c r="AN11" s="53">
        <f t="shared" si="22"/>
        <v>7.18</v>
      </c>
      <c r="AO11" s="54">
        <f t="shared" si="23"/>
        <v>416.66666666666669</v>
      </c>
      <c r="AP11" s="56"/>
      <c r="AQ11" s="53">
        <f t="shared" si="24"/>
        <v>402.30666666666667</v>
      </c>
      <c r="AR11" s="53">
        <f t="shared" si="25"/>
        <v>7.18</v>
      </c>
      <c r="AS11" s="53">
        <f t="shared" si="26"/>
        <v>7.18</v>
      </c>
      <c r="AT11" s="54">
        <f t="shared" si="27"/>
        <v>416.66666666666669</v>
      </c>
      <c r="AU11" s="56"/>
      <c r="AV11" s="53">
        <f t="shared" si="28"/>
        <v>402.30666666666667</v>
      </c>
      <c r="AW11" s="53">
        <f t="shared" si="31"/>
        <v>7.18</v>
      </c>
      <c r="AX11" s="53">
        <f t="shared" si="33"/>
        <v>7.18</v>
      </c>
      <c r="AY11" s="54">
        <f t="shared" si="29"/>
        <v>416.66666666666669</v>
      </c>
      <c r="AZ11" s="58">
        <f t="shared" si="34"/>
        <v>2500</v>
      </c>
      <c r="BA11" s="59">
        <f t="shared" si="30"/>
        <v>2500</v>
      </c>
      <c r="BB11" s="60"/>
      <c r="BC11" s="60"/>
      <c r="BD11" s="60"/>
      <c r="BE11" s="60"/>
      <c r="BF11" s="60"/>
      <c r="BG11" s="61"/>
      <c r="BH11" s="62"/>
      <c r="BI11" s="63"/>
      <c r="BJ11" s="63"/>
      <c r="BK11" s="64"/>
      <c r="BL11" s="64"/>
      <c r="BM11" s="65"/>
      <c r="BN11" s="65"/>
      <c r="BO11" s="66"/>
      <c r="BP11" s="67"/>
      <c r="BQ11" s="21"/>
      <c r="BR11" s="48"/>
      <c r="BS11" s="48"/>
      <c r="BT11" s="68"/>
      <c r="BU11" s="1">
        <v>424</v>
      </c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</row>
    <row r="12" spans="1:214" ht="15.75" customHeight="1" thickBot="1" x14ac:dyDescent="0.3">
      <c r="A12" s="1"/>
      <c r="B12" s="375">
        <v>169</v>
      </c>
      <c r="C12" s="34">
        <f t="shared" si="0"/>
        <v>9</v>
      </c>
      <c r="D12" s="376" t="s">
        <v>148</v>
      </c>
      <c r="E12" s="233">
        <v>1</v>
      </c>
      <c r="F12" s="233"/>
      <c r="G12" s="233">
        <v>1</v>
      </c>
      <c r="H12" s="233"/>
      <c r="I12" s="233">
        <v>1</v>
      </c>
      <c r="J12" s="233"/>
      <c r="K12" s="233">
        <v>1</v>
      </c>
      <c r="L12" s="233"/>
      <c r="M12" s="233">
        <v>1</v>
      </c>
      <c r="N12" s="233"/>
      <c r="O12" s="233">
        <v>1</v>
      </c>
      <c r="P12" s="258"/>
      <c r="Q12" s="49">
        <f t="shared" si="6"/>
        <v>1</v>
      </c>
      <c r="R12" s="50">
        <f t="shared" si="32"/>
        <v>1550</v>
      </c>
      <c r="S12" s="51">
        <f t="shared" si="1"/>
        <v>0</v>
      </c>
      <c r="T12" s="11">
        <f t="shared" si="7"/>
        <v>1699.9999999999998</v>
      </c>
      <c r="U12" s="52">
        <f t="shared" si="2"/>
        <v>0</v>
      </c>
      <c r="V12" s="52" t="str">
        <f t="shared" si="3"/>
        <v>BONO</v>
      </c>
      <c r="W12" s="53">
        <f t="shared" si="8"/>
        <v>243.97333333333333</v>
      </c>
      <c r="X12" s="53">
        <f t="shared" si="9"/>
        <v>7.18</v>
      </c>
      <c r="Y12" s="53">
        <f t="shared" si="10"/>
        <v>7.18</v>
      </c>
      <c r="Z12" s="54">
        <f t="shared" si="11"/>
        <v>258.33333333333331</v>
      </c>
      <c r="AA12" s="55"/>
      <c r="AB12" s="53">
        <f t="shared" si="12"/>
        <v>243.97333333333333</v>
      </c>
      <c r="AC12" s="53">
        <f t="shared" si="13"/>
        <v>7.18</v>
      </c>
      <c r="AD12" s="53">
        <f t="shared" si="14"/>
        <v>7.18</v>
      </c>
      <c r="AE12" s="54">
        <f t="shared" si="15"/>
        <v>258.33333333333331</v>
      </c>
      <c r="AF12" s="56"/>
      <c r="AG12" s="53">
        <f t="shared" si="16"/>
        <v>243.97333333333333</v>
      </c>
      <c r="AH12" s="53">
        <f t="shared" si="17"/>
        <v>7.18</v>
      </c>
      <c r="AI12" s="53">
        <f t="shared" si="18"/>
        <v>7.18</v>
      </c>
      <c r="AJ12" s="54">
        <f t="shared" si="19"/>
        <v>258.33333333333331</v>
      </c>
      <c r="AK12" s="57"/>
      <c r="AL12" s="53">
        <f t="shared" si="20"/>
        <v>243.97333333333333</v>
      </c>
      <c r="AM12" s="53">
        <f t="shared" si="21"/>
        <v>7.18</v>
      </c>
      <c r="AN12" s="53">
        <f t="shared" si="22"/>
        <v>7.18</v>
      </c>
      <c r="AO12" s="54">
        <f t="shared" si="23"/>
        <v>258.33333333333331</v>
      </c>
      <c r="AP12" s="56"/>
      <c r="AQ12" s="53">
        <f t="shared" si="24"/>
        <v>243.97333333333333</v>
      </c>
      <c r="AR12" s="53">
        <f t="shared" si="25"/>
        <v>7.18</v>
      </c>
      <c r="AS12" s="53">
        <f t="shared" si="26"/>
        <v>7.18</v>
      </c>
      <c r="AT12" s="54">
        <f t="shared" si="27"/>
        <v>258.33333333333331</v>
      </c>
      <c r="AU12" s="56"/>
      <c r="AV12" s="53">
        <f t="shared" si="28"/>
        <v>243.97333333333333</v>
      </c>
      <c r="AW12" s="53">
        <f t="shared" si="31"/>
        <v>7.18</v>
      </c>
      <c r="AX12" s="53">
        <f t="shared" si="33"/>
        <v>7.18</v>
      </c>
      <c r="AY12" s="54">
        <f t="shared" si="29"/>
        <v>258.33333333333331</v>
      </c>
      <c r="AZ12" s="58">
        <f t="shared" si="34"/>
        <v>1549.9999999999998</v>
      </c>
      <c r="BA12" s="59">
        <f t="shared" si="30"/>
        <v>1699.9999999999998</v>
      </c>
      <c r="BB12" s="70"/>
      <c r="BC12" s="70"/>
      <c r="BD12" s="70"/>
      <c r="BE12" s="70"/>
      <c r="BF12" s="70"/>
      <c r="BG12" s="61" t="s">
        <v>7</v>
      </c>
      <c r="BH12" s="71"/>
      <c r="BI12" s="63"/>
      <c r="BJ12" s="63">
        <v>150</v>
      </c>
      <c r="BK12" s="63"/>
      <c r="BL12" s="64"/>
      <c r="BN12" s="64"/>
      <c r="BO12" s="66"/>
      <c r="BP12" s="72"/>
      <c r="BQ12" s="73"/>
      <c r="BR12" s="74"/>
      <c r="BS12" s="75"/>
      <c r="BT12" s="69"/>
      <c r="BU12" s="1"/>
    </row>
    <row r="13" spans="1:214" ht="15.75" customHeight="1" thickBot="1" x14ac:dyDescent="0.3">
      <c r="A13" s="1"/>
      <c r="B13" s="351">
        <v>152</v>
      </c>
      <c r="C13" s="34">
        <f t="shared" si="0"/>
        <v>10</v>
      </c>
      <c r="D13" s="352" t="s">
        <v>128</v>
      </c>
      <c r="E13" s="233">
        <v>1</v>
      </c>
      <c r="F13" s="233"/>
      <c r="G13" s="233">
        <v>1</v>
      </c>
      <c r="H13" s="233"/>
      <c r="I13" s="233">
        <v>1</v>
      </c>
      <c r="J13" s="233"/>
      <c r="K13" s="233">
        <v>1</v>
      </c>
      <c r="L13" s="233"/>
      <c r="M13" s="233">
        <v>1</v>
      </c>
      <c r="N13" s="233"/>
      <c r="O13" s="233">
        <v>1</v>
      </c>
      <c r="P13" s="258"/>
      <c r="Q13" s="49">
        <f t="shared" si="6"/>
        <v>1</v>
      </c>
      <c r="R13" s="50">
        <f t="shared" si="32"/>
        <v>1550</v>
      </c>
      <c r="S13" s="51">
        <f t="shared" si="1"/>
        <v>0</v>
      </c>
      <c r="T13" s="11">
        <f t="shared" si="7"/>
        <v>1999.9999999999998</v>
      </c>
      <c r="U13" s="52">
        <f t="shared" si="2"/>
        <v>0</v>
      </c>
      <c r="V13" s="52" t="str">
        <f t="shared" si="3"/>
        <v>BONO+B ASIS</v>
      </c>
      <c r="W13" s="53">
        <f t="shared" si="8"/>
        <v>243.97333333333333</v>
      </c>
      <c r="X13" s="53">
        <f t="shared" si="9"/>
        <v>7.18</v>
      </c>
      <c r="Y13" s="53">
        <f t="shared" si="10"/>
        <v>7.18</v>
      </c>
      <c r="Z13" s="54">
        <f t="shared" si="11"/>
        <v>258.33333333333331</v>
      </c>
      <c r="AA13" s="55"/>
      <c r="AB13" s="53">
        <f t="shared" si="12"/>
        <v>243.97333333333333</v>
      </c>
      <c r="AC13" s="53">
        <f t="shared" si="13"/>
        <v>7.18</v>
      </c>
      <c r="AD13" s="53">
        <f t="shared" si="14"/>
        <v>7.18</v>
      </c>
      <c r="AE13" s="54">
        <f t="shared" si="15"/>
        <v>258.33333333333331</v>
      </c>
      <c r="AF13" s="56"/>
      <c r="AG13" s="53">
        <f t="shared" si="16"/>
        <v>243.97333333333333</v>
      </c>
      <c r="AH13" s="53">
        <f t="shared" si="17"/>
        <v>7.18</v>
      </c>
      <c r="AI13" s="53">
        <f t="shared" si="18"/>
        <v>7.18</v>
      </c>
      <c r="AJ13" s="54">
        <f t="shared" si="19"/>
        <v>258.33333333333331</v>
      </c>
      <c r="AK13" s="57"/>
      <c r="AL13" s="53">
        <f t="shared" si="20"/>
        <v>243.97333333333333</v>
      </c>
      <c r="AM13" s="53">
        <f t="shared" si="21"/>
        <v>7.18</v>
      </c>
      <c r="AN13" s="53">
        <f t="shared" si="22"/>
        <v>7.18</v>
      </c>
      <c r="AO13" s="54">
        <f t="shared" si="23"/>
        <v>258.33333333333331</v>
      </c>
      <c r="AP13" s="56"/>
      <c r="AQ13" s="53">
        <f t="shared" si="24"/>
        <v>243.97333333333333</v>
      </c>
      <c r="AR13" s="53">
        <f t="shared" si="25"/>
        <v>7.18</v>
      </c>
      <c r="AS13" s="53">
        <f t="shared" si="26"/>
        <v>7.18</v>
      </c>
      <c r="AT13" s="54">
        <f t="shared" si="27"/>
        <v>258.33333333333331</v>
      </c>
      <c r="AU13" s="56"/>
      <c r="AV13" s="53">
        <f t="shared" si="28"/>
        <v>243.97333333333333</v>
      </c>
      <c r="AW13" s="53">
        <f t="shared" si="31"/>
        <v>7.18</v>
      </c>
      <c r="AX13" s="53">
        <f>$Y$2*O13*Q13</f>
        <v>7.18</v>
      </c>
      <c r="AY13" s="54">
        <f t="shared" si="29"/>
        <v>258.33333333333331</v>
      </c>
      <c r="AZ13" s="58">
        <f t="shared" si="34"/>
        <v>1549.9999999999998</v>
      </c>
      <c r="BA13" s="59">
        <f t="shared" si="30"/>
        <v>1999.9999999999998</v>
      </c>
      <c r="BB13" s="60"/>
      <c r="BC13" s="60"/>
      <c r="BD13" s="60"/>
      <c r="BE13" s="60"/>
      <c r="BF13" s="60"/>
      <c r="BG13" s="61" t="s">
        <v>133</v>
      </c>
      <c r="BH13" s="62"/>
      <c r="BI13" s="63">
        <v>300</v>
      </c>
      <c r="BJ13" s="63">
        <v>150</v>
      </c>
      <c r="BK13" s="64"/>
      <c r="BL13" s="63"/>
      <c r="BM13" s="65"/>
      <c r="BN13" s="65"/>
      <c r="BO13" s="66"/>
      <c r="BP13" s="67"/>
      <c r="BQ13" s="21"/>
      <c r="BR13" s="48"/>
      <c r="BS13" s="48"/>
      <c r="BT13" s="68"/>
      <c r="BU13" s="1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</row>
    <row r="14" spans="1:214" s="287" customFormat="1" ht="15.75" customHeight="1" thickBot="1" x14ac:dyDescent="0.3">
      <c r="A14" s="1"/>
      <c r="B14" s="375">
        <v>146</v>
      </c>
      <c r="C14" s="34">
        <f t="shared" si="0"/>
        <v>11</v>
      </c>
      <c r="D14" s="376" t="s">
        <v>124</v>
      </c>
      <c r="E14" s="233">
        <v>1</v>
      </c>
      <c r="F14" s="233"/>
      <c r="G14" s="233">
        <v>1</v>
      </c>
      <c r="H14" s="233"/>
      <c r="I14" s="233">
        <v>1</v>
      </c>
      <c r="J14" s="233"/>
      <c r="K14" s="233">
        <v>1</v>
      </c>
      <c r="L14" s="233"/>
      <c r="M14" s="233">
        <v>1</v>
      </c>
      <c r="N14" s="233"/>
      <c r="O14" s="233">
        <v>1</v>
      </c>
      <c r="P14" s="258"/>
      <c r="Q14" s="49">
        <f t="shared" si="6"/>
        <v>1</v>
      </c>
      <c r="R14" s="50">
        <f t="shared" si="32"/>
        <v>1550</v>
      </c>
      <c r="S14" s="51">
        <f t="shared" si="1"/>
        <v>0</v>
      </c>
      <c r="T14" s="11">
        <f t="shared" si="7"/>
        <v>1949.9999999999998</v>
      </c>
      <c r="U14" s="52">
        <f t="shared" si="2"/>
        <v>0</v>
      </c>
      <c r="V14" s="52" t="str">
        <f t="shared" si="3"/>
        <v>BONO+B ASIS</v>
      </c>
      <c r="W14" s="53">
        <f t="shared" si="8"/>
        <v>243.97333333333333</v>
      </c>
      <c r="X14" s="53">
        <f t="shared" si="9"/>
        <v>7.18</v>
      </c>
      <c r="Y14" s="53">
        <f t="shared" si="10"/>
        <v>7.18</v>
      </c>
      <c r="Z14" s="54">
        <f t="shared" si="11"/>
        <v>258.33333333333331</v>
      </c>
      <c r="AA14" s="55"/>
      <c r="AB14" s="53">
        <f t="shared" si="12"/>
        <v>243.97333333333333</v>
      </c>
      <c r="AC14" s="53">
        <f t="shared" si="13"/>
        <v>7.18</v>
      </c>
      <c r="AD14" s="53">
        <f t="shared" si="14"/>
        <v>7.18</v>
      </c>
      <c r="AE14" s="54">
        <f t="shared" si="15"/>
        <v>258.33333333333331</v>
      </c>
      <c r="AF14" s="56"/>
      <c r="AG14" s="53">
        <f t="shared" si="16"/>
        <v>243.97333333333333</v>
      </c>
      <c r="AH14" s="53">
        <f t="shared" si="17"/>
        <v>7.18</v>
      </c>
      <c r="AI14" s="53">
        <f t="shared" si="18"/>
        <v>7.18</v>
      </c>
      <c r="AJ14" s="54">
        <f t="shared" si="19"/>
        <v>258.33333333333331</v>
      </c>
      <c r="AK14" s="57"/>
      <c r="AL14" s="53">
        <f t="shared" si="20"/>
        <v>243.97333333333333</v>
      </c>
      <c r="AM14" s="53">
        <f t="shared" si="21"/>
        <v>7.18</v>
      </c>
      <c r="AN14" s="53">
        <f t="shared" si="22"/>
        <v>7.18</v>
      </c>
      <c r="AO14" s="54">
        <f t="shared" si="23"/>
        <v>258.33333333333331</v>
      </c>
      <c r="AP14" s="56"/>
      <c r="AQ14" s="53">
        <f t="shared" si="24"/>
        <v>243.97333333333333</v>
      </c>
      <c r="AR14" s="53">
        <f t="shared" si="25"/>
        <v>7.18</v>
      </c>
      <c r="AS14" s="53">
        <f t="shared" si="26"/>
        <v>7.18</v>
      </c>
      <c r="AT14" s="54">
        <f t="shared" si="27"/>
        <v>258.33333333333331</v>
      </c>
      <c r="AU14" s="56"/>
      <c r="AV14" s="53">
        <f t="shared" si="28"/>
        <v>243.97333333333333</v>
      </c>
      <c r="AW14" s="53">
        <f t="shared" si="31"/>
        <v>7.18</v>
      </c>
      <c r="AX14" s="53">
        <f>$Y$2*O14*Q14</f>
        <v>7.18</v>
      </c>
      <c r="AY14" s="54">
        <f t="shared" si="29"/>
        <v>258.33333333333331</v>
      </c>
      <c r="AZ14" s="58">
        <f t="shared" si="34"/>
        <v>1549.9999999999998</v>
      </c>
      <c r="BA14" s="59">
        <f t="shared" si="30"/>
        <v>1949.9999999999998</v>
      </c>
      <c r="BB14" s="60"/>
      <c r="BC14" s="60"/>
      <c r="BD14" s="60"/>
      <c r="BE14" s="60"/>
      <c r="BF14" s="60"/>
      <c r="BG14" s="61" t="s">
        <v>133</v>
      </c>
      <c r="BH14" s="62"/>
      <c r="BI14" s="63">
        <v>250</v>
      </c>
      <c r="BJ14" s="63">
        <v>150</v>
      </c>
      <c r="BK14" s="64"/>
      <c r="BL14" s="63"/>
      <c r="BM14" s="65"/>
      <c r="BN14" s="65"/>
      <c r="BO14" s="66"/>
      <c r="BP14" s="67"/>
      <c r="BQ14" s="21"/>
      <c r="BR14" s="48"/>
      <c r="BS14" s="48"/>
      <c r="BT14" s="68"/>
      <c r="BU14" s="1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</row>
    <row r="15" spans="1:214" s="287" customFormat="1" ht="15.75" customHeight="1" thickBot="1" x14ac:dyDescent="0.3">
      <c r="A15" s="1">
        <v>470</v>
      </c>
      <c r="B15" s="275">
        <v>51</v>
      </c>
      <c r="C15" s="34">
        <f t="shared" si="0"/>
        <v>12</v>
      </c>
      <c r="D15" s="274" t="s">
        <v>115</v>
      </c>
      <c r="E15" s="233">
        <v>1</v>
      </c>
      <c r="F15" s="233"/>
      <c r="G15" s="233">
        <v>1</v>
      </c>
      <c r="H15" s="233"/>
      <c r="I15" s="233">
        <v>1</v>
      </c>
      <c r="J15" s="233"/>
      <c r="K15" s="233">
        <v>1</v>
      </c>
      <c r="L15" s="233"/>
      <c r="M15" s="233">
        <v>1</v>
      </c>
      <c r="N15" s="233"/>
      <c r="O15" s="233">
        <v>1</v>
      </c>
      <c r="P15" s="258"/>
      <c r="Q15" s="49">
        <f t="shared" si="6"/>
        <v>1</v>
      </c>
      <c r="R15" s="260">
        <v>3000</v>
      </c>
      <c r="S15" s="51">
        <f t="shared" si="1"/>
        <v>0</v>
      </c>
      <c r="T15" s="11">
        <f t="shared" si="7"/>
        <v>5585.7100000000009</v>
      </c>
      <c r="U15" s="52">
        <f t="shared" si="2"/>
        <v>0</v>
      </c>
      <c r="V15" s="52" t="str">
        <f t="shared" si="3"/>
        <v>BONO+FINIQUITO</v>
      </c>
      <c r="W15" s="53">
        <f t="shared" si="8"/>
        <v>485.64000000000004</v>
      </c>
      <c r="X15" s="53">
        <f t="shared" si="9"/>
        <v>7.18</v>
      </c>
      <c r="Y15" s="53">
        <f t="shared" si="10"/>
        <v>7.18</v>
      </c>
      <c r="Z15" s="54">
        <f t="shared" si="11"/>
        <v>500.00000000000006</v>
      </c>
      <c r="AA15" s="55"/>
      <c r="AB15" s="53">
        <f t="shared" si="12"/>
        <v>485.64000000000004</v>
      </c>
      <c r="AC15" s="53">
        <f t="shared" si="13"/>
        <v>7.18</v>
      </c>
      <c r="AD15" s="53">
        <f t="shared" si="14"/>
        <v>7.18</v>
      </c>
      <c r="AE15" s="54">
        <f>AD15+AC15+AB15</f>
        <v>500.00000000000006</v>
      </c>
      <c r="AF15" s="56"/>
      <c r="AG15" s="53">
        <f t="shared" si="16"/>
        <v>485.64000000000004</v>
      </c>
      <c r="AH15" s="53">
        <f t="shared" si="17"/>
        <v>7.18</v>
      </c>
      <c r="AI15" s="53">
        <f t="shared" si="18"/>
        <v>7.18</v>
      </c>
      <c r="AJ15" s="54">
        <f t="shared" si="19"/>
        <v>500.00000000000006</v>
      </c>
      <c r="AK15" s="57"/>
      <c r="AL15" s="53">
        <f t="shared" si="20"/>
        <v>485.64000000000004</v>
      </c>
      <c r="AM15" s="53">
        <f t="shared" si="21"/>
        <v>7.18</v>
      </c>
      <c r="AN15" s="53">
        <f t="shared" si="22"/>
        <v>7.18</v>
      </c>
      <c r="AO15" s="54">
        <f t="shared" si="23"/>
        <v>500.00000000000006</v>
      </c>
      <c r="AP15" s="56"/>
      <c r="AQ15" s="53">
        <f t="shared" si="24"/>
        <v>485.64000000000004</v>
      </c>
      <c r="AR15" s="53">
        <f t="shared" si="25"/>
        <v>7.18</v>
      </c>
      <c r="AS15" s="53">
        <f t="shared" si="26"/>
        <v>7.18</v>
      </c>
      <c r="AT15" s="54">
        <f t="shared" si="27"/>
        <v>500.00000000000006</v>
      </c>
      <c r="AU15" s="56"/>
      <c r="AV15" s="53">
        <f t="shared" si="28"/>
        <v>485.64000000000004</v>
      </c>
      <c r="AW15" s="53">
        <f t="shared" si="31"/>
        <v>7.18</v>
      </c>
      <c r="AX15" s="53">
        <f>$Y$2*O15*Q15</f>
        <v>7.18</v>
      </c>
      <c r="AY15" s="54">
        <f t="shared" si="29"/>
        <v>500.00000000000006</v>
      </c>
      <c r="AZ15" s="58">
        <f t="shared" si="34"/>
        <v>3000.0000000000005</v>
      </c>
      <c r="BA15" s="59">
        <f t="shared" si="30"/>
        <v>5585.7100000000009</v>
      </c>
      <c r="BB15" s="60"/>
      <c r="BC15" s="60"/>
      <c r="BD15" s="60"/>
      <c r="BE15" s="60"/>
      <c r="BF15" s="60"/>
      <c r="BG15" s="61" t="s">
        <v>171</v>
      </c>
      <c r="BH15" s="62"/>
      <c r="BI15" s="63">
        <v>1000</v>
      </c>
      <c r="BJ15" s="63"/>
      <c r="BK15" s="64"/>
      <c r="BL15" s="63">
        <v>1585.71</v>
      </c>
      <c r="BM15" s="65"/>
      <c r="BN15" s="65"/>
      <c r="BO15" s="66"/>
      <c r="BP15" s="67"/>
      <c r="BQ15" s="21"/>
      <c r="BR15" s="48"/>
      <c r="BS15" s="48"/>
      <c r="BT15" s="68"/>
      <c r="BU15" s="1">
        <v>470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</row>
    <row r="16" spans="1:214" ht="15.75" customHeight="1" thickBot="1" x14ac:dyDescent="0.3">
      <c r="A16" s="1">
        <v>429</v>
      </c>
      <c r="B16" s="78"/>
      <c r="C16" s="79"/>
      <c r="D16" s="21"/>
      <c r="E16" s="80">
        <f>SUM(E4:E15)</f>
        <v>12</v>
      </c>
      <c r="F16" s="80"/>
      <c r="G16" s="80">
        <f>SUM(G4:G15)</f>
        <v>12</v>
      </c>
      <c r="H16" s="80"/>
      <c r="I16" s="80">
        <f>SUM(I4:I15)</f>
        <v>12</v>
      </c>
      <c r="J16" s="81"/>
      <c r="K16" s="80">
        <f>SUM(K4:K15)</f>
        <v>12</v>
      </c>
      <c r="L16" s="81"/>
      <c r="M16" s="80">
        <f>SUM(M4:M15)</f>
        <v>12</v>
      </c>
      <c r="N16" s="80"/>
      <c r="O16" s="80">
        <f>SUM(O4:O15)</f>
        <v>12</v>
      </c>
      <c r="P16" s="80"/>
      <c r="Q16" s="80"/>
      <c r="R16" s="82"/>
      <c r="S16" s="51"/>
      <c r="T16" s="11"/>
      <c r="U16" s="52"/>
      <c r="V16" s="52"/>
      <c r="W16" s="53"/>
      <c r="X16" s="53"/>
      <c r="Y16" s="53"/>
      <c r="Z16" s="54"/>
      <c r="AA16" s="55"/>
      <c r="AB16" s="53"/>
      <c r="AC16" s="53"/>
      <c r="AD16" s="53"/>
      <c r="AE16" s="54"/>
      <c r="AF16" s="56"/>
      <c r="AG16" s="53"/>
      <c r="AH16" s="53"/>
      <c r="AI16" s="53"/>
      <c r="AJ16" s="54"/>
      <c r="AK16" s="57"/>
      <c r="AL16" s="53"/>
      <c r="AM16" s="53"/>
      <c r="AN16" s="53"/>
      <c r="AO16" s="54"/>
      <c r="AP16" s="56"/>
      <c r="AQ16" s="53"/>
      <c r="AR16" s="53"/>
      <c r="AS16" s="53"/>
      <c r="AT16" s="54"/>
      <c r="AU16" s="56"/>
      <c r="AV16" s="53"/>
      <c r="AW16" s="53"/>
      <c r="AX16" s="53"/>
      <c r="AY16" s="54"/>
      <c r="AZ16" s="58"/>
      <c r="BA16" s="59"/>
      <c r="BG16" s="83"/>
      <c r="BO16" s="67"/>
      <c r="BP16" s="67"/>
      <c r="BQ16" s="21"/>
      <c r="BR16" s="84"/>
      <c r="BS16" s="84"/>
      <c r="BU16" s="1">
        <v>429</v>
      </c>
    </row>
    <row r="17" spans="1:214" ht="15.75" customHeight="1" thickBot="1" x14ac:dyDescent="0.35">
      <c r="A17" s="1">
        <v>430</v>
      </c>
      <c r="C17" s="79"/>
      <c r="D17" s="21"/>
      <c r="E17" s="8"/>
      <c r="F17" s="85"/>
      <c r="G17" s="8"/>
      <c r="H17" s="22"/>
      <c r="I17" s="8"/>
      <c r="J17" s="22"/>
      <c r="K17" s="8"/>
      <c r="L17" s="22"/>
      <c r="M17" s="8"/>
      <c r="N17" s="22"/>
      <c r="O17" s="8"/>
      <c r="P17" s="22"/>
      <c r="Q17" s="8"/>
      <c r="R17" s="82"/>
      <c r="S17" s="51"/>
      <c r="T17" s="11"/>
      <c r="U17" s="52"/>
      <c r="V17" s="52"/>
      <c r="W17" s="53"/>
      <c r="X17" s="53"/>
      <c r="Y17" s="53"/>
      <c r="Z17" s="54"/>
      <c r="AA17" s="55"/>
      <c r="AB17" s="53"/>
      <c r="AC17" s="53"/>
      <c r="AD17" s="53"/>
      <c r="AE17" s="54"/>
      <c r="AF17" s="56"/>
      <c r="AG17" s="53"/>
      <c r="AH17" s="53"/>
      <c r="AI17" s="53"/>
      <c r="AJ17" s="54"/>
      <c r="AK17" s="57"/>
      <c r="AL17" s="53"/>
      <c r="AM17" s="53"/>
      <c r="AN17" s="53"/>
      <c r="AO17" s="54"/>
      <c r="AP17" s="56"/>
      <c r="AQ17" s="53"/>
      <c r="AR17" s="53"/>
      <c r="AS17" s="53"/>
      <c r="AT17" s="54"/>
      <c r="AU17" s="56"/>
      <c r="AV17" s="53"/>
      <c r="AW17" s="53"/>
      <c r="AX17" s="53"/>
      <c r="AY17" s="54"/>
      <c r="AZ17" s="58"/>
      <c r="BA17" s="59"/>
      <c r="BG17" s="83"/>
      <c r="BO17" s="86"/>
      <c r="BP17" s="87"/>
      <c r="BQ17" s="21"/>
      <c r="BT17" s="68"/>
      <c r="BU17" s="1">
        <v>430</v>
      </c>
    </row>
    <row r="18" spans="1:214" ht="15.75" customHeight="1" thickBot="1" x14ac:dyDescent="0.3">
      <c r="A18" s="1">
        <v>431</v>
      </c>
      <c r="B18" s="88" t="s">
        <v>26</v>
      </c>
      <c r="C18" s="89" t="s">
        <v>27</v>
      </c>
      <c r="D18" s="90"/>
      <c r="E18" s="8"/>
      <c r="F18" s="91"/>
      <c r="G18" s="42" t="s">
        <v>8</v>
      </c>
      <c r="H18" s="42"/>
      <c r="I18" s="42" t="s">
        <v>9</v>
      </c>
      <c r="J18" s="42"/>
      <c r="K18" s="42" t="s">
        <v>9</v>
      </c>
      <c r="L18" s="42"/>
      <c r="M18" s="42" t="s">
        <v>10</v>
      </c>
      <c r="N18" s="42"/>
      <c r="O18" s="42" t="s">
        <v>11</v>
      </c>
      <c r="P18" s="42"/>
      <c r="Q18" s="42" t="s">
        <v>12</v>
      </c>
      <c r="R18" s="42"/>
      <c r="S18" s="9"/>
      <c r="T18" s="11"/>
      <c r="U18" s="11"/>
      <c r="V18" s="11"/>
      <c r="W18" s="12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59"/>
      <c r="BO18" s="92"/>
      <c r="BP18" s="92"/>
      <c r="BQ18" s="21"/>
      <c r="BR18" s="21"/>
      <c r="BS18" s="21"/>
      <c r="BT18" s="68"/>
      <c r="BU18" s="1">
        <v>431</v>
      </c>
    </row>
    <row r="19" spans="1:214" ht="20.25" customHeight="1" thickBot="1" x14ac:dyDescent="0.3">
      <c r="A19" s="1">
        <v>432</v>
      </c>
      <c r="B19" s="21">
        <f>E16</f>
        <v>12</v>
      </c>
      <c r="C19" s="93">
        <f>G25</f>
        <v>12</v>
      </c>
      <c r="D19" s="94">
        <f t="shared" ref="D19:D22" si="35">+B19-C19</f>
        <v>0</v>
      </c>
      <c r="E19" s="95"/>
      <c r="F19" s="96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8" t="s">
        <v>28</v>
      </c>
      <c r="S19" s="10"/>
      <c r="T19" s="10" t="s">
        <v>31</v>
      </c>
      <c r="U19" s="94"/>
      <c r="V19" s="40"/>
      <c r="W19" s="42"/>
      <c r="X19" s="9"/>
      <c r="Y19" s="9"/>
      <c r="Z19" s="9"/>
      <c r="AA19" s="9"/>
      <c r="AB19" s="42"/>
      <c r="AC19" s="9"/>
      <c r="AD19" s="9"/>
      <c r="AE19" s="9"/>
      <c r="AF19" s="9"/>
      <c r="AG19" s="42"/>
      <c r="AH19" s="9"/>
      <c r="AI19" s="9"/>
      <c r="AJ19" s="9"/>
      <c r="AK19" s="9"/>
      <c r="AL19" s="9"/>
      <c r="AM19" s="9"/>
      <c r="AN19" s="9"/>
      <c r="AO19" s="9"/>
      <c r="AP19" s="9"/>
      <c r="AQ19" s="42"/>
      <c r="AR19" s="9"/>
      <c r="AS19" s="9"/>
      <c r="AT19" s="9"/>
      <c r="AU19" s="9"/>
      <c r="AV19" s="42"/>
      <c r="AW19" s="9"/>
      <c r="AX19" s="9"/>
      <c r="AY19" s="9"/>
      <c r="AZ19" s="99"/>
      <c r="BA19" s="59"/>
      <c r="BE19" s="100"/>
      <c r="BO19" s="101"/>
      <c r="BP19" s="92"/>
      <c r="BQ19" s="21"/>
      <c r="BR19" s="21"/>
      <c r="BS19" s="21"/>
      <c r="BT19" s="68"/>
      <c r="BU19" s="1">
        <v>432</v>
      </c>
    </row>
    <row r="20" spans="1:214" ht="20.25" customHeight="1" thickBot="1" x14ac:dyDescent="0.3">
      <c r="A20" s="1">
        <v>433</v>
      </c>
      <c r="B20" s="21">
        <f>G16</f>
        <v>12</v>
      </c>
      <c r="C20" s="93">
        <f>I25</f>
        <v>12</v>
      </c>
      <c r="D20" s="94">
        <f>+B20-C20</f>
        <v>0</v>
      </c>
      <c r="E20" s="102" t="s">
        <v>29</v>
      </c>
      <c r="F20" s="103"/>
      <c r="G20" s="104">
        <v>1</v>
      </c>
      <c r="H20" s="105"/>
      <c r="I20" s="104">
        <v>1</v>
      </c>
      <c r="J20" s="105"/>
      <c r="K20" s="104">
        <v>1</v>
      </c>
      <c r="L20" s="105"/>
      <c r="M20" s="104">
        <v>1</v>
      </c>
      <c r="N20" s="105"/>
      <c r="O20" s="104">
        <v>1</v>
      </c>
      <c r="P20" s="105"/>
      <c r="Q20" s="104">
        <v>1</v>
      </c>
      <c r="R20" s="111">
        <f t="shared" ref="R20:R24" si="36">AVERAGE(G20,I20,K20,M20,O20,Q20)</f>
        <v>1</v>
      </c>
      <c r="S20" s="10"/>
      <c r="T20" s="11" t="s">
        <v>31</v>
      </c>
      <c r="U20" s="94"/>
      <c r="V20" s="40"/>
      <c r="W20" s="42"/>
      <c r="X20" s="9"/>
      <c r="Y20" s="9"/>
      <c r="Z20" s="9"/>
      <c r="AA20" s="9"/>
      <c r="AB20" s="42"/>
      <c r="AC20" s="9"/>
      <c r="AD20" s="9"/>
      <c r="AE20" s="9"/>
      <c r="AF20" s="9"/>
      <c r="AG20" s="42"/>
      <c r="AH20" s="9"/>
      <c r="AI20" s="9"/>
      <c r="AJ20" s="9"/>
      <c r="AK20" s="9"/>
      <c r="AL20" s="9"/>
      <c r="AM20" s="9"/>
      <c r="AN20" s="9"/>
      <c r="AO20" s="9"/>
      <c r="AP20" s="9"/>
      <c r="AQ20" s="42"/>
      <c r="AR20" s="9"/>
      <c r="AS20" s="9"/>
      <c r="AT20" s="9"/>
      <c r="AU20" s="9"/>
      <c r="AV20" s="42"/>
      <c r="AW20" s="9"/>
      <c r="AX20" s="9"/>
      <c r="AY20" s="9"/>
      <c r="AZ20" s="99"/>
      <c r="BA20" s="59"/>
      <c r="BE20" s="100"/>
      <c r="BO20" s="101"/>
      <c r="BP20" s="92"/>
      <c r="BQ20" s="21"/>
      <c r="BR20" s="21"/>
      <c r="BS20" s="21"/>
      <c r="BT20" s="68"/>
      <c r="BU20" s="1">
        <v>433</v>
      </c>
    </row>
    <row r="21" spans="1:214" ht="20.25" customHeight="1" thickBot="1" x14ac:dyDescent="0.3">
      <c r="A21" s="1">
        <v>434</v>
      </c>
      <c r="B21" s="21">
        <f>I16</f>
        <v>12</v>
      </c>
      <c r="C21" s="93">
        <f>K25</f>
        <v>12</v>
      </c>
      <c r="D21" s="94">
        <f t="shared" si="35"/>
        <v>0</v>
      </c>
      <c r="E21" s="102" t="s">
        <v>22</v>
      </c>
      <c r="F21" s="103"/>
      <c r="G21" s="104">
        <v>1</v>
      </c>
      <c r="H21" s="105"/>
      <c r="I21" s="104">
        <v>1</v>
      </c>
      <c r="J21" s="105"/>
      <c r="K21" s="104">
        <v>1</v>
      </c>
      <c r="L21" s="105"/>
      <c r="M21" s="104">
        <v>1</v>
      </c>
      <c r="N21" s="105"/>
      <c r="O21" s="104">
        <v>1</v>
      </c>
      <c r="P21" s="105"/>
      <c r="Q21" s="104">
        <v>1</v>
      </c>
      <c r="R21" s="111">
        <f t="shared" si="36"/>
        <v>1</v>
      </c>
      <c r="S21" s="10"/>
      <c r="T21" s="11"/>
      <c r="U21" s="94"/>
      <c r="V21" s="40"/>
      <c r="W21" s="42"/>
      <c r="X21" s="9"/>
      <c r="Y21" s="9"/>
      <c r="Z21" s="9"/>
      <c r="AA21" s="9"/>
      <c r="AB21" s="42"/>
      <c r="AC21" s="9"/>
      <c r="AD21" s="9"/>
      <c r="AE21" s="9"/>
      <c r="AF21" s="9"/>
      <c r="AG21" s="42"/>
      <c r="AH21" s="9"/>
      <c r="AI21" s="9"/>
      <c r="AJ21" s="9"/>
      <c r="AK21" s="9"/>
      <c r="AL21" s="9"/>
      <c r="AM21" s="9"/>
      <c r="AN21" s="9"/>
      <c r="AO21" s="9"/>
      <c r="AP21" s="9"/>
      <c r="AQ21" s="42"/>
      <c r="AR21" s="9"/>
      <c r="AS21" s="9"/>
      <c r="AT21" s="9"/>
      <c r="AU21" s="9"/>
      <c r="AV21" s="42"/>
      <c r="AW21" s="9"/>
      <c r="AX21" s="9"/>
      <c r="AY21" s="9"/>
      <c r="AZ21" s="99"/>
      <c r="BA21" s="59"/>
      <c r="BE21" s="100"/>
      <c r="BO21" s="101"/>
      <c r="BP21" s="92"/>
      <c r="BQ21" s="21"/>
      <c r="BR21" s="21"/>
      <c r="BS21" s="21"/>
      <c r="BT21" s="68"/>
      <c r="BU21" s="1">
        <v>434</v>
      </c>
    </row>
    <row r="22" spans="1:214" ht="20.25" customHeight="1" thickBot="1" x14ac:dyDescent="0.3">
      <c r="A22" s="1">
        <v>435</v>
      </c>
      <c r="B22" s="21">
        <f>K16</f>
        <v>12</v>
      </c>
      <c r="C22" s="93">
        <f>M25</f>
        <v>12</v>
      </c>
      <c r="D22" s="94">
        <f t="shared" si="35"/>
        <v>0</v>
      </c>
      <c r="E22" s="102" t="s">
        <v>30</v>
      </c>
      <c r="F22" s="103"/>
      <c r="G22" s="104">
        <v>2</v>
      </c>
      <c r="H22" s="105"/>
      <c r="I22" s="104">
        <v>2</v>
      </c>
      <c r="J22" s="105"/>
      <c r="K22" s="104">
        <v>2</v>
      </c>
      <c r="L22" s="105"/>
      <c r="M22" s="104">
        <v>2</v>
      </c>
      <c r="N22" s="105"/>
      <c r="O22" s="104">
        <v>2</v>
      </c>
      <c r="P22" s="105"/>
      <c r="Q22" s="104">
        <v>2</v>
      </c>
      <c r="R22" s="111">
        <f t="shared" si="36"/>
        <v>2</v>
      </c>
      <c r="S22" s="10"/>
      <c r="T22" s="11"/>
      <c r="U22" s="94" t="s">
        <v>31</v>
      </c>
      <c r="V22" s="40"/>
      <c r="W22" s="42"/>
      <c r="X22" s="9"/>
      <c r="Y22" s="9"/>
      <c r="Z22" s="9"/>
      <c r="AA22" s="9"/>
      <c r="AB22" s="42"/>
      <c r="AC22" s="9"/>
      <c r="AD22" s="9"/>
      <c r="AE22" s="9"/>
      <c r="AF22" s="9"/>
      <c r="AG22" s="42"/>
      <c r="AH22" s="9"/>
      <c r="AI22" s="9"/>
      <c r="AJ22" s="9"/>
      <c r="AK22" s="9"/>
      <c r="AL22" s="9"/>
      <c r="AM22" s="9"/>
      <c r="AN22" s="9"/>
      <c r="AO22" s="9"/>
      <c r="AP22" s="9"/>
      <c r="AQ22" s="42"/>
      <c r="AR22" s="9"/>
      <c r="AS22" s="9"/>
      <c r="AT22" s="9"/>
      <c r="AU22" s="9"/>
      <c r="AV22" s="42"/>
      <c r="AW22" s="9"/>
      <c r="AX22" s="9"/>
      <c r="AY22" s="9"/>
      <c r="AZ22" s="99"/>
      <c r="BA22" s="59"/>
      <c r="BE22" s="100"/>
      <c r="BO22" s="101"/>
      <c r="BP22" s="92"/>
      <c r="BQ22" s="21"/>
      <c r="BR22" s="21"/>
      <c r="BS22" s="21"/>
      <c r="BT22" s="68"/>
      <c r="BU22" s="1">
        <v>435</v>
      </c>
    </row>
    <row r="23" spans="1:214" ht="20.25" customHeight="1" thickBot="1" x14ac:dyDescent="0.3">
      <c r="A23" s="1">
        <v>436</v>
      </c>
      <c r="B23" s="21">
        <f>M16</f>
        <v>12</v>
      </c>
      <c r="C23" s="93">
        <f>O25</f>
        <v>12</v>
      </c>
      <c r="D23" s="94">
        <f>+B23-C23</f>
        <v>0</v>
      </c>
      <c r="E23" s="102" t="s">
        <v>32</v>
      </c>
      <c r="F23" s="103"/>
      <c r="G23" s="104">
        <v>8</v>
      </c>
      <c r="H23" s="105"/>
      <c r="I23" s="104">
        <v>8</v>
      </c>
      <c r="J23" s="105"/>
      <c r="K23" s="104">
        <v>8</v>
      </c>
      <c r="L23" s="105"/>
      <c r="M23" s="104">
        <v>8</v>
      </c>
      <c r="N23" s="105"/>
      <c r="O23" s="104">
        <v>8</v>
      </c>
      <c r="P23" s="105"/>
      <c r="Q23" s="104">
        <v>8</v>
      </c>
      <c r="R23" s="111">
        <f t="shared" si="36"/>
        <v>8</v>
      </c>
      <c r="S23" s="10"/>
      <c r="T23" s="11"/>
      <c r="U23" s="94"/>
      <c r="V23" s="40"/>
      <c r="W23" s="42"/>
      <c r="X23" s="9"/>
      <c r="Y23" s="9"/>
      <c r="Z23" s="9"/>
      <c r="AA23" s="9"/>
      <c r="AB23" s="42"/>
      <c r="AC23" s="9"/>
      <c r="AD23" s="9"/>
      <c r="AE23" s="9"/>
      <c r="AF23" s="9"/>
      <c r="AG23" s="42"/>
      <c r="AH23" s="9"/>
      <c r="AI23" s="9"/>
      <c r="AJ23" s="9"/>
      <c r="AK23" s="9"/>
      <c r="AL23" s="9"/>
      <c r="AM23" s="9"/>
      <c r="AN23" s="9"/>
      <c r="AO23" s="9"/>
      <c r="AP23" s="9"/>
      <c r="AQ23" s="42"/>
      <c r="AR23" s="9"/>
      <c r="AS23" s="9"/>
      <c r="AT23" s="9"/>
      <c r="AU23" s="9"/>
      <c r="AV23" s="42"/>
      <c r="AW23" s="9"/>
      <c r="AX23" s="9"/>
      <c r="AY23" s="9"/>
      <c r="AZ23" s="99"/>
      <c r="BA23" s="59"/>
      <c r="BE23" s="100"/>
      <c r="BO23" s="101"/>
      <c r="BP23" s="92"/>
      <c r="BQ23" s="21"/>
      <c r="BR23" s="21"/>
      <c r="BS23" s="21"/>
      <c r="BT23" s="68"/>
      <c r="BU23" s="1">
        <v>436</v>
      </c>
    </row>
    <row r="24" spans="1:214" ht="20.25" customHeight="1" thickBot="1" x14ac:dyDescent="0.3">
      <c r="A24" s="1">
        <v>437</v>
      </c>
      <c r="B24" s="21">
        <f>O16</f>
        <v>12</v>
      </c>
      <c r="C24" s="93">
        <f>Q25</f>
        <v>12</v>
      </c>
      <c r="D24" s="94">
        <f>+B24-C24</f>
        <v>0</v>
      </c>
      <c r="E24" s="102" t="s">
        <v>33</v>
      </c>
      <c r="F24" s="103"/>
      <c r="G24" s="104">
        <v>0</v>
      </c>
      <c r="H24" s="105"/>
      <c r="I24" s="104">
        <v>0</v>
      </c>
      <c r="J24" s="105"/>
      <c r="K24" s="104">
        <v>0</v>
      </c>
      <c r="L24" s="105"/>
      <c r="M24" s="104">
        <v>0</v>
      </c>
      <c r="N24" s="105"/>
      <c r="O24" s="104">
        <v>0</v>
      </c>
      <c r="P24" s="105"/>
      <c r="Q24" s="104">
        <v>0</v>
      </c>
      <c r="R24" s="111">
        <f t="shared" si="36"/>
        <v>0</v>
      </c>
      <c r="S24" s="10"/>
      <c r="T24" s="11"/>
      <c r="U24" s="94"/>
      <c r="V24" s="40"/>
      <c r="W24" s="42"/>
      <c r="X24" s="9"/>
      <c r="Y24" s="9"/>
      <c r="Z24" s="9"/>
      <c r="AA24" s="9"/>
      <c r="AB24" s="42"/>
      <c r="AC24" s="9"/>
      <c r="AD24" s="9"/>
      <c r="AE24" s="9"/>
      <c r="AF24" s="9"/>
      <c r="AG24" s="42"/>
      <c r="AH24" s="9"/>
      <c r="AI24" s="9"/>
      <c r="AJ24" s="9"/>
      <c r="AK24" s="9"/>
      <c r="AL24" s="9"/>
      <c r="AM24" s="9"/>
      <c r="AN24" s="9"/>
      <c r="AO24" s="9"/>
      <c r="AP24" s="9"/>
      <c r="AQ24" s="42"/>
      <c r="AR24" s="9"/>
      <c r="AS24" s="9"/>
      <c r="AT24" s="9"/>
      <c r="AU24" s="9"/>
      <c r="AV24" s="42"/>
      <c r="AW24" s="9"/>
      <c r="AX24" s="9"/>
      <c r="AY24" s="9"/>
      <c r="AZ24" s="99"/>
      <c r="BA24" s="59"/>
      <c r="BE24" s="100"/>
      <c r="BO24" s="101"/>
      <c r="BP24" s="92"/>
      <c r="BQ24" s="21"/>
      <c r="BR24" s="21"/>
      <c r="BS24" s="21"/>
      <c r="BT24" s="68"/>
      <c r="BU24" s="1">
        <v>437</v>
      </c>
    </row>
    <row r="25" spans="1:214" ht="20.25" customHeight="1" thickBot="1" x14ac:dyDescent="0.3">
      <c r="A25" s="1">
        <v>438</v>
      </c>
      <c r="E25" s="108"/>
      <c r="F25" s="109"/>
      <c r="G25" s="110">
        <f>SUM(G20:G24)</f>
        <v>12</v>
      </c>
      <c r="H25" s="110"/>
      <c r="I25" s="110">
        <f>SUM(I20:I24)</f>
        <v>12</v>
      </c>
      <c r="J25" s="110"/>
      <c r="K25" s="110">
        <f>SUM(K20:K24)</f>
        <v>12</v>
      </c>
      <c r="L25" s="110"/>
      <c r="M25" s="110">
        <f>SUM(M20:M24)</f>
        <v>12</v>
      </c>
      <c r="N25" s="110"/>
      <c r="O25" s="110">
        <f>SUM(O20:O24)</f>
        <v>12</v>
      </c>
      <c r="P25" s="110"/>
      <c r="Q25" s="110">
        <f>SUM(Q20:Q24)</f>
        <v>12</v>
      </c>
      <c r="R25" s="111">
        <f>AVERAGE(G25,I25,K25,M25,O25,Q25)</f>
        <v>12</v>
      </c>
      <c r="S25" s="10"/>
      <c r="T25" s="11"/>
      <c r="U25" s="94" t="s">
        <v>31</v>
      </c>
      <c r="V25" s="40"/>
      <c r="W25" s="42"/>
      <c r="X25" s="9"/>
      <c r="Y25" s="9"/>
      <c r="Z25" s="9"/>
      <c r="AA25" s="9"/>
      <c r="AB25" s="42"/>
      <c r="AC25" s="9"/>
      <c r="AD25" s="9"/>
      <c r="AE25" s="9"/>
      <c r="AF25" s="9"/>
      <c r="AG25" s="42"/>
      <c r="AH25" s="9"/>
      <c r="AI25" s="9"/>
      <c r="AJ25" s="9"/>
      <c r="AK25" s="9"/>
      <c r="AL25" s="9"/>
      <c r="AM25" s="9"/>
      <c r="AN25" s="9"/>
      <c r="AO25" s="9"/>
      <c r="AP25" s="9"/>
      <c r="AQ25" s="42"/>
      <c r="AR25" s="9"/>
      <c r="AS25" s="9"/>
      <c r="AT25" s="9"/>
      <c r="AU25" s="9"/>
      <c r="AV25" s="42"/>
      <c r="AW25" s="9"/>
      <c r="AX25" s="9"/>
      <c r="AY25" s="9"/>
      <c r="AZ25" s="99"/>
      <c r="BA25" s="59"/>
      <c r="BE25" s="100"/>
      <c r="BO25" s="101"/>
      <c r="BP25" s="92"/>
      <c r="BQ25" s="21"/>
      <c r="BR25" s="21"/>
      <c r="BS25" s="21"/>
      <c r="BT25" s="68"/>
      <c r="BU25" s="1">
        <v>438</v>
      </c>
    </row>
    <row r="26" spans="1:214" ht="20.25" customHeight="1" x14ac:dyDescent="0.25">
      <c r="A26" s="1">
        <v>439</v>
      </c>
      <c r="B26" s="22"/>
      <c r="C26" s="22"/>
      <c r="D26" s="22"/>
      <c r="E26" s="112"/>
      <c r="F26" s="113"/>
      <c r="G26" s="112"/>
      <c r="H26" s="114"/>
      <c r="I26" s="112"/>
      <c r="J26" s="114"/>
      <c r="K26" s="112"/>
      <c r="L26" s="114"/>
      <c r="M26" s="112"/>
      <c r="N26" s="114"/>
      <c r="O26" s="112"/>
      <c r="P26" s="114"/>
      <c r="Q26" s="112"/>
      <c r="R26" s="115"/>
      <c r="S26" s="10"/>
      <c r="T26" s="11"/>
      <c r="U26" s="94"/>
      <c r="V26" s="40"/>
      <c r="W26" s="42"/>
      <c r="X26" s="9"/>
      <c r="Y26" s="9"/>
      <c r="Z26" s="9"/>
      <c r="AA26" s="9"/>
      <c r="AB26" s="42"/>
      <c r="AC26" s="9"/>
      <c r="AD26" s="9"/>
      <c r="AE26" s="9"/>
      <c r="AF26" s="9"/>
      <c r="AG26" s="42"/>
      <c r="AH26" s="9"/>
      <c r="AI26" s="9"/>
      <c r="AJ26" s="9"/>
      <c r="AK26" s="9"/>
      <c r="AL26" s="9"/>
      <c r="AM26" s="9"/>
      <c r="AN26" s="9"/>
      <c r="AO26" s="9"/>
      <c r="AP26" s="9"/>
      <c r="AQ26" s="42"/>
      <c r="AR26" s="9"/>
      <c r="AS26" s="9"/>
      <c r="AT26" s="9"/>
      <c r="AU26" s="9"/>
      <c r="AV26" s="42"/>
      <c r="AW26" s="9"/>
      <c r="AX26" s="9"/>
      <c r="AY26" s="9"/>
      <c r="AZ26" s="99"/>
      <c r="BA26" s="59"/>
      <c r="BE26" s="100"/>
      <c r="BO26" s="101"/>
      <c r="BP26" s="92"/>
      <c r="BQ26" s="21"/>
      <c r="BR26" s="21"/>
      <c r="BS26" s="21"/>
      <c r="BT26" s="68"/>
      <c r="BU26" s="1">
        <v>439</v>
      </c>
    </row>
    <row r="27" spans="1:214" ht="20.25" customHeight="1" x14ac:dyDescent="0.3">
      <c r="A27" s="1">
        <v>440</v>
      </c>
      <c r="B27" s="22"/>
      <c r="C27" s="22"/>
      <c r="D27" s="22"/>
      <c r="E27" s="112"/>
      <c r="F27" s="113"/>
      <c r="G27" s="112"/>
      <c r="H27" s="114"/>
      <c r="I27" s="112"/>
      <c r="J27" s="114"/>
      <c r="K27" s="112"/>
      <c r="L27" s="114"/>
      <c r="M27" s="112"/>
      <c r="N27" s="114"/>
      <c r="O27" s="112"/>
      <c r="P27" s="114"/>
      <c r="Q27" s="112"/>
      <c r="R27" s="115"/>
      <c r="S27" s="10"/>
      <c r="T27" s="11"/>
      <c r="U27" s="94"/>
      <c r="V27" s="40"/>
      <c r="W27" s="42"/>
      <c r="X27" s="9"/>
      <c r="Y27" s="9"/>
      <c r="Z27" s="9"/>
      <c r="AA27" s="9"/>
      <c r="AB27" s="42"/>
      <c r="AC27" s="9"/>
      <c r="AD27" s="9"/>
      <c r="AE27" s="9"/>
      <c r="AF27" s="9"/>
      <c r="AG27" s="42"/>
      <c r="AH27" s="9"/>
      <c r="AI27" s="9"/>
      <c r="AJ27" s="9"/>
      <c r="AK27" s="9"/>
      <c r="AL27" s="9"/>
      <c r="AM27" s="9"/>
      <c r="AN27" s="9"/>
      <c r="AO27" s="9"/>
      <c r="AP27" s="9"/>
      <c r="AQ27" s="42"/>
      <c r="AR27" s="9"/>
      <c r="AS27" s="9"/>
      <c r="AT27" s="9"/>
      <c r="AU27" s="9"/>
      <c r="AV27" s="42"/>
      <c r="AW27" s="9"/>
      <c r="AX27" s="9"/>
      <c r="AY27" s="9"/>
      <c r="AZ27" s="99"/>
      <c r="BA27" s="59"/>
      <c r="BE27" s="100"/>
      <c r="BO27" s="101"/>
      <c r="BP27" s="92"/>
      <c r="BQ27" s="21"/>
      <c r="BR27" s="21"/>
      <c r="BS27" s="21"/>
      <c r="BT27" s="68"/>
      <c r="BU27" s="1">
        <v>440</v>
      </c>
    </row>
    <row r="28" spans="1:214" ht="20.25" customHeight="1" thickBot="1" x14ac:dyDescent="0.35">
      <c r="A28" s="1">
        <v>441</v>
      </c>
      <c r="B28" s="22"/>
      <c r="C28" s="22"/>
      <c r="D28" s="22"/>
      <c r="E28" s="112"/>
      <c r="F28" s="113"/>
      <c r="G28" s="112"/>
      <c r="H28" s="114"/>
      <c r="I28" s="112"/>
      <c r="J28" s="114"/>
      <c r="K28" s="112"/>
      <c r="L28" s="114"/>
      <c r="M28" s="112"/>
      <c r="N28" s="114"/>
      <c r="O28" s="112"/>
      <c r="P28" s="114"/>
      <c r="Q28" s="112"/>
      <c r="R28" s="115"/>
      <c r="S28" s="10"/>
      <c r="T28" s="11"/>
      <c r="U28" s="94"/>
      <c r="V28" s="40"/>
      <c r="W28" s="42"/>
      <c r="X28" s="9"/>
      <c r="Y28" s="9"/>
      <c r="Z28" s="9"/>
      <c r="AA28" s="9"/>
      <c r="AB28" s="42"/>
      <c r="AC28" s="9"/>
      <c r="AD28" s="9"/>
      <c r="AE28" s="9"/>
      <c r="AF28" s="9"/>
      <c r="AG28" s="42"/>
      <c r="AH28" s="9"/>
      <c r="AI28" s="9"/>
      <c r="AJ28" s="9"/>
      <c r="AK28" s="9"/>
      <c r="AL28" s="9"/>
      <c r="AM28" s="9"/>
      <c r="AN28" s="9"/>
      <c r="AO28" s="9"/>
      <c r="AP28" s="9"/>
      <c r="AQ28" s="42"/>
      <c r="AR28" s="9"/>
      <c r="AS28" s="9"/>
      <c r="AT28" s="9"/>
      <c r="AU28" s="9"/>
      <c r="AV28" s="42"/>
      <c r="AW28" s="9"/>
      <c r="AX28" s="9"/>
      <c r="AY28" s="9"/>
      <c r="AZ28" s="99"/>
      <c r="BA28" s="59"/>
      <c r="BE28" s="100"/>
      <c r="BO28" s="101"/>
      <c r="BP28" s="92"/>
      <c r="BQ28" s="21"/>
      <c r="BR28" s="21"/>
      <c r="BS28" s="21"/>
      <c r="BT28" s="68"/>
      <c r="BU28" s="1">
        <v>441</v>
      </c>
    </row>
    <row r="29" spans="1:214" ht="28.5" customHeight="1" thickBot="1" x14ac:dyDescent="0.45">
      <c r="A29" s="1">
        <v>442</v>
      </c>
      <c r="B29" s="845" t="s">
        <v>34</v>
      </c>
      <c r="C29" s="846"/>
      <c r="D29" s="846" t="s">
        <v>35</v>
      </c>
      <c r="E29" s="846"/>
      <c r="F29" s="846"/>
      <c r="G29" s="846"/>
      <c r="H29" s="846"/>
      <c r="I29" s="846"/>
      <c r="J29" s="846"/>
      <c r="K29" s="846"/>
      <c r="L29" s="846"/>
      <c r="M29" s="846"/>
      <c r="N29" s="846"/>
      <c r="O29" s="846"/>
      <c r="P29" s="846"/>
      <c r="Q29" s="846"/>
      <c r="R29" s="23" t="str">
        <f>$V2</f>
        <v>DEL 08 AL 14 ENERO 24</v>
      </c>
      <c r="S29" s="51"/>
      <c r="T29" s="11"/>
      <c r="U29" s="11"/>
      <c r="V29" s="52"/>
      <c r="W29" s="53"/>
      <c r="X29" s="53"/>
      <c r="Y29" s="53"/>
      <c r="Z29" s="54"/>
      <c r="AA29" s="55"/>
      <c r="AB29" s="53"/>
      <c r="AC29" s="53"/>
      <c r="AD29" s="53"/>
      <c r="AE29" s="54"/>
      <c r="AF29" s="56"/>
      <c r="AG29" s="53"/>
      <c r="AH29" s="53"/>
      <c r="AI29" s="53"/>
      <c r="AJ29" s="54"/>
      <c r="AK29" s="57"/>
      <c r="AL29" s="53"/>
      <c r="AM29" s="53"/>
      <c r="AN29" s="53"/>
      <c r="AO29" s="54"/>
      <c r="AP29" s="56"/>
      <c r="AQ29" s="53"/>
      <c r="AR29" s="53"/>
      <c r="AS29" s="53"/>
      <c r="AT29" s="54"/>
      <c r="AU29" s="56"/>
      <c r="AV29" s="53"/>
      <c r="AW29" s="53"/>
      <c r="AX29" s="53"/>
      <c r="AY29" s="54"/>
      <c r="AZ29" s="58"/>
      <c r="BA29" s="59"/>
      <c r="BG29" s="83"/>
      <c r="BO29" s="116"/>
      <c r="BP29" s="67"/>
      <c r="BQ29" s="21"/>
      <c r="BR29" s="74"/>
      <c r="BS29" s="74"/>
      <c r="BT29" s="68"/>
      <c r="BU29" s="1">
        <v>442</v>
      </c>
    </row>
    <row r="30" spans="1:214" ht="14.25" customHeight="1" thickBot="1" x14ac:dyDescent="0.35">
      <c r="A30" s="1">
        <v>443</v>
      </c>
      <c r="B30" s="117"/>
      <c r="C30" s="118"/>
      <c r="D30" s="119"/>
      <c r="E30" s="120" t="s">
        <v>8</v>
      </c>
      <c r="F30" s="121"/>
      <c r="G30" s="120" t="s">
        <v>9</v>
      </c>
      <c r="H30" s="122"/>
      <c r="I30" s="120" t="s">
        <v>9</v>
      </c>
      <c r="J30" s="122"/>
      <c r="K30" s="120" t="s">
        <v>10</v>
      </c>
      <c r="L30" s="122"/>
      <c r="M30" s="120" t="s">
        <v>11</v>
      </c>
      <c r="N30" s="122"/>
      <c r="O30" s="120" t="s">
        <v>12</v>
      </c>
      <c r="P30" s="120"/>
      <c r="Q30" s="122"/>
      <c r="R30" s="123"/>
      <c r="S30" s="51"/>
      <c r="T30" s="11"/>
      <c r="U30" s="11"/>
      <c r="V30" s="52">
        <v>3</v>
      </c>
      <c r="W30" s="53"/>
      <c r="X30" s="53"/>
      <c r="Y30" s="53"/>
      <c r="Z30" s="54"/>
      <c r="AA30" s="55"/>
      <c r="AB30" s="53"/>
      <c r="AC30" s="53"/>
      <c r="AD30" s="53"/>
      <c r="AE30" s="54"/>
      <c r="AF30" s="56"/>
      <c r="AG30" s="53"/>
      <c r="AH30" s="53"/>
      <c r="AI30" s="53"/>
      <c r="AJ30" s="54"/>
      <c r="AK30" s="57"/>
      <c r="AL30" s="53"/>
      <c r="AM30" s="53"/>
      <c r="AN30" s="53"/>
      <c r="AO30" s="54"/>
      <c r="AP30" s="56"/>
      <c r="AQ30" s="53"/>
      <c r="AR30" s="53"/>
      <c r="AS30" s="53"/>
      <c r="AT30" s="54"/>
      <c r="AU30" s="56"/>
      <c r="AV30" s="53"/>
      <c r="AW30" s="53"/>
      <c r="AX30" s="53"/>
      <c r="AY30" s="54"/>
      <c r="AZ30" s="58"/>
      <c r="BA30" s="59"/>
      <c r="BB30" s="124"/>
      <c r="BC30" s="124"/>
      <c r="BD30" s="124"/>
      <c r="BE30" s="124"/>
      <c r="BF30" s="124"/>
      <c r="BG30" s="124"/>
      <c r="BH30" s="124"/>
      <c r="BJ30" s="19"/>
      <c r="BK30" s="19"/>
      <c r="BL30" s="19"/>
      <c r="BM30" s="19"/>
      <c r="BN30" s="124"/>
      <c r="BO30" s="125"/>
      <c r="BP30" s="126"/>
      <c r="BQ30" s="21"/>
      <c r="BR30" s="68"/>
      <c r="BS30" s="68"/>
      <c r="BT30" s="68"/>
      <c r="BU30" s="1">
        <v>443</v>
      </c>
    </row>
    <row r="31" spans="1:214" ht="15.75" customHeight="1" thickBot="1" x14ac:dyDescent="0.35">
      <c r="A31" s="1">
        <v>444</v>
      </c>
      <c r="B31" s="275">
        <v>9</v>
      </c>
      <c r="C31" s="34">
        <f t="shared" ref="C31:C40" si="37">+C30+1</f>
        <v>1</v>
      </c>
      <c r="D31" s="274" t="s">
        <v>36</v>
      </c>
      <c r="E31" s="233">
        <v>1</v>
      </c>
      <c r="F31" s="233"/>
      <c r="G31" s="233">
        <v>1</v>
      </c>
      <c r="H31" s="233"/>
      <c r="I31" s="233">
        <v>1</v>
      </c>
      <c r="J31" s="233"/>
      <c r="K31" s="233">
        <v>1</v>
      </c>
      <c r="L31" s="233"/>
      <c r="M31" s="233">
        <v>1</v>
      </c>
      <c r="N31" s="233"/>
      <c r="O31" s="233">
        <v>1</v>
      </c>
      <c r="P31" s="233"/>
      <c r="Q31" s="49">
        <f>IF((E31+G31+I31+K31+M31+O31)=6,1,0)</f>
        <v>1</v>
      </c>
      <c r="R31" s="339">
        <v>3000</v>
      </c>
      <c r="S31" s="51">
        <f t="shared" ref="S31:S43" si="38">+BH31</f>
        <v>0</v>
      </c>
      <c r="T31" s="11">
        <f t="shared" ref="T31:T43" si="39">+BA31</f>
        <v>3000.0000000000005</v>
      </c>
      <c r="U31" s="52">
        <f t="shared" ref="U31:U43" si="40">+BP31</f>
        <v>0</v>
      </c>
      <c r="V31" s="52">
        <f t="shared" ref="V31:V43" si="41">+BG31</f>
        <v>0</v>
      </c>
      <c r="W31" s="53">
        <f t="shared" ref="W31:W43" si="42">(R31-86.16)/6*E31</f>
        <v>485.64000000000004</v>
      </c>
      <c r="X31" s="53">
        <f t="shared" ref="X31:X43" si="43">$Y$2*E31*Q31</f>
        <v>7.18</v>
      </c>
      <c r="Y31" s="53">
        <f t="shared" ref="Y31:Y43" si="44">$Y$2*E31*Q31</f>
        <v>7.18</v>
      </c>
      <c r="Z31" s="54">
        <f t="shared" ref="Z31:Z43" si="45">Y31+X31+W31</f>
        <v>500.00000000000006</v>
      </c>
      <c r="AA31" s="55"/>
      <c r="AB31" s="53">
        <f t="shared" ref="AB31:AB43" si="46">(R31-86.16)/6*G31</f>
        <v>485.64000000000004</v>
      </c>
      <c r="AC31" s="53">
        <f t="shared" ref="AC31:AC43" si="47">$Y$2*G31*Q31</f>
        <v>7.18</v>
      </c>
      <c r="AD31" s="53">
        <f t="shared" ref="AD31:AD43" si="48">$Y$2*G31*Q31</f>
        <v>7.18</v>
      </c>
      <c r="AE31" s="54">
        <f t="shared" ref="AE31:AE43" si="49">AD31+AC31+AB31</f>
        <v>500.00000000000006</v>
      </c>
      <c r="AF31" s="56"/>
      <c r="AG31" s="53">
        <f t="shared" ref="AG31:AG43" si="50">(R31-86.16)/6*I31</f>
        <v>485.64000000000004</v>
      </c>
      <c r="AH31" s="53">
        <f t="shared" ref="AH31:AH43" si="51">$Y$2*I31*Q31</f>
        <v>7.18</v>
      </c>
      <c r="AI31" s="53">
        <f t="shared" ref="AI31:AI43" si="52">$Y$2*I31*Q31</f>
        <v>7.18</v>
      </c>
      <c r="AJ31" s="54">
        <f t="shared" ref="AJ31:AJ43" si="53">AI31+AH31+AG31</f>
        <v>500.00000000000006</v>
      </c>
      <c r="AK31" s="57"/>
      <c r="AL31" s="53">
        <f t="shared" ref="AL31:AL43" si="54">(R31-86.16)/6*K31</f>
        <v>485.64000000000004</v>
      </c>
      <c r="AM31" s="53">
        <f t="shared" ref="AM31:AM43" si="55">$Y$2*K31*Q31</f>
        <v>7.18</v>
      </c>
      <c r="AN31" s="53">
        <f t="shared" ref="AN31:AN43" si="56">$Y$2*K31*Q31</f>
        <v>7.18</v>
      </c>
      <c r="AO31" s="54">
        <f t="shared" ref="AO31:AO43" si="57">AN31+AM31+AL31</f>
        <v>500.00000000000006</v>
      </c>
      <c r="AP31" s="56"/>
      <c r="AQ31" s="53">
        <f t="shared" ref="AQ31:AQ43" si="58">(R31-86.16)/6*M31</f>
        <v>485.64000000000004</v>
      </c>
      <c r="AR31" s="53">
        <f t="shared" ref="AR31:AR43" si="59">$Y$2*M31*Q31</f>
        <v>7.18</v>
      </c>
      <c r="AS31" s="53">
        <f t="shared" ref="AS31:AS43" si="60">$Y$2*M31*Q31</f>
        <v>7.18</v>
      </c>
      <c r="AT31" s="54">
        <f t="shared" ref="AT31:AT43" si="61">AS31+AR31+AQ31</f>
        <v>500.00000000000006</v>
      </c>
      <c r="AU31" s="56"/>
      <c r="AV31" s="53">
        <f t="shared" ref="AV31:AV35" si="62">(R31-86.16)/6*O31</f>
        <v>485.64000000000004</v>
      </c>
      <c r="AW31" s="53">
        <f t="shared" ref="AW31:AW43" si="63">$Y$2*O31*Q31</f>
        <v>7.18</v>
      </c>
      <c r="AX31" s="53">
        <f t="shared" ref="AX31:AX43" si="64">$Y$2*O31*Q31</f>
        <v>7.18</v>
      </c>
      <c r="AY31" s="54">
        <f t="shared" ref="AY31:AY43" si="65">AX31+AW31+AV31</f>
        <v>500.00000000000006</v>
      </c>
      <c r="AZ31" s="58">
        <f t="shared" ref="AZ31:AZ43" si="66">+AY31+AT31+AO31++AJ31+AE31+Z31</f>
        <v>3000.0000000000005</v>
      </c>
      <c r="BA31" s="59">
        <f>((AZ31-BB31-BC31-BD31-BE31-BF31)+BI31+BJ31+BK31+BL31+BM31+BN31+BO31)</f>
        <v>3000.0000000000005</v>
      </c>
      <c r="BB31" s="60"/>
      <c r="BC31" s="60"/>
      <c r="BD31" s="60"/>
      <c r="BE31" s="60"/>
      <c r="BF31" s="60"/>
      <c r="BG31" s="61"/>
      <c r="BH31" s="62"/>
      <c r="BI31" s="63"/>
      <c r="BJ31" s="63"/>
      <c r="BK31" s="63"/>
      <c r="BL31" s="63"/>
      <c r="BM31" s="65"/>
      <c r="BN31" s="65"/>
      <c r="BO31" s="66"/>
      <c r="BP31" s="67"/>
      <c r="BQ31" s="21"/>
      <c r="BR31" s="48"/>
      <c r="BS31" s="48"/>
      <c r="BT31" s="68"/>
      <c r="BU31" s="1">
        <v>444</v>
      </c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</row>
    <row r="32" spans="1:214" s="69" customFormat="1" ht="15.75" customHeight="1" thickBot="1" x14ac:dyDescent="0.35">
      <c r="A32" s="1">
        <v>445</v>
      </c>
      <c r="B32" s="375">
        <v>12</v>
      </c>
      <c r="C32" s="34">
        <f t="shared" si="37"/>
        <v>2</v>
      </c>
      <c r="D32" s="377" t="s">
        <v>37</v>
      </c>
      <c r="E32" s="233">
        <v>1</v>
      </c>
      <c r="F32" s="233"/>
      <c r="G32" s="233">
        <v>1</v>
      </c>
      <c r="H32" s="233"/>
      <c r="I32" s="233">
        <v>1</v>
      </c>
      <c r="J32" s="233"/>
      <c r="K32" s="233">
        <v>1</v>
      </c>
      <c r="L32" s="233"/>
      <c r="M32" s="233">
        <v>1</v>
      </c>
      <c r="N32" s="233"/>
      <c r="O32" s="233">
        <v>1</v>
      </c>
      <c r="P32" s="233"/>
      <c r="Q32" s="49">
        <f t="shared" ref="Q32:Q42" si="67">IF((E32+G32+I32+K32+M32+O32)=6,1,0)</f>
        <v>1</v>
      </c>
      <c r="R32" s="50">
        <f t="shared" ref="R32:R42" si="68">IF(Q32=1,1550,850)</f>
        <v>1550</v>
      </c>
      <c r="S32" s="51">
        <f t="shared" si="38"/>
        <v>0</v>
      </c>
      <c r="T32" s="11">
        <f t="shared" si="39"/>
        <v>2100</v>
      </c>
      <c r="U32" s="52">
        <f t="shared" si="40"/>
        <v>0</v>
      </c>
      <c r="V32" s="52" t="str">
        <f t="shared" si="41"/>
        <v>BONO+B ASIS</v>
      </c>
      <c r="W32" s="53">
        <f t="shared" si="42"/>
        <v>243.97333333333333</v>
      </c>
      <c r="X32" s="53">
        <f t="shared" si="43"/>
        <v>7.18</v>
      </c>
      <c r="Y32" s="53">
        <f t="shared" si="44"/>
        <v>7.18</v>
      </c>
      <c r="Z32" s="54">
        <f t="shared" si="45"/>
        <v>258.33333333333331</v>
      </c>
      <c r="AA32" s="55"/>
      <c r="AB32" s="53">
        <f t="shared" si="46"/>
        <v>243.97333333333333</v>
      </c>
      <c r="AC32" s="53">
        <f t="shared" si="47"/>
        <v>7.18</v>
      </c>
      <c r="AD32" s="53">
        <f t="shared" si="48"/>
        <v>7.18</v>
      </c>
      <c r="AE32" s="54">
        <f t="shared" si="49"/>
        <v>258.33333333333331</v>
      </c>
      <c r="AF32" s="56"/>
      <c r="AG32" s="53">
        <f t="shared" si="50"/>
        <v>243.97333333333333</v>
      </c>
      <c r="AH32" s="53">
        <f t="shared" si="51"/>
        <v>7.18</v>
      </c>
      <c r="AI32" s="53">
        <f t="shared" si="52"/>
        <v>7.18</v>
      </c>
      <c r="AJ32" s="54">
        <f t="shared" si="53"/>
        <v>258.33333333333331</v>
      </c>
      <c r="AK32" s="57"/>
      <c r="AL32" s="53">
        <f t="shared" si="54"/>
        <v>243.97333333333333</v>
      </c>
      <c r="AM32" s="53">
        <f t="shared" si="55"/>
        <v>7.18</v>
      </c>
      <c r="AN32" s="53">
        <f t="shared" si="56"/>
        <v>7.18</v>
      </c>
      <c r="AO32" s="54">
        <f t="shared" si="57"/>
        <v>258.33333333333331</v>
      </c>
      <c r="AP32" s="56"/>
      <c r="AQ32" s="53">
        <f t="shared" si="58"/>
        <v>243.97333333333333</v>
      </c>
      <c r="AR32" s="53">
        <f t="shared" si="59"/>
        <v>7.18</v>
      </c>
      <c r="AS32" s="53">
        <f t="shared" si="60"/>
        <v>7.18</v>
      </c>
      <c r="AT32" s="54">
        <f t="shared" si="61"/>
        <v>258.33333333333331</v>
      </c>
      <c r="AU32" s="56"/>
      <c r="AV32" s="53">
        <f t="shared" si="62"/>
        <v>243.97333333333333</v>
      </c>
      <c r="AW32" s="53">
        <f t="shared" si="63"/>
        <v>7.18</v>
      </c>
      <c r="AX32" s="53">
        <f t="shared" si="64"/>
        <v>7.18</v>
      </c>
      <c r="AY32" s="54">
        <f t="shared" si="65"/>
        <v>258.33333333333331</v>
      </c>
      <c r="AZ32" s="58">
        <f t="shared" si="66"/>
        <v>1549.9999999999998</v>
      </c>
      <c r="BA32" s="59">
        <f t="shared" ref="BA32:BA42" si="69">((AZ32-BB32-BC32-BD32-BE32-BF32)+BI32+BJ32+BK32+BL32+BM32+BN32+BO32)</f>
        <v>2100</v>
      </c>
      <c r="BB32" s="60"/>
      <c r="BC32" s="60"/>
      <c r="BD32" s="60"/>
      <c r="BE32" s="60"/>
      <c r="BF32" s="60"/>
      <c r="BG32" s="61" t="s">
        <v>133</v>
      </c>
      <c r="BH32" s="62"/>
      <c r="BI32" s="63">
        <v>300</v>
      </c>
      <c r="BJ32" s="63">
        <v>250</v>
      </c>
      <c r="BK32" s="64"/>
      <c r="BL32" s="63"/>
      <c r="BM32" s="65"/>
      <c r="BN32" s="65"/>
      <c r="BO32" s="66"/>
      <c r="BP32" s="67"/>
      <c r="BQ32" s="21"/>
      <c r="BR32" s="48"/>
      <c r="BS32" s="48"/>
      <c r="BT32" s="68"/>
      <c r="BU32" s="1">
        <v>445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</row>
    <row r="33" spans="1:214" s="69" customFormat="1" ht="15.75" customHeight="1" thickBot="1" x14ac:dyDescent="0.35">
      <c r="A33" s="1"/>
      <c r="B33" s="375">
        <v>168</v>
      </c>
      <c r="C33" s="34">
        <f t="shared" si="37"/>
        <v>3</v>
      </c>
      <c r="D33" s="377" t="s">
        <v>157</v>
      </c>
      <c r="E33" s="233">
        <v>1</v>
      </c>
      <c r="F33" s="233"/>
      <c r="G33" s="233">
        <v>1</v>
      </c>
      <c r="H33" s="233"/>
      <c r="I33" s="233">
        <v>1</v>
      </c>
      <c r="J33" s="233"/>
      <c r="K33" s="233">
        <v>1</v>
      </c>
      <c r="L33" s="233"/>
      <c r="M33" s="233">
        <v>1</v>
      </c>
      <c r="N33" s="233"/>
      <c r="O33" s="233">
        <v>1</v>
      </c>
      <c r="P33" s="233"/>
      <c r="Q33" s="49">
        <f t="shared" si="67"/>
        <v>1</v>
      </c>
      <c r="R33" s="50">
        <f t="shared" si="68"/>
        <v>1550</v>
      </c>
      <c r="S33" s="51">
        <f t="shared" si="38"/>
        <v>0</v>
      </c>
      <c r="T33" s="11">
        <f t="shared" si="39"/>
        <v>1799.9999999999998</v>
      </c>
      <c r="U33" s="52">
        <f t="shared" si="40"/>
        <v>0</v>
      </c>
      <c r="V33" s="52" t="str">
        <f t="shared" si="41"/>
        <v>B ASIS</v>
      </c>
      <c r="W33" s="53">
        <f t="shared" si="42"/>
        <v>243.97333333333333</v>
      </c>
      <c r="X33" s="53">
        <f t="shared" si="43"/>
        <v>7.18</v>
      </c>
      <c r="Y33" s="53">
        <f t="shared" si="44"/>
        <v>7.18</v>
      </c>
      <c r="Z33" s="54">
        <f t="shared" si="45"/>
        <v>258.33333333333331</v>
      </c>
      <c r="AA33" s="55"/>
      <c r="AB33" s="53">
        <f t="shared" si="46"/>
        <v>243.97333333333333</v>
      </c>
      <c r="AC33" s="53">
        <f t="shared" si="47"/>
        <v>7.18</v>
      </c>
      <c r="AD33" s="53">
        <f t="shared" si="48"/>
        <v>7.18</v>
      </c>
      <c r="AE33" s="54">
        <f t="shared" si="49"/>
        <v>258.33333333333331</v>
      </c>
      <c r="AF33" s="56"/>
      <c r="AG33" s="53">
        <f t="shared" si="50"/>
        <v>243.97333333333333</v>
      </c>
      <c r="AH33" s="53">
        <f t="shared" si="51"/>
        <v>7.18</v>
      </c>
      <c r="AI33" s="53">
        <f t="shared" si="52"/>
        <v>7.18</v>
      </c>
      <c r="AJ33" s="54">
        <f t="shared" si="53"/>
        <v>258.33333333333331</v>
      </c>
      <c r="AK33" s="57"/>
      <c r="AL33" s="53">
        <f t="shared" si="54"/>
        <v>243.97333333333333</v>
      </c>
      <c r="AM33" s="53">
        <f t="shared" si="55"/>
        <v>7.18</v>
      </c>
      <c r="AN33" s="53">
        <f t="shared" si="56"/>
        <v>7.18</v>
      </c>
      <c r="AO33" s="54">
        <f t="shared" si="57"/>
        <v>258.33333333333331</v>
      </c>
      <c r="AP33" s="56"/>
      <c r="AQ33" s="53">
        <f t="shared" si="58"/>
        <v>243.97333333333333</v>
      </c>
      <c r="AR33" s="53">
        <f t="shared" si="59"/>
        <v>7.18</v>
      </c>
      <c r="AS33" s="53">
        <f t="shared" si="60"/>
        <v>7.18</v>
      </c>
      <c r="AT33" s="54">
        <f t="shared" si="61"/>
        <v>258.33333333333331</v>
      </c>
      <c r="AU33" s="56"/>
      <c r="AV33" s="53">
        <f t="shared" si="62"/>
        <v>243.97333333333333</v>
      </c>
      <c r="AW33" s="53">
        <f t="shared" si="63"/>
        <v>7.18</v>
      </c>
      <c r="AX33" s="53">
        <f t="shared" si="64"/>
        <v>7.18</v>
      </c>
      <c r="AY33" s="54">
        <f t="shared" si="65"/>
        <v>258.33333333333331</v>
      </c>
      <c r="AZ33" s="58">
        <f t="shared" si="66"/>
        <v>1549.9999999999998</v>
      </c>
      <c r="BA33" s="59">
        <f t="shared" si="69"/>
        <v>1799.9999999999998</v>
      </c>
      <c r="BB33" s="60"/>
      <c r="BC33" s="60"/>
      <c r="BD33" s="60"/>
      <c r="BE33" s="60"/>
      <c r="BF33" s="60"/>
      <c r="BG33" s="61" t="s">
        <v>175</v>
      </c>
      <c r="BH33" s="62"/>
      <c r="BI33" s="63">
        <v>100</v>
      </c>
      <c r="BJ33" s="63">
        <v>150</v>
      </c>
      <c r="BK33" s="64"/>
      <c r="BL33" s="63"/>
      <c r="BM33" s="65"/>
      <c r="BN33" s="65"/>
      <c r="BO33" s="66"/>
      <c r="BP33" s="67"/>
      <c r="BQ33" s="21"/>
      <c r="BR33" s="48"/>
      <c r="BS33" s="48"/>
      <c r="BT33" s="68"/>
      <c r="BU33" s="1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</row>
    <row r="34" spans="1:214" ht="15.75" customHeight="1" thickBot="1" x14ac:dyDescent="0.35">
      <c r="A34" s="1">
        <v>445</v>
      </c>
      <c r="B34" s="375">
        <v>16</v>
      </c>
      <c r="C34" s="34">
        <f t="shared" si="37"/>
        <v>4</v>
      </c>
      <c r="D34" s="377" t="s">
        <v>38</v>
      </c>
      <c r="E34" s="347">
        <v>0</v>
      </c>
      <c r="F34" s="347" t="s">
        <v>18</v>
      </c>
      <c r="G34" s="347">
        <v>0</v>
      </c>
      <c r="H34" s="347" t="s">
        <v>18</v>
      </c>
      <c r="I34" s="347">
        <v>0</v>
      </c>
      <c r="J34" s="347" t="s">
        <v>18</v>
      </c>
      <c r="K34" s="347">
        <v>0</v>
      </c>
      <c r="L34" s="347" t="s">
        <v>18</v>
      </c>
      <c r="M34" s="347">
        <v>0</v>
      </c>
      <c r="N34" s="347" t="s">
        <v>18</v>
      </c>
      <c r="O34" s="347">
        <v>0</v>
      </c>
      <c r="P34" s="347" t="s">
        <v>18</v>
      </c>
      <c r="Q34" s="49">
        <f t="shared" si="67"/>
        <v>0</v>
      </c>
      <c r="R34" s="50">
        <f t="shared" si="68"/>
        <v>850</v>
      </c>
      <c r="S34" s="51">
        <f t="shared" si="38"/>
        <v>0</v>
      </c>
      <c r="T34" s="11">
        <f t="shared" si="39"/>
        <v>0</v>
      </c>
      <c r="U34" s="52">
        <f t="shared" si="40"/>
        <v>0</v>
      </c>
      <c r="V34" s="52">
        <f t="shared" si="41"/>
        <v>0</v>
      </c>
      <c r="W34" s="53">
        <f t="shared" si="42"/>
        <v>0</v>
      </c>
      <c r="X34" s="53">
        <f>$Y$2*E34*Q34</f>
        <v>0</v>
      </c>
      <c r="Y34" s="53">
        <f t="shared" si="44"/>
        <v>0</v>
      </c>
      <c r="Z34" s="54">
        <f t="shared" si="45"/>
        <v>0</v>
      </c>
      <c r="AA34" s="55"/>
      <c r="AB34" s="53">
        <f t="shared" si="46"/>
        <v>0</v>
      </c>
      <c r="AC34" s="53">
        <f t="shared" si="47"/>
        <v>0</v>
      </c>
      <c r="AD34" s="53">
        <f t="shared" si="48"/>
        <v>0</v>
      </c>
      <c r="AE34" s="54">
        <f t="shared" si="49"/>
        <v>0</v>
      </c>
      <c r="AF34" s="56"/>
      <c r="AG34" s="53">
        <f t="shared" si="50"/>
        <v>0</v>
      </c>
      <c r="AH34" s="53">
        <f t="shared" si="51"/>
        <v>0</v>
      </c>
      <c r="AI34" s="53">
        <f t="shared" si="52"/>
        <v>0</v>
      </c>
      <c r="AJ34" s="54">
        <f t="shared" si="53"/>
        <v>0</v>
      </c>
      <c r="AK34" s="57"/>
      <c r="AL34" s="53">
        <f t="shared" si="54"/>
        <v>0</v>
      </c>
      <c r="AM34" s="53">
        <f t="shared" si="55"/>
        <v>0</v>
      </c>
      <c r="AN34" s="53">
        <f t="shared" si="56"/>
        <v>0</v>
      </c>
      <c r="AO34" s="54">
        <f t="shared" si="57"/>
        <v>0</v>
      </c>
      <c r="AP34" s="56"/>
      <c r="AQ34" s="53">
        <f t="shared" si="58"/>
        <v>0</v>
      </c>
      <c r="AR34" s="53">
        <f t="shared" si="59"/>
        <v>0</v>
      </c>
      <c r="AS34" s="53">
        <f t="shared" si="60"/>
        <v>0</v>
      </c>
      <c r="AT34" s="54">
        <f t="shared" si="61"/>
        <v>0</v>
      </c>
      <c r="AU34" s="56"/>
      <c r="AV34" s="53">
        <f t="shared" si="62"/>
        <v>0</v>
      </c>
      <c r="AW34" s="53">
        <f t="shared" si="63"/>
        <v>0</v>
      </c>
      <c r="AX34" s="53">
        <f t="shared" si="64"/>
        <v>0</v>
      </c>
      <c r="AY34" s="54">
        <f t="shared" si="65"/>
        <v>0</v>
      </c>
      <c r="AZ34" s="58">
        <f t="shared" si="66"/>
        <v>0</v>
      </c>
      <c r="BA34" s="59">
        <f t="shared" si="69"/>
        <v>0</v>
      </c>
      <c r="BB34" s="60"/>
      <c r="BC34" s="60"/>
      <c r="BD34" s="60"/>
      <c r="BE34" s="60"/>
      <c r="BF34" s="60"/>
      <c r="BG34" s="61"/>
      <c r="BH34" s="62"/>
      <c r="BI34" s="63"/>
      <c r="BJ34" s="63"/>
      <c r="BK34" s="64"/>
      <c r="BL34" s="63"/>
      <c r="BM34" s="65"/>
      <c r="BN34" s="65"/>
      <c r="BO34" s="66"/>
      <c r="BP34" s="67"/>
      <c r="BQ34" s="21"/>
      <c r="BR34" s="48"/>
      <c r="BS34" s="48"/>
      <c r="BT34" s="68"/>
      <c r="BU34" s="1">
        <v>445</v>
      </c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</row>
    <row r="35" spans="1:214" ht="15.75" customHeight="1" thickBot="1" x14ac:dyDescent="0.35">
      <c r="A35" s="1"/>
      <c r="B35" s="375">
        <v>171</v>
      </c>
      <c r="C35" s="34">
        <f t="shared" si="37"/>
        <v>5</v>
      </c>
      <c r="D35" s="377" t="s">
        <v>156</v>
      </c>
      <c r="E35" s="233">
        <v>1</v>
      </c>
      <c r="F35" s="233"/>
      <c r="G35" s="233">
        <v>1</v>
      </c>
      <c r="H35" s="233"/>
      <c r="I35" s="233">
        <v>1</v>
      </c>
      <c r="J35" s="233"/>
      <c r="K35" s="233">
        <v>1</v>
      </c>
      <c r="L35" s="233"/>
      <c r="M35" s="233">
        <v>1</v>
      </c>
      <c r="N35" s="233"/>
      <c r="O35" s="365">
        <v>0</v>
      </c>
      <c r="P35" s="365" t="s">
        <v>129</v>
      </c>
      <c r="Q35" s="49">
        <f t="shared" si="67"/>
        <v>0</v>
      </c>
      <c r="R35" s="50">
        <f t="shared" si="68"/>
        <v>850</v>
      </c>
      <c r="S35" s="51">
        <f t="shared" si="38"/>
        <v>0</v>
      </c>
      <c r="T35" s="11">
        <f>+BA35</f>
        <v>966.6633333333333</v>
      </c>
      <c r="U35" s="52">
        <f t="shared" si="40"/>
        <v>0</v>
      </c>
      <c r="V35" s="52">
        <f t="shared" si="41"/>
        <v>0</v>
      </c>
      <c r="W35" s="53">
        <f t="shared" si="42"/>
        <v>127.30666666666667</v>
      </c>
      <c r="X35" s="53">
        <f t="shared" si="43"/>
        <v>0</v>
      </c>
      <c r="Y35" s="53">
        <f t="shared" si="44"/>
        <v>0</v>
      </c>
      <c r="Z35" s="54">
        <f t="shared" si="45"/>
        <v>127.30666666666667</v>
      </c>
      <c r="AA35" s="55"/>
      <c r="AB35" s="53">
        <f t="shared" si="46"/>
        <v>127.30666666666667</v>
      </c>
      <c r="AC35" s="53">
        <f t="shared" si="47"/>
        <v>0</v>
      </c>
      <c r="AD35" s="53">
        <f t="shared" si="48"/>
        <v>0</v>
      </c>
      <c r="AE35" s="54">
        <f t="shared" si="49"/>
        <v>127.30666666666667</v>
      </c>
      <c r="AF35" s="56"/>
      <c r="AG35" s="53">
        <f t="shared" si="50"/>
        <v>127.30666666666667</v>
      </c>
      <c r="AH35" s="53">
        <f t="shared" si="51"/>
        <v>0</v>
      </c>
      <c r="AI35" s="53">
        <f t="shared" si="52"/>
        <v>0</v>
      </c>
      <c r="AJ35" s="54">
        <f t="shared" si="53"/>
        <v>127.30666666666667</v>
      </c>
      <c r="AK35" s="57"/>
      <c r="AL35" s="53">
        <f t="shared" si="54"/>
        <v>127.30666666666667</v>
      </c>
      <c r="AM35" s="53">
        <f t="shared" si="55"/>
        <v>0</v>
      </c>
      <c r="AN35" s="53">
        <f t="shared" si="56"/>
        <v>0</v>
      </c>
      <c r="AO35" s="54">
        <f t="shared" si="57"/>
        <v>127.30666666666667</v>
      </c>
      <c r="AP35" s="56"/>
      <c r="AQ35" s="53">
        <f t="shared" si="58"/>
        <v>127.30666666666667</v>
      </c>
      <c r="AR35" s="53">
        <f t="shared" si="59"/>
        <v>0</v>
      </c>
      <c r="AS35" s="53">
        <f t="shared" si="60"/>
        <v>0</v>
      </c>
      <c r="AT35" s="54">
        <f t="shared" si="61"/>
        <v>127.30666666666667</v>
      </c>
      <c r="AU35" s="56"/>
      <c r="AV35" s="53">
        <f t="shared" si="62"/>
        <v>0</v>
      </c>
      <c r="AW35" s="53">
        <f t="shared" si="63"/>
        <v>0</v>
      </c>
      <c r="AX35" s="53">
        <f t="shared" si="64"/>
        <v>0</v>
      </c>
      <c r="AY35" s="54">
        <f t="shared" si="65"/>
        <v>0</v>
      </c>
      <c r="AZ35" s="58">
        <f>+AY35+AT35+AO35++AJ35+AE35+Z35</f>
        <v>636.5333333333333</v>
      </c>
      <c r="BA35" s="59">
        <f>((AZ35-BB35-BC35-BD35-BE35-BF35)+BI35+BJ35+BK35+BL35+BM35+BN35+BO35)</f>
        <v>966.6633333333333</v>
      </c>
      <c r="BB35" s="60"/>
      <c r="BC35" s="60"/>
      <c r="BD35" s="60"/>
      <c r="BE35" s="60"/>
      <c r="BF35" s="60"/>
      <c r="BG35" s="61"/>
      <c r="BH35" s="62"/>
      <c r="BI35" s="63"/>
      <c r="BJ35" s="63"/>
      <c r="BK35" s="64"/>
      <c r="BL35" s="63">
        <v>330.13</v>
      </c>
      <c r="BM35" s="65"/>
      <c r="BN35" s="65"/>
      <c r="BO35" s="66"/>
      <c r="BP35" s="67"/>
      <c r="BQ35" s="21"/>
      <c r="BR35" s="48"/>
      <c r="BS35" s="48"/>
      <c r="BT35" s="68"/>
      <c r="BU35" s="1"/>
      <c r="GG35" s="69"/>
      <c r="GH35" s="69"/>
      <c r="GI35" s="69"/>
      <c r="GJ35" s="69"/>
      <c r="GK35" s="69"/>
      <c r="GL35" s="69"/>
      <c r="GM35" s="69"/>
      <c r="GN35" s="69"/>
      <c r="GO35" s="69"/>
      <c r="GP35" s="69"/>
      <c r="GQ35" s="69"/>
      <c r="GR35" s="69"/>
      <c r="GS35" s="69"/>
      <c r="GT35" s="69"/>
      <c r="GU35" s="69"/>
      <c r="GV35" s="69"/>
      <c r="GW35" s="69"/>
      <c r="GX35" s="69"/>
      <c r="GY35" s="69"/>
      <c r="GZ35" s="69"/>
      <c r="HA35" s="69"/>
      <c r="HB35" s="69"/>
      <c r="HC35" s="69"/>
      <c r="HD35" s="69"/>
      <c r="HE35" s="69"/>
      <c r="HF35" s="69"/>
    </row>
    <row r="36" spans="1:214" ht="15.75" customHeight="1" thickBot="1" x14ac:dyDescent="0.35">
      <c r="A36" s="1"/>
      <c r="B36" s="375">
        <v>92</v>
      </c>
      <c r="C36" s="34">
        <f t="shared" si="37"/>
        <v>6</v>
      </c>
      <c r="D36" s="377" t="s">
        <v>155</v>
      </c>
      <c r="E36" s="233">
        <v>1</v>
      </c>
      <c r="F36" s="233"/>
      <c r="G36" s="233">
        <v>1</v>
      </c>
      <c r="H36" s="233"/>
      <c r="I36" s="233">
        <v>1</v>
      </c>
      <c r="J36" s="233"/>
      <c r="K36" s="233">
        <v>1</v>
      </c>
      <c r="L36" s="233"/>
      <c r="M36" s="233">
        <v>1</v>
      </c>
      <c r="N36" s="233"/>
      <c r="O36" s="233">
        <v>1</v>
      </c>
      <c r="P36" s="233"/>
      <c r="Q36" s="49">
        <f t="shared" si="67"/>
        <v>1</v>
      </c>
      <c r="R36" s="50">
        <f t="shared" si="68"/>
        <v>1550</v>
      </c>
      <c r="S36" s="51">
        <f t="shared" si="38"/>
        <v>0</v>
      </c>
      <c r="T36" s="11">
        <f t="shared" si="39"/>
        <v>1799.9999999999998</v>
      </c>
      <c r="U36" s="52">
        <f t="shared" si="40"/>
        <v>0</v>
      </c>
      <c r="V36" s="52" t="str">
        <f t="shared" si="41"/>
        <v>B ASIS</v>
      </c>
      <c r="W36" s="53">
        <f t="shared" si="42"/>
        <v>243.97333333333333</v>
      </c>
      <c r="X36" s="53">
        <f t="shared" si="43"/>
        <v>7.18</v>
      </c>
      <c r="Y36" s="53">
        <f>$Y$2*E36*Q36</f>
        <v>7.18</v>
      </c>
      <c r="Z36" s="54">
        <f t="shared" si="45"/>
        <v>258.33333333333331</v>
      </c>
      <c r="AA36" s="55"/>
      <c r="AB36" s="53">
        <f t="shared" si="46"/>
        <v>243.97333333333333</v>
      </c>
      <c r="AC36" s="53">
        <f t="shared" si="47"/>
        <v>7.18</v>
      </c>
      <c r="AD36" s="53">
        <f t="shared" si="48"/>
        <v>7.18</v>
      </c>
      <c r="AE36" s="54">
        <f t="shared" si="49"/>
        <v>258.33333333333331</v>
      </c>
      <c r="AF36" s="56"/>
      <c r="AG36" s="53">
        <f t="shared" si="50"/>
        <v>243.97333333333333</v>
      </c>
      <c r="AH36" s="53">
        <f t="shared" si="51"/>
        <v>7.18</v>
      </c>
      <c r="AI36" s="53">
        <f t="shared" si="52"/>
        <v>7.18</v>
      </c>
      <c r="AJ36" s="54">
        <f t="shared" si="53"/>
        <v>258.33333333333331</v>
      </c>
      <c r="AK36" s="57"/>
      <c r="AL36" s="53">
        <f t="shared" si="54"/>
        <v>243.97333333333333</v>
      </c>
      <c r="AM36" s="53">
        <f t="shared" si="55"/>
        <v>7.18</v>
      </c>
      <c r="AN36" s="53">
        <f t="shared" si="56"/>
        <v>7.18</v>
      </c>
      <c r="AO36" s="54">
        <f t="shared" si="57"/>
        <v>258.33333333333331</v>
      </c>
      <c r="AP36" s="56"/>
      <c r="AQ36" s="53">
        <f t="shared" si="58"/>
        <v>243.97333333333333</v>
      </c>
      <c r="AR36" s="53">
        <f t="shared" si="59"/>
        <v>7.18</v>
      </c>
      <c r="AS36" s="53">
        <f t="shared" si="60"/>
        <v>7.18</v>
      </c>
      <c r="AT36" s="54">
        <f t="shared" si="61"/>
        <v>258.33333333333331</v>
      </c>
      <c r="AU36" s="56"/>
      <c r="AV36" s="53">
        <f>(R36-86.16)/6*O36</f>
        <v>243.97333333333333</v>
      </c>
      <c r="AW36" s="53">
        <f t="shared" si="63"/>
        <v>7.18</v>
      </c>
      <c r="AX36" s="53">
        <f t="shared" si="64"/>
        <v>7.18</v>
      </c>
      <c r="AY36" s="54">
        <f t="shared" si="65"/>
        <v>258.33333333333331</v>
      </c>
      <c r="AZ36" s="58">
        <f t="shared" si="66"/>
        <v>1549.9999999999998</v>
      </c>
      <c r="BA36" s="59">
        <f t="shared" si="69"/>
        <v>1799.9999999999998</v>
      </c>
      <c r="BB36" s="60"/>
      <c r="BC36" s="60"/>
      <c r="BD36" s="60"/>
      <c r="BE36" s="60"/>
      <c r="BF36" s="60"/>
      <c r="BG36" s="61" t="s">
        <v>175</v>
      </c>
      <c r="BH36" s="62"/>
      <c r="BI36" s="63">
        <v>100</v>
      </c>
      <c r="BJ36" s="63">
        <v>150</v>
      </c>
      <c r="BK36" s="64"/>
      <c r="BL36" s="63"/>
      <c r="BM36" s="65"/>
      <c r="BN36" s="65"/>
      <c r="BO36" s="66"/>
      <c r="BP36" s="67"/>
      <c r="BQ36" s="21"/>
      <c r="BR36" s="48"/>
      <c r="BS36" s="48"/>
      <c r="BT36" s="68"/>
      <c r="BU36" s="1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</row>
    <row r="37" spans="1:214" ht="15.75" customHeight="1" thickBot="1" x14ac:dyDescent="0.35">
      <c r="A37" s="1"/>
      <c r="B37" s="375">
        <v>91</v>
      </c>
      <c r="C37" s="34">
        <f t="shared" si="37"/>
        <v>7</v>
      </c>
      <c r="D37" s="377" t="s">
        <v>94</v>
      </c>
      <c r="E37" s="233">
        <v>1</v>
      </c>
      <c r="F37" s="233"/>
      <c r="G37" s="233">
        <v>1</v>
      </c>
      <c r="H37" s="233"/>
      <c r="I37" s="233">
        <v>1</v>
      </c>
      <c r="J37" s="233"/>
      <c r="K37" s="233">
        <v>1</v>
      </c>
      <c r="L37" s="233"/>
      <c r="M37" s="233">
        <v>1</v>
      </c>
      <c r="N37" s="233"/>
      <c r="O37" s="233">
        <v>1</v>
      </c>
      <c r="P37" s="233"/>
      <c r="Q37" s="49">
        <f t="shared" si="67"/>
        <v>1</v>
      </c>
      <c r="R37" s="50">
        <f t="shared" si="68"/>
        <v>1550</v>
      </c>
      <c r="S37" s="51">
        <f t="shared" si="38"/>
        <v>0</v>
      </c>
      <c r="T37" s="11">
        <f t="shared" si="39"/>
        <v>1949.9999999999998</v>
      </c>
      <c r="U37" s="52">
        <f t="shared" si="40"/>
        <v>0</v>
      </c>
      <c r="V37" s="52" t="str">
        <f t="shared" si="41"/>
        <v>BONO+B ASIS</v>
      </c>
      <c r="W37" s="53">
        <f t="shared" si="42"/>
        <v>243.97333333333333</v>
      </c>
      <c r="X37" s="53">
        <f t="shared" si="43"/>
        <v>7.18</v>
      </c>
      <c r="Y37" s="53">
        <f t="shared" si="44"/>
        <v>7.18</v>
      </c>
      <c r="Z37" s="54">
        <f t="shared" si="45"/>
        <v>258.33333333333331</v>
      </c>
      <c r="AA37" s="55"/>
      <c r="AB37" s="53">
        <f t="shared" si="46"/>
        <v>243.97333333333333</v>
      </c>
      <c r="AC37" s="53">
        <f t="shared" si="47"/>
        <v>7.18</v>
      </c>
      <c r="AD37" s="53">
        <f t="shared" si="48"/>
        <v>7.18</v>
      </c>
      <c r="AE37" s="54">
        <f t="shared" si="49"/>
        <v>258.33333333333331</v>
      </c>
      <c r="AF37" s="56"/>
      <c r="AG37" s="53">
        <f t="shared" si="50"/>
        <v>243.97333333333333</v>
      </c>
      <c r="AH37" s="53">
        <f t="shared" si="51"/>
        <v>7.18</v>
      </c>
      <c r="AI37" s="53">
        <f t="shared" si="52"/>
        <v>7.18</v>
      </c>
      <c r="AJ37" s="54">
        <f t="shared" si="53"/>
        <v>258.33333333333331</v>
      </c>
      <c r="AK37" s="57"/>
      <c r="AL37" s="53">
        <f t="shared" si="54"/>
        <v>243.97333333333333</v>
      </c>
      <c r="AM37" s="53">
        <f t="shared" si="55"/>
        <v>7.18</v>
      </c>
      <c r="AN37" s="53">
        <f t="shared" si="56"/>
        <v>7.18</v>
      </c>
      <c r="AO37" s="54">
        <f t="shared" si="57"/>
        <v>258.33333333333331</v>
      </c>
      <c r="AP37" s="56"/>
      <c r="AQ37" s="53">
        <f t="shared" si="58"/>
        <v>243.97333333333333</v>
      </c>
      <c r="AR37" s="53">
        <f t="shared" si="59"/>
        <v>7.18</v>
      </c>
      <c r="AS37" s="53">
        <f t="shared" si="60"/>
        <v>7.18</v>
      </c>
      <c r="AT37" s="54">
        <f t="shared" si="61"/>
        <v>258.33333333333331</v>
      </c>
      <c r="AU37" s="56"/>
      <c r="AV37" s="53">
        <f t="shared" ref="AV37:AV43" si="70">(R37-86.16)/6*O37</f>
        <v>243.97333333333333</v>
      </c>
      <c r="AW37" s="53">
        <f t="shared" si="63"/>
        <v>7.18</v>
      </c>
      <c r="AX37" s="53">
        <f t="shared" si="64"/>
        <v>7.18</v>
      </c>
      <c r="AY37" s="54">
        <f t="shared" si="65"/>
        <v>258.33333333333331</v>
      </c>
      <c r="AZ37" s="58">
        <f t="shared" si="66"/>
        <v>1549.9999999999998</v>
      </c>
      <c r="BA37" s="59">
        <f t="shared" si="69"/>
        <v>1949.9999999999998</v>
      </c>
      <c r="BB37" s="60"/>
      <c r="BC37" s="60"/>
      <c r="BD37" s="60"/>
      <c r="BE37" s="60"/>
      <c r="BF37" s="60"/>
      <c r="BG37" s="61" t="s">
        <v>133</v>
      </c>
      <c r="BH37" s="62"/>
      <c r="BI37" s="63">
        <v>250</v>
      </c>
      <c r="BJ37" s="63">
        <v>150</v>
      </c>
      <c r="BK37" s="64"/>
      <c r="BL37" s="64"/>
      <c r="BM37" s="65"/>
      <c r="BN37" s="65"/>
      <c r="BO37" s="66"/>
      <c r="BP37" s="67"/>
      <c r="BQ37" s="21"/>
      <c r="BR37" s="48"/>
      <c r="BS37" s="48"/>
      <c r="BT37" s="68"/>
      <c r="BU37" s="1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</row>
    <row r="38" spans="1:214" s="69" customFormat="1" ht="15.75" customHeight="1" thickBot="1" x14ac:dyDescent="0.35">
      <c r="A38" s="1">
        <v>448</v>
      </c>
      <c r="B38" s="375">
        <v>27</v>
      </c>
      <c r="C38" s="34">
        <f t="shared" si="37"/>
        <v>8</v>
      </c>
      <c r="D38" s="377" t="s">
        <v>39</v>
      </c>
      <c r="E38" s="233">
        <v>1</v>
      </c>
      <c r="F38" s="233"/>
      <c r="G38" s="233">
        <v>1</v>
      </c>
      <c r="H38" s="233"/>
      <c r="I38" s="233">
        <v>1</v>
      </c>
      <c r="J38" s="233"/>
      <c r="K38" s="364">
        <v>0</v>
      </c>
      <c r="L38" s="390" t="s">
        <v>132</v>
      </c>
      <c r="M38" s="233">
        <v>1</v>
      </c>
      <c r="N38" s="233"/>
      <c r="O38" s="233">
        <v>1</v>
      </c>
      <c r="P38" s="233"/>
      <c r="Q38" s="49">
        <f t="shared" si="67"/>
        <v>0</v>
      </c>
      <c r="R38" s="50">
        <f t="shared" si="68"/>
        <v>850</v>
      </c>
      <c r="S38" s="51">
        <f t="shared" si="38"/>
        <v>0</v>
      </c>
      <c r="T38" s="11">
        <f t="shared" si="39"/>
        <v>1508.3333333333333</v>
      </c>
      <c r="U38" s="52">
        <f t="shared" si="40"/>
        <v>0</v>
      </c>
      <c r="V38" s="52" t="str">
        <f t="shared" si="41"/>
        <v>BONO</v>
      </c>
      <c r="W38" s="53">
        <f t="shared" si="42"/>
        <v>127.30666666666667</v>
      </c>
      <c r="X38" s="53">
        <f t="shared" si="43"/>
        <v>0</v>
      </c>
      <c r="Y38" s="53">
        <f t="shared" si="44"/>
        <v>0</v>
      </c>
      <c r="Z38" s="54">
        <f t="shared" si="45"/>
        <v>127.30666666666667</v>
      </c>
      <c r="AA38" s="55"/>
      <c r="AB38" s="53">
        <f t="shared" si="46"/>
        <v>127.30666666666667</v>
      </c>
      <c r="AC38" s="53">
        <f t="shared" si="47"/>
        <v>0</v>
      </c>
      <c r="AD38" s="53">
        <f t="shared" si="48"/>
        <v>0</v>
      </c>
      <c r="AE38" s="54">
        <f t="shared" si="49"/>
        <v>127.30666666666667</v>
      </c>
      <c r="AF38" s="56"/>
      <c r="AG38" s="53">
        <f t="shared" si="50"/>
        <v>127.30666666666667</v>
      </c>
      <c r="AH38" s="53">
        <f t="shared" si="51"/>
        <v>0</v>
      </c>
      <c r="AI38" s="53">
        <f t="shared" si="52"/>
        <v>0</v>
      </c>
      <c r="AJ38" s="54">
        <f t="shared" si="53"/>
        <v>127.30666666666667</v>
      </c>
      <c r="AK38" s="57"/>
      <c r="AL38" s="53">
        <f t="shared" si="54"/>
        <v>0</v>
      </c>
      <c r="AM38" s="53">
        <f t="shared" si="55"/>
        <v>0</v>
      </c>
      <c r="AN38" s="53">
        <f t="shared" si="56"/>
        <v>0</v>
      </c>
      <c r="AO38" s="54">
        <f t="shared" si="57"/>
        <v>0</v>
      </c>
      <c r="AP38" s="56"/>
      <c r="AQ38" s="53">
        <f t="shared" si="58"/>
        <v>127.30666666666667</v>
      </c>
      <c r="AR38" s="53">
        <f t="shared" si="59"/>
        <v>0</v>
      </c>
      <c r="AS38" s="53">
        <f t="shared" si="60"/>
        <v>0</v>
      </c>
      <c r="AT38" s="54">
        <f t="shared" si="61"/>
        <v>127.30666666666667</v>
      </c>
      <c r="AU38" s="56"/>
      <c r="AV38" s="53">
        <f t="shared" si="70"/>
        <v>127.30666666666667</v>
      </c>
      <c r="AW38" s="53">
        <f t="shared" si="63"/>
        <v>0</v>
      </c>
      <c r="AX38" s="53">
        <f t="shared" si="64"/>
        <v>0</v>
      </c>
      <c r="AY38" s="54">
        <f t="shared" si="65"/>
        <v>127.30666666666667</v>
      </c>
      <c r="AZ38" s="58">
        <f t="shared" si="66"/>
        <v>636.5333333333333</v>
      </c>
      <c r="BA38" s="59">
        <f t="shared" si="69"/>
        <v>1508.3333333333333</v>
      </c>
      <c r="BB38" s="60"/>
      <c r="BC38" s="60"/>
      <c r="BD38" s="60"/>
      <c r="BE38" s="60"/>
      <c r="BF38" s="60"/>
      <c r="BG38" s="61" t="s">
        <v>7</v>
      </c>
      <c r="BH38" s="62"/>
      <c r="BI38" s="63">
        <v>300</v>
      </c>
      <c r="BJ38" s="63"/>
      <c r="BK38" s="64"/>
      <c r="BL38" s="63">
        <f>271.8+300</f>
        <v>571.79999999999995</v>
      </c>
      <c r="BM38" s="65"/>
      <c r="BN38" s="65"/>
      <c r="BO38" s="66"/>
      <c r="BP38" s="67"/>
      <c r="BQ38" s="21"/>
      <c r="BR38" s="48"/>
      <c r="BS38" s="48"/>
      <c r="BT38" s="68"/>
      <c r="BU38" s="1">
        <v>448</v>
      </c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</row>
    <row r="39" spans="1:214" ht="15.75" customHeight="1" thickBot="1" x14ac:dyDescent="0.35">
      <c r="A39" s="1">
        <v>449</v>
      </c>
      <c r="B39" s="275">
        <v>28</v>
      </c>
      <c r="C39" s="34">
        <f t="shared" si="37"/>
        <v>9</v>
      </c>
      <c r="D39" s="274" t="s">
        <v>40</v>
      </c>
      <c r="E39" s="233">
        <v>1</v>
      </c>
      <c r="F39" s="233"/>
      <c r="G39" s="233">
        <v>1</v>
      </c>
      <c r="H39" s="233"/>
      <c r="I39" s="233">
        <v>1</v>
      </c>
      <c r="J39" s="233"/>
      <c r="K39" s="233">
        <v>1</v>
      </c>
      <c r="L39" s="233"/>
      <c r="M39" s="233">
        <v>1</v>
      </c>
      <c r="N39" s="233"/>
      <c r="O39" s="233">
        <v>1</v>
      </c>
      <c r="P39" s="233"/>
      <c r="Q39" s="49">
        <f t="shared" si="67"/>
        <v>1</v>
      </c>
      <c r="R39" s="339">
        <f>IF(Q39=1,3000,850)</f>
        <v>3000</v>
      </c>
      <c r="S39" s="51">
        <f t="shared" si="38"/>
        <v>0</v>
      </c>
      <c r="T39" s="11">
        <f t="shared" si="39"/>
        <v>3000.0000000000005</v>
      </c>
      <c r="U39" s="52">
        <f t="shared" si="40"/>
        <v>0</v>
      </c>
      <c r="V39" s="52">
        <f t="shared" si="41"/>
        <v>0</v>
      </c>
      <c r="W39" s="53">
        <f t="shared" si="42"/>
        <v>485.64000000000004</v>
      </c>
      <c r="X39" s="53">
        <f t="shared" si="43"/>
        <v>7.18</v>
      </c>
      <c r="Y39" s="53">
        <f t="shared" si="44"/>
        <v>7.18</v>
      </c>
      <c r="Z39" s="54">
        <f t="shared" si="45"/>
        <v>500.00000000000006</v>
      </c>
      <c r="AA39" s="55"/>
      <c r="AB39" s="53">
        <f t="shared" si="46"/>
        <v>485.64000000000004</v>
      </c>
      <c r="AC39" s="53">
        <f t="shared" si="47"/>
        <v>7.18</v>
      </c>
      <c r="AD39" s="53">
        <f t="shared" si="48"/>
        <v>7.18</v>
      </c>
      <c r="AE39" s="54">
        <f t="shared" si="49"/>
        <v>500.00000000000006</v>
      </c>
      <c r="AF39" s="56"/>
      <c r="AG39" s="53">
        <f t="shared" si="50"/>
        <v>485.64000000000004</v>
      </c>
      <c r="AH39" s="53">
        <f t="shared" si="51"/>
        <v>7.18</v>
      </c>
      <c r="AI39" s="53">
        <f t="shared" si="52"/>
        <v>7.18</v>
      </c>
      <c r="AJ39" s="54">
        <f t="shared" si="53"/>
        <v>500.00000000000006</v>
      </c>
      <c r="AK39" s="57"/>
      <c r="AL39" s="53">
        <f t="shared" si="54"/>
        <v>485.64000000000004</v>
      </c>
      <c r="AM39" s="53">
        <f t="shared" si="55"/>
        <v>7.18</v>
      </c>
      <c r="AN39" s="53">
        <f t="shared" si="56"/>
        <v>7.18</v>
      </c>
      <c r="AO39" s="54">
        <f t="shared" si="57"/>
        <v>500.00000000000006</v>
      </c>
      <c r="AP39" s="56"/>
      <c r="AQ39" s="53">
        <f t="shared" si="58"/>
        <v>485.64000000000004</v>
      </c>
      <c r="AR39" s="53">
        <f t="shared" si="59"/>
        <v>7.18</v>
      </c>
      <c r="AS39" s="53">
        <f t="shared" si="60"/>
        <v>7.18</v>
      </c>
      <c r="AT39" s="54">
        <f t="shared" si="61"/>
        <v>500.00000000000006</v>
      </c>
      <c r="AU39" s="56"/>
      <c r="AV39" s="53">
        <f t="shared" si="70"/>
        <v>485.64000000000004</v>
      </c>
      <c r="AW39" s="53">
        <f t="shared" si="63"/>
        <v>7.18</v>
      </c>
      <c r="AX39" s="53">
        <f t="shared" si="64"/>
        <v>7.18</v>
      </c>
      <c r="AY39" s="54">
        <f t="shared" si="65"/>
        <v>500.00000000000006</v>
      </c>
      <c r="AZ39" s="58">
        <f t="shared" si="66"/>
        <v>3000.0000000000005</v>
      </c>
      <c r="BA39" s="59">
        <f t="shared" si="69"/>
        <v>3000.0000000000005</v>
      </c>
      <c r="BB39" s="60"/>
      <c r="BC39" s="60"/>
      <c r="BD39" s="60"/>
      <c r="BE39" s="60"/>
      <c r="BF39" s="60"/>
      <c r="BG39" s="61"/>
      <c r="BH39" s="62"/>
      <c r="BI39" s="63"/>
      <c r="BJ39" s="63"/>
      <c r="BK39" s="64"/>
      <c r="BL39" s="63"/>
      <c r="BM39" s="65"/>
      <c r="BN39" s="65"/>
      <c r="BO39" s="66"/>
      <c r="BP39" s="67"/>
      <c r="BQ39" s="21"/>
      <c r="BR39" s="48"/>
      <c r="BS39" s="48"/>
      <c r="BT39" s="68"/>
      <c r="BU39" s="1">
        <v>449</v>
      </c>
      <c r="GG39" s="69"/>
      <c r="GH39" s="69"/>
      <c r="GI39" s="69"/>
      <c r="GJ39" s="69"/>
      <c r="GK39" s="69"/>
      <c r="GL39" s="69"/>
      <c r="GM39" s="69"/>
      <c r="GN39" s="69"/>
      <c r="GO39" s="69"/>
      <c r="GP39" s="69"/>
      <c r="GQ39" s="69"/>
      <c r="GR39" s="69"/>
      <c r="GS39" s="69"/>
      <c r="GT39" s="69"/>
      <c r="GU39" s="69"/>
      <c r="GV39" s="69"/>
      <c r="GW39" s="69"/>
      <c r="GX39" s="69"/>
      <c r="GY39" s="69"/>
      <c r="GZ39" s="69"/>
      <c r="HA39" s="69"/>
      <c r="HB39" s="69"/>
      <c r="HC39" s="69"/>
      <c r="HD39" s="69"/>
      <c r="HE39" s="69"/>
      <c r="HF39" s="69"/>
    </row>
    <row r="40" spans="1:214" ht="15.75" customHeight="1" thickBot="1" x14ac:dyDescent="0.35">
      <c r="A40" s="1">
        <v>448</v>
      </c>
      <c r="B40" s="375">
        <v>170</v>
      </c>
      <c r="C40" s="34">
        <f t="shared" si="37"/>
        <v>10</v>
      </c>
      <c r="D40" s="376" t="s">
        <v>154</v>
      </c>
      <c r="E40" s="233">
        <v>1</v>
      </c>
      <c r="F40" s="233"/>
      <c r="G40" s="233">
        <v>1</v>
      </c>
      <c r="H40" s="233"/>
      <c r="I40" s="233">
        <v>1</v>
      </c>
      <c r="J40" s="233"/>
      <c r="K40" s="233">
        <v>1</v>
      </c>
      <c r="L40" s="233"/>
      <c r="M40" s="233">
        <v>1</v>
      </c>
      <c r="N40" s="233"/>
      <c r="O40" s="233">
        <v>1</v>
      </c>
      <c r="P40" s="233"/>
      <c r="Q40" s="49">
        <f t="shared" si="67"/>
        <v>1</v>
      </c>
      <c r="R40" s="50">
        <f t="shared" si="68"/>
        <v>1550</v>
      </c>
      <c r="S40" s="51">
        <f t="shared" si="38"/>
        <v>0</v>
      </c>
      <c r="T40" s="11">
        <f t="shared" si="39"/>
        <v>1949.9999999999998</v>
      </c>
      <c r="U40" s="52">
        <f t="shared" si="40"/>
        <v>0</v>
      </c>
      <c r="V40" s="52" t="str">
        <f t="shared" si="41"/>
        <v>BONO+B ASIS</v>
      </c>
      <c r="W40" s="53">
        <f t="shared" si="42"/>
        <v>243.97333333333333</v>
      </c>
      <c r="X40" s="53">
        <f t="shared" si="43"/>
        <v>7.18</v>
      </c>
      <c r="Y40" s="53">
        <f t="shared" si="44"/>
        <v>7.18</v>
      </c>
      <c r="Z40" s="54">
        <f t="shared" si="45"/>
        <v>258.33333333333331</v>
      </c>
      <c r="AA40" s="55"/>
      <c r="AB40" s="53">
        <f t="shared" si="46"/>
        <v>243.97333333333333</v>
      </c>
      <c r="AC40" s="53">
        <f t="shared" si="47"/>
        <v>7.18</v>
      </c>
      <c r="AD40" s="53">
        <f t="shared" si="48"/>
        <v>7.18</v>
      </c>
      <c r="AE40" s="54">
        <f t="shared" si="49"/>
        <v>258.33333333333331</v>
      </c>
      <c r="AF40" s="56"/>
      <c r="AG40" s="53">
        <f t="shared" si="50"/>
        <v>243.97333333333333</v>
      </c>
      <c r="AH40" s="53">
        <f t="shared" si="51"/>
        <v>7.18</v>
      </c>
      <c r="AI40" s="53">
        <f t="shared" si="52"/>
        <v>7.18</v>
      </c>
      <c r="AJ40" s="54">
        <f t="shared" si="53"/>
        <v>258.33333333333331</v>
      </c>
      <c r="AK40" s="57"/>
      <c r="AL40" s="53">
        <f t="shared" si="54"/>
        <v>243.97333333333333</v>
      </c>
      <c r="AM40" s="53">
        <f t="shared" si="55"/>
        <v>7.18</v>
      </c>
      <c r="AN40" s="53">
        <f t="shared" si="56"/>
        <v>7.18</v>
      </c>
      <c r="AO40" s="54">
        <f t="shared" si="57"/>
        <v>258.33333333333331</v>
      </c>
      <c r="AP40" s="56"/>
      <c r="AQ40" s="53">
        <f t="shared" si="58"/>
        <v>243.97333333333333</v>
      </c>
      <c r="AR40" s="53">
        <f t="shared" si="59"/>
        <v>7.18</v>
      </c>
      <c r="AS40" s="53">
        <f t="shared" si="60"/>
        <v>7.18</v>
      </c>
      <c r="AT40" s="54">
        <f t="shared" si="61"/>
        <v>258.33333333333331</v>
      </c>
      <c r="AU40" s="56"/>
      <c r="AV40" s="53">
        <f t="shared" si="70"/>
        <v>243.97333333333333</v>
      </c>
      <c r="AW40" s="53">
        <f t="shared" si="63"/>
        <v>7.18</v>
      </c>
      <c r="AX40" s="53">
        <f t="shared" si="64"/>
        <v>7.18</v>
      </c>
      <c r="AY40" s="54">
        <f t="shared" si="65"/>
        <v>258.33333333333331</v>
      </c>
      <c r="AZ40" s="58">
        <f t="shared" si="66"/>
        <v>1549.9999999999998</v>
      </c>
      <c r="BA40" s="59">
        <f t="shared" si="69"/>
        <v>1949.9999999999998</v>
      </c>
      <c r="BB40" s="60"/>
      <c r="BC40" s="60"/>
      <c r="BD40" s="60"/>
      <c r="BE40" s="60"/>
      <c r="BF40" s="60"/>
      <c r="BG40" s="61" t="s">
        <v>133</v>
      </c>
      <c r="BH40" s="62"/>
      <c r="BI40" s="63">
        <v>250</v>
      </c>
      <c r="BJ40" s="63">
        <v>150</v>
      </c>
      <c r="BK40" s="64"/>
      <c r="BL40" s="63"/>
      <c r="BM40" s="65"/>
      <c r="BN40" s="65"/>
      <c r="BO40" s="66"/>
      <c r="BP40" s="67"/>
      <c r="BQ40" s="21"/>
      <c r="BR40" s="48"/>
      <c r="BS40" s="48"/>
      <c r="BT40" s="68"/>
      <c r="BU40" s="1">
        <v>448</v>
      </c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</row>
    <row r="41" spans="1:214" s="69" customFormat="1" ht="15.75" customHeight="1" thickBot="1" x14ac:dyDescent="0.35">
      <c r="A41" s="1">
        <v>467</v>
      </c>
      <c r="B41" s="375">
        <v>32</v>
      </c>
      <c r="C41" s="34">
        <f>+C44+1</f>
        <v>1</v>
      </c>
      <c r="D41" s="376" t="s">
        <v>54</v>
      </c>
      <c r="E41" s="233">
        <v>1</v>
      </c>
      <c r="F41" s="233"/>
      <c r="G41" s="233">
        <v>1</v>
      </c>
      <c r="H41" s="233"/>
      <c r="I41" s="233">
        <v>1</v>
      </c>
      <c r="J41" s="233"/>
      <c r="K41" s="233">
        <v>1</v>
      </c>
      <c r="L41" s="233"/>
      <c r="M41" s="233">
        <v>1</v>
      </c>
      <c r="N41" s="233"/>
      <c r="O41" s="233">
        <v>1</v>
      </c>
      <c r="P41" s="233"/>
      <c r="Q41" s="49">
        <f t="shared" si="67"/>
        <v>1</v>
      </c>
      <c r="R41" s="50">
        <f t="shared" si="68"/>
        <v>1550</v>
      </c>
      <c r="S41" s="51">
        <f t="shared" si="38"/>
        <v>0</v>
      </c>
      <c r="T41" s="11">
        <f t="shared" si="39"/>
        <v>1949.9999999999998</v>
      </c>
      <c r="U41" s="52">
        <f t="shared" si="40"/>
        <v>0</v>
      </c>
      <c r="V41" s="52" t="str">
        <f t="shared" si="41"/>
        <v>BONO+B ASIS</v>
      </c>
      <c r="W41" s="53">
        <f t="shared" si="42"/>
        <v>243.97333333333333</v>
      </c>
      <c r="X41" s="53">
        <f t="shared" si="43"/>
        <v>7.18</v>
      </c>
      <c r="Y41" s="53">
        <f t="shared" si="44"/>
        <v>7.18</v>
      </c>
      <c r="Z41" s="54">
        <f t="shared" si="45"/>
        <v>258.33333333333331</v>
      </c>
      <c r="AA41" s="55"/>
      <c r="AB41" s="53">
        <f t="shared" si="46"/>
        <v>243.97333333333333</v>
      </c>
      <c r="AC41" s="53">
        <f t="shared" si="47"/>
        <v>7.18</v>
      </c>
      <c r="AD41" s="53">
        <f t="shared" si="48"/>
        <v>7.18</v>
      </c>
      <c r="AE41" s="54">
        <f t="shared" si="49"/>
        <v>258.33333333333331</v>
      </c>
      <c r="AF41" s="56"/>
      <c r="AG41" s="53">
        <f t="shared" si="50"/>
        <v>243.97333333333333</v>
      </c>
      <c r="AH41" s="53">
        <f t="shared" si="51"/>
        <v>7.18</v>
      </c>
      <c r="AI41" s="53">
        <f t="shared" si="52"/>
        <v>7.18</v>
      </c>
      <c r="AJ41" s="54">
        <f t="shared" si="53"/>
        <v>258.33333333333331</v>
      </c>
      <c r="AK41" s="57"/>
      <c r="AL41" s="53">
        <f t="shared" si="54"/>
        <v>243.97333333333333</v>
      </c>
      <c r="AM41" s="53">
        <f t="shared" si="55"/>
        <v>7.18</v>
      </c>
      <c r="AN41" s="53">
        <f t="shared" si="56"/>
        <v>7.18</v>
      </c>
      <c r="AO41" s="54">
        <f t="shared" si="57"/>
        <v>258.33333333333331</v>
      </c>
      <c r="AP41" s="56"/>
      <c r="AQ41" s="53">
        <f t="shared" si="58"/>
        <v>243.97333333333333</v>
      </c>
      <c r="AR41" s="53">
        <f t="shared" si="59"/>
        <v>7.18</v>
      </c>
      <c r="AS41" s="53">
        <f t="shared" si="60"/>
        <v>7.18</v>
      </c>
      <c r="AT41" s="54">
        <f t="shared" si="61"/>
        <v>258.33333333333331</v>
      </c>
      <c r="AU41" s="56"/>
      <c r="AV41" s="53">
        <f t="shared" si="70"/>
        <v>243.97333333333333</v>
      </c>
      <c r="AW41" s="53">
        <f t="shared" si="63"/>
        <v>7.18</v>
      </c>
      <c r="AX41" s="53">
        <f t="shared" si="64"/>
        <v>7.18</v>
      </c>
      <c r="AY41" s="54">
        <f t="shared" si="65"/>
        <v>258.33333333333331</v>
      </c>
      <c r="AZ41" s="58">
        <f t="shared" si="66"/>
        <v>1549.9999999999998</v>
      </c>
      <c r="BA41" s="59">
        <f t="shared" si="69"/>
        <v>1949.9999999999998</v>
      </c>
      <c r="BB41" s="139"/>
      <c r="BC41" s="139"/>
      <c r="BD41" s="139"/>
      <c r="BE41" s="139"/>
      <c r="BF41" s="139"/>
      <c r="BG41" s="61" t="s">
        <v>133</v>
      </c>
      <c r="BH41" s="62"/>
      <c r="BI41" s="63">
        <v>250</v>
      </c>
      <c r="BJ41" s="63">
        <v>150</v>
      </c>
      <c r="BK41" s="64"/>
      <c r="BL41" s="64"/>
      <c r="BM41" s="18"/>
      <c r="BN41" s="18"/>
      <c r="BO41" s="66"/>
      <c r="BP41" s="66"/>
      <c r="BQ41" s="21"/>
      <c r="BR41" s="74"/>
      <c r="BS41" s="74"/>
      <c r="BT41" s="22"/>
      <c r="BU41" s="1">
        <v>467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</row>
    <row r="42" spans="1:214" s="69" customFormat="1" ht="15.75" customHeight="1" thickBot="1" x14ac:dyDescent="0.35">
      <c r="A42" s="1">
        <v>448</v>
      </c>
      <c r="B42" s="375">
        <v>33</v>
      </c>
      <c r="C42" s="34">
        <f>+C41+1</f>
        <v>2</v>
      </c>
      <c r="D42" s="376" t="s">
        <v>41</v>
      </c>
      <c r="E42" s="233">
        <v>1</v>
      </c>
      <c r="F42" s="233"/>
      <c r="G42" s="233">
        <v>1</v>
      </c>
      <c r="H42" s="233"/>
      <c r="I42" s="233">
        <v>1</v>
      </c>
      <c r="J42" s="233"/>
      <c r="K42" s="233">
        <v>1</v>
      </c>
      <c r="L42" s="233"/>
      <c r="M42" s="233">
        <v>1</v>
      </c>
      <c r="N42" s="233"/>
      <c r="O42" s="233">
        <v>1</v>
      </c>
      <c r="P42" s="233"/>
      <c r="Q42" s="49">
        <f t="shared" si="67"/>
        <v>1</v>
      </c>
      <c r="R42" s="50">
        <f t="shared" si="68"/>
        <v>1550</v>
      </c>
      <c r="S42" s="51">
        <f t="shared" si="38"/>
        <v>0</v>
      </c>
      <c r="T42" s="11">
        <f t="shared" si="39"/>
        <v>1949.9999999999998</v>
      </c>
      <c r="U42" s="52">
        <f t="shared" si="40"/>
        <v>0</v>
      </c>
      <c r="V42" s="52" t="str">
        <f t="shared" si="41"/>
        <v>BONO+B ASIS</v>
      </c>
      <c r="W42" s="53">
        <f t="shared" si="42"/>
        <v>243.97333333333333</v>
      </c>
      <c r="X42" s="53">
        <f t="shared" si="43"/>
        <v>7.18</v>
      </c>
      <c r="Y42" s="53">
        <f t="shared" si="44"/>
        <v>7.18</v>
      </c>
      <c r="Z42" s="54">
        <f t="shared" si="45"/>
        <v>258.33333333333331</v>
      </c>
      <c r="AA42" s="55"/>
      <c r="AB42" s="53">
        <f t="shared" si="46"/>
        <v>243.97333333333333</v>
      </c>
      <c r="AC42" s="53">
        <f t="shared" si="47"/>
        <v>7.18</v>
      </c>
      <c r="AD42" s="53">
        <f t="shared" si="48"/>
        <v>7.18</v>
      </c>
      <c r="AE42" s="54">
        <f t="shared" si="49"/>
        <v>258.33333333333331</v>
      </c>
      <c r="AF42" s="56"/>
      <c r="AG42" s="53">
        <f t="shared" si="50"/>
        <v>243.97333333333333</v>
      </c>
      <c r="AH42" s="53">
        <f t="shared" si="51"/>
        <v>7.18</v>
      </c>
      <c r="AI42" s="53">
        <f t="shared" si="52"/>
        <v>7.18</v>
      </c>
      <c r="AJ42" s="54">
        <f t="shared" si="53"/>
        <v>258.33333333333331</v>
      </c>
      <c r="AK42" s="57"/>
      <c r="AL42" s="53">
        <f t="shared" si="54"/>
        <v>243.97333333333333</v>
      </c>
      <c r="AM42" s="53">
        <f t="shared" si="55"/>
        <v>7.18</v>
      </c>
      <c r="AN42" s="53">
        <f t="shared" si="56"/>
        <v>7.18</v>
      </c>
      <c r="AO42" s="54">
        <f t="shared" si="57"/>
        <v>258.33333333333331</v>
      </c>
      <c r="AP42" s="56"/>
      <c r="AQ42" s="53">
        <f t="shared" si="58"/>
        <v>243.97333333333333</v>
      </c>
      <c r="AR42" s="53">
        <f t="shared" si="59"/>
        <v>7.18</v>
      </c>
      <c r="AS42" s="53">
        <f t="shared" si="60"/>
        <v>7.18</v>
      </c>
      <c r="AT42" s="54">
        <f t="shared" si="61"/>
        <v>258.33333333333331</v>
      </c>
      <c r="AU42" s="56"/>
      <c r="AV42" s="53">
        <f t="shared" si="70"/>
        <v>243.97333333333333</v>
      </c>
      <c r="AW42" s="53">
        <f t="shared" si="63"/>
        <v>7.18</v>
      </c>
      <c r="AX42" s="53">
        <f t="shared" si="64"/>
        <v>7.18</v>
      </c>
      <c r="AY42" s="54">
        <f t="shared" si="65"/>
        <v>258.33333333333331</v>
      </c>
      <c r="AZ42" s="58">
        <f t="shared" si="66"/>
        <v>1549.9999999999998</v>
      </c>
      <c r="BA42" s="59">
        <f t="shared" si="69"/>
        <v>1949.9999999999998</v>
      </c>
      <c r="BB42" s="60"/>
      <c r="BC42" s="60"/>
      <c r="BD42" s="60"/>
      <c r="BE42" s="60"/>
      <c r="BF42" s="60"/>
      <c r="BG42" s="61" t="s">
        <v>133</v>
      </c>
      <c r="BH42" s="62"/>
      <c r="BI42" s="63">
        <v>250</v>
      </c>
      <c r="BJ42" s="63">
        <v>150</v>
      </c>
      <c r="BK42" s="64"/>
      <c r="BL42" s="63"/>
      <c r="BM42" s="65"/>
      <c r="BN42" s="65"/>
      <c r="BO42" s="66"/>
      <c r="BP42" s="67"/>
      <c r="BQ42" s="21"/>
      <c r="BR42" s="48"/>
      <c r="BS42" s="48"/>
      <c r="BT42" s="68"/>
      <c r="BU42" s="1">
        <v>448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</row>
    <row r="43" spans="1:214" ht="15.75" customHeight="1" thickBot="1" x14ac:dyDescent="0.35">
      <c r="A43" s="1"/>
      <c r="B43" s="371">
        <v>156</v>
      </c>
      <c r="C43" s="34">
        <f>+C39+1</f>
        <v>10</v>
      </c>
      <c r="D43" s="370" t="s">
        <v>137</v>
      </c>
      <c r="E43" s="367">
        <v>0</v>
      </c>
      <c r="F43" s="368" t="s">
        <v>167</v>
      </c>
      <c r="G43" s="367">
        <v>0</v>
      </c>
      <c r="H43" s="368" t="s">
        <v>167</v>
      </c>
      <c r="I43" s="367">
        <v>0</v>
      </c>
      <c r="J43" s="368" t="s">
        <v>167</v>
      </c>
      <c r="K43" s="367">
        <v>0</v>
      </c>
      <c r="L43" s="368" t="s">
        <v>167</v>
      </c>
      <c r="M43" s="367">
        <v>0</v>
      </c>
      <c r="N43" s="368" t="s">
        <v>167</v>
      </c>
      <c r="O43" s="367">
        <v>0</v>
      </c>
      <c r="P43" s="368" t="s">
        <v>167</v>
      </c>
      <c r="Q43" s="367">
        <v>0</v>
      </c>
      <c r="R43" s="369">
        <v>0</v>
      </c>
      <c r="S43" s="51">
        <f t="shared" si="38"/>
        <v>0</v>
      </c>
      <c r="T43" s="11">
        <f t="shared" si="39"/>
        <v>0</v>
      </c>
      <c r="U43" s="52">
        <f t="shared" si="40"/>
        <v>0</v>
      </c>
      <c r="V43" s="52">
        <f t="shared" si="41"/>
        <v>0</v>
      </c>
      <c r="W43" s="53">
        <f t="shared" si="42"/>
        <v>0</v>
      </c>
      <c r="X43" s="53">
        <f t="shared" si="43"/>
        <v>0</v>
      </c>
      <c r="Y43" s="53">
        <f t="shared" si="44"/>
        <v>0</v>
      </c>
      <c r="Z43" s="54">
        <f t="shared" si="45"/>
        <v>0</v>
      </c>
      <c r="AA43" s="55"/>
      <c r="AB43" s="53">
        <f t="shared" si="46"/>
        <v>0</v>
      </c>
      <c r="AC43" s="53">
        <f t="shared" si="47"/>
        <v>0</v>
      </c>
      <c r="AD43" s="53">
        <f t="shared" si="48"/>
        <v>0</v>
      </c>
      <c r="AE43" s="54">
        <f t="shared" si="49"/>
        <v>0</v>
      </c>
      <c r="AF43" s="56"/>
      <c r="AG43" s="53">
        <f t="shared" si="50"/>
        <v>0</v>
      </c>
      <c r="AH43" s="53">
        <f t="shared" si="51"/>
        <v>0</v>
      </c>
      <c r="AI43" s="53">
        <f t="shared" si="52"/>
        <v>0</v>
      </c>
      <c r="AJ43" s="54">
        <f t="shared" si="53"/>
        <v>0</v>
      </c>
      <c r="AK43" s="57"/>
      <c r="AL43" s="53">
        <f t="shared" si="54"/>
        <v>0</v>
      </c>
      <c r="AM43" s="53">
        <f t="shared" si="55"/>
        <v>0</v>
      </c>
      <c r="AN43" s="53">
        <f t="shared" si="56"/>
        <v>0</v>
      </c>
      <c r="AO43" s="54">
        <f t="shared" si="57"/>
        <v>0</v>
      </c>
      <c r="AP43" s="56"/>
      <c r="AQ43" s="53">
        <f t="shared" si="58"/>
        <v>0</v>
      </c>
      <c r="AR43" s="53">
        <f t="shared" si="59"/>
        <v>0</v>
      </c>
      <c r="AS43" s="53">
        <f t="shared" si="60"/>
        <v>0</v>
      </c>
      <c r="AT43" s="54">
        <f t="shared" si="61"/>
        <v>0</v>
      </c>
      <c r="AU43" s="56"/>
      <c r="AV43" s="53">
        <f t="shared" si="70"/>
        <v>0</v>
      </c>
      <c r="AW43" s="53">
        <f t="shared" si="63"/>
        <v>0</v>
      </c>
      <c r="AX43" s="53">
        <f t="shared" si="64"/>
        <v>0</v>
      </c>
      <c r="AY43" s="54">
        <f t="shared" si="65"/>
        <v>0</v>
      </c>
      <c r="AZ43" s="58">
        <f t="shared" si="66"/>
        <v>0</v>
      </c>
      <c r="BA43" s="59">
        <v>0</v>
      </c>
      <c r="BB43" s="60"/>
      <c r="BC43" s="60"/>
      <c r="BD43" s="60"/>
      <c r="BE43" s="60"/>
      <c r="BF43" s="60"/>
      <c r="BG43" s="61"/>
      <c r="BH43" s="62"/>
      <c r="BI43" s="63"/>
      <c r="BJ43" s="63"/>
      <c r="BK43" s="64"/>
      <c r="BL43" s="63"/>
      <c r="BM43" s="65"/>
      <c r="BN43" s="65"/>
      <c r="BO43" s="66"/>
      <c r="BP43" s="67"/>
      <c r="BQ43" s="21"/>
      <c r="BR43" s="48"/>
      <c r="BS43" s="48"/>
      <c r="BT43" s="68"/>
      <c r="BU43" s="1"/>
      <c r="GG43" s="69"/>
      <c r="GH43" s="69"/>
      <c r="GI43" s="69"/>
      <c r="GJ43" s="69"/>
      <c r="GK43" s="69"/>
      <c r="GL43" s="69"/>
      <c r="GM43" s="69"/>
      <c r="GN43" s="69"/>
      <c r="GO43" s="69"/>
      <c r="GP43" s="69"/>
      <c r="GQ43" s="69"/>
      <c r="GR43" s="69"/>
      <c r="GS43" s="69"/>
      <c r="GT43" s="69"/>
      <c r="GU43" s="69"/>
      <c r="GV43" s="69"/>
      <c r="GW43" s="69"/>
      <c r="GX43" s="69"/>
      <c r="GY43" s="69"/>
      <c r="GZ43" s="69"/>
      <c r="HA43" s="69"/>
      <c r="HB43" s="69"/>
      <c r="HC43" s="69"/>
      <c r="HD43" s="69"/>
      <c r="HE43" s="69"/>
      <c r="HF43" s="69"/>
    </row>
    <row r="44" spans="1:214" ht="15.75" customHeight="1" thickBot="1" x14ac:dyDescent="0.35">
      <c r="A44" s="1">
        <v>451</v>
      </c>
      <c r="B44" s="78"/>
      <c r="C44" s="79"/>
      <c r="D44" s="21"/>
      <c r="E44" s="80">
        <f>SUM(E31:E42)</f>
        <v>11</v>
      </c>
      <c r="F44" s="80"/>
      <c r="G44" s="80">
        <f>SUM(G31:G42)</f>
        <v>11</v>
      </c>
      <c r="H44" s="80"/>
      <c r="I44" s="80">
        <f>SUM(I31:I42)</f>
        <v>11</v>
      </c>
      <c r="J44" s="81"/>
      <c r="K44" s="80">
        <f>SUM(K31:K42)</f>
        <v>10</v>
      </c>
      <c r="L44" s="81"/>
      <c r="M44" s="80">
        <f>SUM(M31:M42)</f>
        <v>11</v>
      </c>
      <c r="N44" s="81"/>
      <c r="O44" s="80">
        <f>SUM(O31:O42)</f>
        <v>10</v>
      </c>
      <c r="P44" s="80"/>
      <c r="Q44" s="8"/>
      <c r="R44" s="82"/>
      <c r="S44" s="51"/>
      <c r="T44" s="11"/>
      <c r="U44" s="52"/>
      <c r="V44" s="52"/>
      <c r="W44" s="53"/>
      <c r="X44" s="53"/>
      <c r="Y44" s="53"/>
      <c r="Z44" s="54"/>
      <c r="AA44" s="55"/>
      <c r="AB44" s="53"/>
      <c r="AC44" s="53"/>
      <c r="AD44" s="53"/>
      <c r="AE44" s="54"/>
      <c r="AF44" s="56"/>
      <c r="AG44" s="53"/>
      <c r="AH44" s="53"/>
      <c r="AI44" s="53"/>
      <c r="AJ44" s="54"/>
      <c r="AK44" s="57"/>
      <c r="AL44" s="53"/>
      <c r="AM44" s="53"/>
      <c r="AN44" s="53"/>
      <c r="AO44" s="54"/>
      <c r="AP44" s="56"/>
      <c r="AQ44" s="53"/>
      <c r="AR44" s="53"/>
      <c r="AS44" s="53"/>
      <c r="AT44" s="54"/>
      <c r="AU44" s="56"/>
      <c r="AV44" s="53"/>
      <c r="AW44" s="53"/>
      <c r="AX44" s="53"/>
      <c r="AY44" s="54"/>
      <c r="AZ44" s="58"/>
      <c r="BA44" s="59"/>
      <c r="BG44" s="83"/>
      <c r="BO44" s="67"/>
      <c r="BP44" s="67"/>
      <c r="BQ44" s="21"/>
      <c r="BR44" s="84"/>
      <c r="BS44" s="84"/>
      <c r="BU44" s="1">
        <v>451</v>
      </c>
    </row>
    <row r="45" spans="1:214" ht="15.75" customHeight="1" thickBot="1" x14ac:dyDescent="0.45">
      <c r="A45" s="1">
        <v>452</v>
      </c>
      <c r="C45" s="79"/>
      <c r="D45" s="21"/>
      <c r="E45" s="8"/>
      <c r="F45" s="85"/>
      <c r="G45" s="8"/>
      <c r="H45" s="22"/>
      <c r="I45" s="8"/>
      <c r="J45" s="22"/>
      <c r="K45" s="8"/>
      <c r="L45" s="22"/>
      <c r="M45" s="8"/>
      <c r="N45" s="22"/>
      <c r="O45" s="8"/>
      <c r="P45" s="22"/>
      <c r="Q45" s="8"/>
      <c r="R45" s="82"/>
      <c r="S45" s="51"/>
      <c r="T45" s="11"/>
      <c r="U45" s="52"/>
      <c r="V45" s="52"/>
      <c r="W45" s="53"/>
      <c r="X45" s="53"/>
      <c r="Y45" s="53"/>
      <c r="Z45" s="54"/>
      <c r="AA45" s="55"/>
      <c r="AB45" s="53"/>
      <c r="AC45" s="53"/>
      <c r="AD45" s="53"/>
      <c r="AE45" s="54"/>
      <c r="AF45" s="56"/>
      <c r="AG45" s="53"/>
      <c r="AH45" s="53"/>
      <c r="AI45" s="53"/>
      <c r="AJ45" s="54"/>
      <c r="AK45" s="57"/>
      <c r="AL45" s="53"/>
      <c r="AM45" s="53"/>
      <c r="AN45" s="53"/>
      <c r="AO45" s="54"/>
      <c r="AP45" s="56"/>
      <c r="AQ45" s="53"/>
      <c r="AR45" s="53"/>
      <c r="AS45" s="53"/>
      <c r="AT45" s="54"/>
      <c r="AU45" s="56"/>
      <c r="AV45" s="53"/>
      <c r="AW45" s="53"/>
      <c r="AX45" s="53"/>
      <c r="AY45" s="54"/>
      <c r="AZ45" s="58"/>
      <c r="BA45" s="59"/>
      <c r="BG45" s="83"/>
      <c r="BO45" s="86"/>
      <c r="BP45" s="87"/>
      <c r="BQ45" s="21"/>
      <c r="BT45" s="68"/>
      <c r="BU45" s="1">
        <v>452</v>
      </c>
    </row>
    <row r="46" spans="1:214" ht="15.75" customHeight="1" thickBot="1" x14ac:dyDescent="0.35">
      <c r="A46" s="1">
        <v>453</v>
      </c>
      <c r="B46" s="88" t="s">
        <v>26</v>
      </c>
      <c r="C46" s="89" t="s">
        <v>27</v>
      </c>
      <c r="D46" s="90"/>
      <c r="E46" s="8"/>
      <c r="F46" s="91"/>
      <c r="G46" s="42" t="s">
        <v>8</v>
      </c>
      <c r="H46" s="42"/>
      <c r="I46" s="42" t="s">
        <v>9</v>
      </c>
      <c r="J46" s="42"/>
      <c r="K46" s="42" t="s">
        <v>9</v>
      </c>
      <c r="L46" s="42"/>
      <c r="M46" s="42" t="s">
        <v>10</v>
      </c>
      <c r="N46" s="42"/>
      <c r="O46" s="42" t="s">
        <v>11</v>
      </c>
      <c r="P46" s="42"/>
      <c r="Q46" s="42" t="s">
        <v>12</v>
      </c>
      <c r="R46" s="42"/>
      <c r="S46" s="9"/>
      <c r="T46" s="11"/>
      <c r="U46" s="11"/>
      <c r="V46" s="11"/>
      <c r="W46" s="12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59"/>
      <c r="BO46" s="92"/>
      <c r="BP46" s="92"/>
      <c r="BQ46" s="21"/>
      <c r="BR46" s="21"/>
      <c r="BS46" s="21"/>
      <c r="BT46" s="68"/>
      <c r="BU46" s="1">
        <v>453</v>
      </c>
    </row>
    <row r="47" spans="1:214" ht="20.25" customHeight="1" thickBot="1" x14ac:dyDescent="0.35">
      <c r="A47" s="1">
        <v>454</v>
      </c>
      <c r="B47" s="21">
        <f>E44</f>
        <v>11</v>
      </c>
      <c r="C47" s="93">
        <f>G51</f>
        <v>11</v>
      </c>
      <c r="D47" s="94">
        <f t="shared" ref="D47:D52" si="71">+B47-C47</f>
        <v>0</v>
      </c>
      <c r="E47" s="95"/>
      <c r="F47" s="96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 t="s">
        <v>28</v>
      </c>
      <c r="S47" s="10"/>
      <c r="T47" s="10"/>
      <c r="U47" s="94"/>
      <c r="V47" s="40"/>
      <c r="W47" s="42"/>
      <c r="X47" s="9"/>
      <c r="Y47" s="9"/>
      <c r="Z47" s="9"/>
      <c r="AA47" s="9"/>
      <c r="AB47" s="42"/>
      <c r="AC47" s="9"/>
      <c r="AD47" s="9"/>
      <c r="AE47" s="9"/>
      <c r="AF47" s="9"/>
      <c r="AG47" s="42"/>
      <c r="AH47" s="9"/>
      <c r="AI47" s="9"/>
      <c r="AJ47" s="9"/>
      <c r="AK47" s="9"/>
      <c r="AL47" s="9"/>
      <c r="AM47" s="9"/>
      <c r="AN47" s="9"/>
      <c r="AO47" s="9"/>
      <c r="AP47" s="9"/>
      <c r="AQ47" s="42"/>
      <c r="AR47" s="9"/>
      <c r="AS47" s="9"/>
      <c r="AT47" s="9"/>
      <c r="AU47" s="9"/>
      <c r="AV47" s="42"/>
      <c r="AW47" s="9"/>
      <c r="AX47" s="9"/>
      <c r="AY47" s="9"/>
      <c r="AZ47" s="99"/>
      <c r="BA47" s="59"/>
      <c r="BE47" s="100"/>
      <c r="BO47" s="101"/>
      <c r="BP47" s="92"/>
      <c r="BQ47" s="21"/>
      <c r="BR47" s="21"/>
      <c r="BS47" s="21"/>
      <c r="BT47" s="68"/>
      <c r="BU47" s="1">
        <v>454</v>
      </c>
    </row>
    <row r="48" spans="1:214" ht="20.25" customHeight="1" thickBot="1" x14ac:dyDescent="0.35">
      <c r="A48" s="1">
        <v>455</v>
      </c>
      <c r="B48" s="21">
        <f>G44</f>
        <v>11</v>
      </c>
      <c r="C48" s="93">
        <f>I51</f>
        <v>11</v>
      </c>
      <c r="D48" s="94">
        <f t="shared" si="71"/>
        <v>0</v>
      </c>
      <c r="E48" s="102" t="s">
        <v>29</v>
      </c>
      <c r="F48" s="103"/>
      <c r="G48" s="104">
        <v>0</v>
      </c>
      <c r="H48" s="105"/>
      <c r="I48" s="104">
        <v>0</v>
      </c>
      <c r="J48" s="105"/>
      <c r="K48" s="104">
        <v>0</v>
      </c>
      <c r="L48" s="105"/>
      <c r="M48" s="104">
        <v>0</v>
      </c>
      <c r="N48" s="105"/>
      <c r="O48" s="104">
        <v>0</v>
      </c>
      <c r="P48" s="105"/>
      <c r="Q48" s="104">
        <v>0</v>
      </c>
      <c r="R48" s="111">
        <f t="shared" ref="R48:R51" si="72">AVERAGE(G48,I48,K48,M48,O48,Q48)</f>
        <v>0</v>
      </c>
      <c r="S48" s="10"/>
      <c r="T48" s="11"/>
      <c r="U48" s="94"/>
      <c r="V48" s="40"/>
      <c r="W48" s="42"/>
      <c r="X48" s="9"/>
      <c r="Y48" s="9"/>
      <c r="Z48" s="9"/>
      <c r="AA48" s="9"/>
      <c r="AB48" s="42"/>
      <c r="AC48" s="9"/>
      <c r="AD48" s="9"/>
      <c r="AE48" s="9"/>
      <c r="AF48" s="9"/>
      <c r="AG48" s="42"/>
      <c r="AH48" s="9"/>
      <c r="AI48" s="9"/>
      <c r="AJ48" s="9"/>
      <c r="AK48" s="9"/>
      <c r="AL48" s="9"/>
      <c r="AM48" s="9"/>
      <c r="AN48" s="9"/>
      <c r="AO48" s="9"/>
      <c r="AP48" s="9"/>
      <c r="AQ48" s="42"/>
      <c r="AR48" s="9"/>
      <c r="AS48" s="9"/>
      <c r="AT48" s="9"/>
      <c r="AU48" s="9"/>
      <c r="AV48" s="42"/>
      <c r="AW48" s="9"/>
      <c r="AX48" s="9"/>
      <c r="AY48" s="9"/>
      <c r="AZ48" s="99"/>
      <c r="BA48" s="59"/>
      <c r="BE48" s="100"/>
      <c r="BO48" s="101"/>
      <c r="BP48" s="92"/>
      <c r="BQ48" s="21"/>
      <c r="BR48" s="21"/>
      <c r="BS48" s="21"/>
      <c r="BT48" s="68"/>
      <c r="BU48" s="1">
        <v>455</v>
      </c>
    </row>
    <row r="49" spans="1:214" ht="20.25" customHeight="1" thickBot="1" x14ac:dyDescent="0.35">
      <c r="A49" s="1">
        <v>456</v>
      </c>
      <c r="B49" s="21">
        <f>I44</f>
        <v>11</v>
      </c>
      <c r="C49" s="93">
        <f>K51</f>
        <v>11</v>
      </c>
      <c r="D49" s="94">
        <f t="shared" si="71"/>
        <v>0</v>
      </c>
      <c r="E49" s="102" t="s">
        <v>30</v>
      </c>
      <c r="F49" s="103"/>
      <c r="G49" s="104">
        <v>2</v>
      </c>
      <c r="H49" s="105"/>
      <c r="I49" s="104">
        <v>2</v>
      </c>
      <c r="J49" s="105"/>
      <c r="K49" s="104">
        <v>2</v>
      </c>
      <c r="L49" s="105"/>
      <c r="M49" s="104">
        <v>2</v>
      </c>
      <c r="N49" s="105"/>
      <c r="O49" s="104">
        <v>2</v>
      </c>
      <c r="P49" s="105"/>
      <c r="Q49" s="104">
        <v>2</v>
      </c>
      <c r="R49" s="111">
        <f t="shared" si="72"/>
        <v>2</v>
      </c>
      <c r="S49" s="10"/>
      <c r="T49" s="11"/>
      <c r="U49" s="94"/>
      <c r="V49" s="40"/>
      <c r="W49" s="42"/>
      <c r="X49" s="9"/>
      <c r="Y49" s="9"/>
      <c r="Z49" s="9"/>
      <c r="AA49" s="9"/>
      <c r="AB49" s="42"/>
      <c r="AC49" s="9"/>
      <c r="AD49" s="9"/>
      <c r="AE49" s="9"/>
      <c r="AF49" s="9"/>
      <c r="AG49" s="42"/>
      <c r="AH49" s="9"/>
      <c r="AI49" s="9"/>
      <c r="AJ49" s="9"/>
      <c r="AK49" s="9"/>
      <c r="AL49" s="9"/>
      <c r="AM49" s="9"/>
      <c r="AN49" s="9"/>
      <c r="AO49" s="9"/>
      <c r="AP49" s="9"/>
      <c r="AQ49" s="42"/>
      <c r="AR49" s="9"/>
      <c r="AS49" s="9"/>
      <c r="AT49" s="9"/>
      <c r="AU49" s="9"/>
      <c r="AV49" s="42"/>
      <c r="AW49" s="9"/>
      <c r="AX49" s="9"/>
      <c r="AY49" s="9"/>
      <c r="AZ49" s="99"/>
      <c r="BA49" s="59"/>
      <c r="BE49" s="100"/>
      <c r="BO49" s="101"/>
      <c r="BP49" s="92"/>
      <c r="BQ49" s="21"/>
      <c r="BR49" s="21"/>
      <c r="BS49" s="21"/>
      <c r="BT49" s="68"/>
      <c r="BU49" s="1">
        <v>456</v>
      </c>
    </row>
    <row r="50" spans="1:214" ht="20.25" customHeight="1" thickBot="1" x14ac:dyDescent="0.35">
      <c r="A50" s="1">
        <v>457</v>
      </c>
      <c r="B50" s="21">
        <f>K44</f>
        <v>10</v>
      </c>
      <c r="C50" s="93">
        <f>M51</f>
        <v>10</v>
      </c>
      <c r="D50" s="94">
        <f t="shared" si="71"/>
        <v>0</v>
      </c>
      <c r="E50" s="102" t="s">
        <v>32</v>
      </c>
      <c r="F50" s="103"/>
      <c r="G50" s="104">
        <v>9</v>
      </c>
      <c r="H50" s="105"/>
      <c r="I50" s="104">
        <v>9</v>
      </c>
      <c r="J50" s="105"/>
      <c r="K50" s="104">
        <v>9</v>
      </c>
      <c r="L50" s="105"/>
      <c r="M50" s="104">
        <v>8</v>
      </c>
      <c r="N50" s="105"/>
      <c r="O50" s="104">
        <v>9</v>
      </c>
      <c r="P50" s="105"/>
      <c r="Q50" s="104">
        <v>8</v>
      </c>
      <c r="R50" s="111">
        <f t="shared" si="72"/>
        <v>8.6666666666666661</v>
      </c>
      <c r="S50" s="10"/>
      <c r="T50" s="11"/>
      <c r="U50" s="94"/>
      <c r="V50" s="40"/>
      <c r="W50" s="42"/>
      <c r="X50" s="9"/>
      <c r="Y50" s="9"/>
      <c r="Z50" s="9"/>
      <c r="AA50" s="9"/>
      <c r="AB50" s="42"/>
      <c r="AC50" s="9"/>
      <c r="AD50" s="9"/>
      <c r="AE50" s="9"/>
      <c r="AF50" s="9"/>
      <c r="AG50" s="42"/>
      <c r="AH50" s="9"/>
      <c r="AI50" s="9"/>
      <c r="AJ50" s="9"/>
      <c r="AK50" s="9"/>
      <c r="AL50" s="9"/>
      <c r="AM50" s="9"/>
      <c r="AN50" s="9"/>
      <c r="AO50" s="9"/>
      <c r="AP50" s="9"/>
      <c r="AQ50" s="42"/>
      <c r="AR50" s="9"/>
      <c r="AS50" s="9"/>
      <c r="AT50" s="9"/>
      <c r="AU50" s="9"/>
      <c r="AV50" s="42"/>
      <c r="AW50" s="9"/>
      <c r="AX50" s="9"/>
      <c r="AY50" s="9"/>
      <c r="AZ50" s="99"/>
      <c r="BA50" s="59"/>
      <c r="BE50" s="100"/>
      <c r="BO50" s="101"/>
      <c r="BP50" s="92"/>
      <c r="BQ50" s="21"/>
      <c r="BR50" s="21"/>
      <c r="BS50" s="21"/>
      <c r="BT50" s="68"/>
      <c r="BU50" s="1">
        <v>457</v>
      </c>
    </row>
    <row r="51" spans="1:214" ht="20.25" customHeight="1" thickBot="1" x14ac:dyDescent="0.35">
      <c r="A51" s="1">
        <v>458</v>
      </c>
      <c r="B51" s="21">
        <f>M44</f>
        <v>11</v>
      </c>
      <c r="C51" s="93">
        <f>O51</f>
        <v>11</v>
      </c>
      <c r="D51" s="94">
        <f t="shared" si="71"/>
        <v>0</v>
      </c>
      <c r="E51" s="108"/>
      <c r="F51" s="109"/>
      <c r="G51" s="110">
        <f>SUM(G48:G50)</f>
        <v>11</v>
      </c>
      <c r="H51" s="110"/>
      <c r="I51" s="110">
        <f>SUM(I48:I50)</f>
        <v>11</v>
      </c>
      <c r="J51" s="110"/>
      <c r="K51" s="110">
        <f>SUM(K48:K50)</f>
        <v>11</v>
      </c>
      <c r="L51" s="110"/>
      <c r="M51" s="110">
        <f>SUM(M48:M50)</f>
        <v>10</v>
      </c>
      <c r="N51" s="110"/>
      <c r="O51" s="110">
        <f>SUM(O48:O50)</f>
        <v>11</v>
      </c>
      <c r="P51" s="110"/>
      <c r="Q51" s="110">
        <f>SUM(Q44:Q50)</f>
        <v>10</v>
      </c>
      <c r="R51" s="111">
        <f t="shared" si="72"/>
        <v>10.666666666666666</v>
      </c>
      <c r="S51" s="10"/>
      <c r="T51" s="11"/>
      <c r="U51" s="94"/>
      <c r="V51" s="40"/>
      <c r="W51" s="42"/>
      <c r="X51" s="9"/>
      <c r="Y51" s="9"/>
      <c r="Z51" s="9"/>
      <c r="AA51" s="9"/>
      <c r="AB51" s="42"/>
      <c r="AC51" s="9"/>
      <c r="AD51" s="9"/>
      <c r="AE51" s="9"/>
      <c r="AF51" s="9"/>
      <c r="AG51" s="42"/>
      <c r="AH51" s="9"/>
      <c r="AI51" s="9"/>
      <c r="AJ51" s="9"/>
      <c r="AK51" s="9"/>
      <c r="AL51" s="9"/>
      <c r="AM51" s="9"/>
      <c r="AN51" s="9"/>
      <c r="AO51" s="9"/>
      <c r="AP51" s="9"/>
      <c r="AQ51" s="42"/>
      <c r="AR51" s="9"/>
      <c r="AS51" s="9"/>
      <c r="AT51" s="9"/>
      <c r="AU51" s="9"/>
      <c r="AV51" s="42"/>
      <c r="AW51" s="9"/>
      <c r="AX51" s="9"/>
      <c r="AY51" s="9"/>
      <c r="AZ51" s="99"/>
      <c r="BA51" s="59"/>
      <c r="BE51" s="100"/>
      <c r="BO51" s="101"/>
      <c r="BP51" s="92"/>
      <c r="BQ51" s="21"/>
      <c r="BR51" s="21"/>
      <c r="BS51" s="21"/>
      <c r="BT51" s="68"/>
      <c r="BU51" s="1">
        <v>458</v>
      </c>
    </row>
    <row r="52" spans="1:214" ht="20.25" customHeight="1" x14ac:dyDescent="0.3">
      <c r="A52" s="1">
        <v>459</v>
      </c>
      <c r="B52" s="21">
        <f>O44</f>
        <v>10</v>
      </c>
      <c r="C52" s="93">
        <f>Q51</f>
        <v>10</v>
      </c>
      <c r="D52" s="94">
        <f t="shared" si="71"/>
        <v>0</v>
      </c>
      <c r="E52" s="112"/>
      <c r="F52" s="113"/>
      <c r="G52" s="112"/>
      <c r="H52" s="114"/>
      <c r="I52" s="112"/>
      <c r="J52" s="114"/>
      <c r="K52" s="112"/>
      <c r="L52" s="114"/>
      <c r="M52" s="112"/>
      <c r="N52" s="114"/>
      <c r="O52" s="112"/>
      <c r="P52" s="114"/>
      <c r="Q52" s="112"/>
      <c r="R52" s="115"/>
      <c r="S52" s="10"/>
      <c r="T52" s="128">
        <f>SUM(R48:R50)</f>
        <v>10.666666666666666</v>
      </c>
      <c r="U52" s="94"/>
      <c r="V52" s="40"/>
      <c r="W52" s="42"/>
      <c r="X52" s="9"/>
      <c r="Y52" s="9"/>
      <c r="Z52" s="9"/>
      <c r="AA52" s="9"/>
      <c r="AB52" s="42"/>
      <c r="AC52" s="9"/>
      <c r="AD52" s="9"/>
      <c r="AE52" s="9"/>
      <c r="AF52" s="9"/>
      <c r="AG52" s="42"/>
      <c r="AH52" s="9"/>
      <c r="AI52" s="9"/>
      <c r="AJ52" s="9"/>
      <c r="AK52" s="9"/>
      <c r="AL52" s="9"/>
      <c r="AM52" s="9"/>
      <c r="AN52" s="9"/>
      <c r="AO52" s="9"/>
      <c r="AP52" s="9"/>
      <c r="AQ52" s="42"/>
      <c r="AR52" s="9"/>
      <c r="AS52" s="9"/>
      <c r="AT52" s="9"/>
      <c r="AU52" s="9"/>
      <c r="AV52" s="42"/>
      <c r="AW52" s="9"/>
      <c r="AX52" s="9"/>
      <c r="AY52" s="9"/>
      <c r="AZ52" s="99"/>
      <c r="BA52" s="59"/>
      <c r="BE52" s="100"/>
      <c r="BO52" s="101"/>
      <c r="BP52" s="92"/>
      <c r="BQ52" s="21"/>
      <c r="BR52" s="21"/>
      <c r="BS52" s="21"/>
      <c r="BT52" s="68"/>
      <c r="BU52" s="1">
        <v>459</v>
      </c>
    </row>
    <row r="53" spans="1:214" ht="20.25" customHeight="1" thickBot="1" x14ac:dyDescent="0.35">
      <c r="A53" s="1">
        <v>463</v>
      </c>
      <c r="B53" s="22"/>
      <c r="C53" s="22"/>
      <c r="D53" s="22"/>
      <c r="E53" s="112"/>
      <c r="F53" s="113"/>
      <c r="G53" s="112"/>
      <c r="H53" s="114"/>
      <c r="I53" s="112"/>
      <c r="J53" s="114"/>
      <c r="K53" s="112"/>
      <c r="L53" s="114"/>
      <c r="M53" s="112"/>
      <c r="N53" s="114"/>
      <c r="O53" s="112"/>
      <c r="P53" s="114"/>
      <c r="Q53" s="112"/>
      <c r="R53" s="115"/>
      <c r="S53" s="10"/>
      <c r="T53" s="11"/>
      <c r="U53" s="94"/>
      <c r="V53" s="40"/>
      <c r="W53" s="42"/>
      <c r="X53" s="9"/>
      <c r="Y53" s="9"/>
      <c r="Z53" s="9"/>
      <c r="AA53" s="9"/>
      <c r="AB53" s="42"/>
      <c r="AC53" s="9"/>
      <c r="AD53" s="9"/>
      <c r="AE53" s="9"/>
      <c r="AF53" s="9"/>
      <c r="AG53" s="42"/>
      <c r="AH53" s="9"/>
      <c r="AI53" s="9"/>
      <c r="AJ53" s="9"/>
      <c r="AK53" s="9"/>
      <c r="AL53" s="9"/>
      <c r="AM53" s="9"/>
      <c r="AN53" s="9"/>
      <c r="AO53" s="9"/>
      <c r="AP53" s="9"/>
      <c r="AQ53" s="42"/>
      <c r="AR53" s="9"/>
      <c r="AS53" s="9"/>
      <c r="AT53" s="9"/>
      <c r="AU53" s="9"/>
      <c r="AV53" s="42"/>
      <c r="AW53" s="9"/>
      <c r="AX53" s="9"/>
      <c r="AY53" s="9"/>
      <c r="AZ53" s="99"/>
      <c r="BA53" s="59"/>
      <c r="BE53" s="100"/>
      <c r="BO53" s="101"/>
      <c r="BP53" s="92"/>
      <c r="BQ53" s="21"/>
      <c r="BR53" s="21"/>
      <c r="BS53" s="21"/>
      <c r="BT53" s="68"/>
      <c r="BU53" s="1">
        <v>463</v>
      </c>
    </row>
    <row r="54" spans="1:214" ht="28.5" customHeight="1" thickBot="1" x14ac:dyDescent="0.45">
      <c r="A54" s="1">
        <v>464</v>
      </c>
      <c r="B54" s="845" t="s">
        <v>42</v>
      </c>
      <c r="C54" s="846"/>
      <c r="D54" s="846" t="s">
        <v>35</v>
      </c>
      <c r="E54" s="846"/>
      <c r="F54" s="846"/>
      <c r="G54" s="846"/>
      <c r="H54" s="846"/>
      <c r="I54" s="846"/>
      <c r="J54" s="846"/>
      <c r="K54" s="846"/>
      <c r="L54" s="846"/>
      <c r="M54" s="846"/>
      <c r="N54" s="846"/>
      <c r="O54" s="846"/>
      <c r="P54" s="846"/>
      <c r="Q54" s="846"/>
      <c r="R54" s="23" t="str">
        <f>$V2</f>
        <v>DEL 08 AL 14 ENERO 24</v>
      </c>
      <c r="S54" s="51"/>
      <c r="T54" s="11"/>
      <c r="U54" s="11"/>
      <c r="V54" s="52"/>
      <c r="W54" s="53"/>
      <c r="X54" s="53"/>
      <c r="Y54" s="53"/>
      <c r="Z54" s="54"/>
      <c r="AA54" s="55"/>
      <c r="AB54" s="53"/>
      <c r="AC54" s="53"/>
      <c r="AD54" s="53"/>
      <c r="AE54" s="54"/>
      <c r="AF54" s="56"/>
      <c r="AG54" s="53"/>
      <c r="AH54" s="53"/>
      <c r="AI54" s="53"/>
      <c r="AJ54" s="54"/>
      <c r="AK54" s="57"/>
      <c r="AL54" s="53"/>
      <c r="AM54" s="53"/>
      <c r="AN54" s="53"/>
      <c r="AO54" s="54"/>
      <c r="AP54" s="56"/>
      <c r="AQ54" s="53"/>
      <c r="AR54" s="53"/>
      <c r="AS54" s="53"/>
      <c r="AT54" s="54"/>
      <c r="AU54" s="56"/>
      <c r="AV54" s="53"/>
      <c r="AW54" s="53"/>
      <c r="AX54" s="53"/>
      <c r="AY54" s="54"/>
      <c r="AZ54" s="58"/>
      <c r="BA54" s="59"/>
      <c r="BG54" s="83"/>
      <c r="BO54" s="116"/>
      <c r="BP54" s="67"/>
      <c r="BQ54" s="21"/>
      <c r="BR54" s="74"/>
      <c r="BS54" s="74"/>
      <c r="BT54" s="68"/>
      <c r="BU54" s="1">
        <v>464</v>
      </c>
    </row>
    <row r="55" spans="1:214" ht="14.25" customHeight="1" thickBot="1" x14ac:dyDescent="0.35">
      <c r="A55" s="1">
        <v>465</v>
      </c>
      <c r="B55" s="117"/>
      <c r="C55" s="118"/>
      <c r="D55" s="119"/>
      <c r="E55" s="120" t="s">
        <v>8</v>
      </c>
      <c r="F55" s="121"/>
      <c r="G55" s="120" t="s">
        <v>9</v>
      </c>
      <c r="H55" s="122"/>
      <c r="I55" s="120" t="s">
        <v>9</v>
      </c>
      <c r="J55" s="122"/>
      <c r="K55" s="120" t="s">
        <v>10</v>
      </c>
      <c r="L55" s="122"/>
      <c r="M55" s="120" t="s">
        <v>11</v>
      </c>
      <c r="N55" s="122"/>
      <c r="O55" s="120" t="s">
        <v>12</v>
      </c>
      <c r="P55" s="120"/>
      <c r="Q55" s="122"/>
      <c r="R55" s="123"/>
      <c r="S55" s="51"/>
      <c r="T55" s="11"/>
      <c r="U55" s="11"/>
      <c r="V55" s="52"/>
      <c r="W55" s="53"/>
      <c r="X55" s="53"/>
      <c r="Y55" s="53"/>
      <c r="Z55" s="54"/>
      <c r="AA55" s="55"/>
      <c r="AB55" s="53"/>
      <c r="AC55" s="53"/>
      <c r="AD55" s="53"/>
      <c r="AE55" s="54"/>
      <c r="AF55" s="56"/>
      <c r="AG55" s="53"/>
      <c r="AH55" s="53"/>
      <c r="AI55" s="53"/>
      <c r="AJ55" s="54"/>
      <c r="AK55" s="57"/>
      <c r="AL55" s="53"/>
      <c r="AM55" s="53"/>
      <c r="AN55" s="53"/>
      <c r="AO55" s="54"/>
      <c r="AP55" s="56"/>
      <c r="AQ55" s="53"/>
      <c r="AR55" s="53"/>
      <c r="AS55" s="53"/>
      <c r="AT55" s="54"/>
      <c r="AU55" s="56"/>
      <c r="AV55" s="53"/>
      <c r="AW55" s="53"/>
      <c r="AX55" s="53"/>
      <c r="AY55" s="54"/>
      <c r="AZ55" s="58"/>
      <c r="BA55" s="59"/>
      <c r="BB55" s="129"/>
      <c r="BC55" s="129"/>
      <c r="BD55" s="129"/>
      <c r="BE55" s="129"/>
      <c r="BF55" s="129"/>
      <c r="BG55" s="129"/>
      <c r="BH55" s="124"/>
      <c r="BJ55" s="63"/>
      <c r="BK55" s="19"/>
      <c r="BL55" s="19"/>
      <c r="BM55" s="19"/>
      <c r="BN55" s="124"/>
      <c r="BO55" s="125"/>
      <c r="BP55" s="126"/>
      <c r="BQ55" s="21"/>
      <c r="BR55" s="68"/>
      <c r="BS55" s="68"/>
      <c r="BT55" s="68"/>
      <c r="BU55" s="1">
        <v>465</v>
      </c>
    </row>
    <row r="56" spans="1:214" ht="14.25" customHeight="1" thickBot="1" x14ac:dyDescent="0.35">
      <c r="A56" s="1"/>
      <c r="B56" s="375">
        <v>116</v>
      </c>
      <c r="C56" s="34">
        <f t="shared" ref="C56:C65" si="73">+C55+1</f>
        <v>1</v>
      </c>
      <c r="D56" s="376" t="s">
        <v>110</v>
      </c>
      <c r="E56" s="233">
        <v>1</v>
      </c>
      <c r="F56" s="233"/>
      <c r="G56" s="233">
        <v>1</v>
      </c>
      <c r="H56" s="233"/>
      <c r="I56" s="233">
        <v>1</v>
      </c>
      <c r="J56" s="233"/>
      <c r="K56" s="233">
        <v>1</v>
      </c>
      <c r="L56" s="233"/>
      <c r="M56" s="233">
        <v>1</v>
      </c>
      <c r="N56" s="233"/>
      <c r="O56" s="233">
        <v>1</v>
      </c>
      <c r="P56" s="233"/>
      <c r="Q56" s="233">
        <v>1</v>
      </c>
      <c r="R56" s="50">
        <f t="shared" ref="R56:R64" si="74">IF(Q56=1,1550,850)</f>
        <v>1550</v>
      </c>
      <c r="S56" s="51">
        <f t="shared" ref="S56:S63" si="75">+BH56</f>
        <v>0</v>
      </c>
      <c r="T56" s="11">
        <f t="shared" ref="T56:T63" si="76">+BA56</f>
        <v>2050</v>
      </c>
      <c r="U56" s="52">
        <f>+BP56</f>
        <v>0</v>
      </c>
      <c r="V56" s="52" t="str">
        <f t="shared" ref="V56:V66" si="77">+BG56</f>
        <v>BONO+B ASIS</v>
      </c>
      <c r="W56" s="53">
        <f t="shared" ref="W56:W58" si="78">(R56-86.16)/6*E56</f>
        <v>243.97333333333333</v>
      </c>
      <c r="X56" s="53">
        <f t="shared" ref="X56:X67" si="79">$Y$2*E56*Q56</f>
        <v>7.18</v>
      </c>
      <c r="Y56" s="53">
        <f t="shared" ref="Y56:Y65" si="80">$Y$2*E56*Q56</f>
        <v>7.18</v>
      </c>
      <c r="Z56" s="54">
        <f t="shared" ref="Z56:Z58" si="81">Y56+X56+W56</f>
        <v>258.33333333333331</v>
      </c>
      <c r="AA56" s="55"/>
      <c r="AB56" s="53">
        <f t="shared" ref="AB56:AB66" si="82">(R56-86.16)/6*G56</f>
        <v>243.97333333333333</v>
      </c>
      <c r="AC56" s="53">
        <f t="shared" ref="AC56:AC65" si="83">$Y$2*G56*Q56</f>
        <v>7.18</v>
      </c>
      <c r="AD56" s="53">
        <f t="shared" ref="AD56:AD65" si="84">$Y$2*G56*Q56</f>
        <v>7.18</v>
      </c>
      <c r="AE56" s="54">
        <f t="shared" ref="AE56:AE65" si="85">AD56+AC56+AB56</f>
        <v>258.33333333333331</v>
      </c>
      <c r="AF56" s="56"/>
      <c r="AG56" s="53">
        <f t="shared" ref="AG56:AG66" si="86">(R56-86.16)/6*I56</f>
        <v>243.97333333333333</v>
      </c>
      <c r="AH56" s="53">
        <f t="shared" ref="AH56:AH66" si="87">$Y$2*I56*Q56</f>
        <v>7.18</v>
      </c>
      <c r="AI56" s="53">
        <f t="shared" ref="AI56:AI66" si="88">$Y$2*I56*Q56</f>
        <v>7.18</v>
      </c>
      <c r="AJ56" s="54">
        <f t="shared" ref="AJ56:AJ66" si="89">AI56+AH56+AG56</f>
        <v>258.33333333333331</v>
      </c>
      <c r="AK56" s="57"/>
      <c r="AL56" s="53">
        <f t="shared" ref="AL56:AL67" si="90">(R56-86.16)/6*K56</f>
        <v>243.97333333333333</v>
      </c>
      <c r="AM56" s="53">
        <f t="shared" ref="AM56:AM66" si="91">$Y$2*K56*Q56</f>
        <v>7.18</v>
      </c>
      <c r="AN56" s="53">
        <f t="shared" ref="AN56:AN65" si="92">$Y$2*K56*Q56</f>
        <v>7.18</v>
      </c>
      <c r="AO56" s="54">
        <f t="shared" ref="AO56:AO65" si="93">AN56+AM56+AL56</f>
        <v>258.33333333333331</v>
      </c>
      <c r="AP56" s="56"/>
      <c r="AQ56" s="53">
        <f t="shared" ref="AQ56:AQ66" si="94">(R56-86.16)/6*M56</f>
        <v>243.97333333333333</v>
      </c>
      <c r="AR56" s="53">
        <f t="shared" ref="AR56:AR66" si="95">$Y$2*M56*Q56</f>
        <v>7.18</v>
      </c>
      <c r="AS56" s="53">
        <f t="shared" ref="AS56:AS66" si="96">$Y$2*M56*Q56</f>
        <v>7.18</v>
      </c>
      <c r="AT56" s="54">
        <f t="shared" ref="AT56:AT66" si="97">AS56+AR56+AQ56</f>
        <v>258.33333333333331</v>
      </c>
      <c r="AU56" s="56"/>
      <c r="AV56" s="53">
        <f t="shared" ref="AV56:AV67" si="98">(R56-86.16)/6*O56</f>
        <v>243.97333333333333</v>
      </c>
      <c r="AW56" s="53">
        <f t="shared" ref="AW56:AW66" si="99">$Y$2*O56*Q56</f>
        <v>7.18</v>
      </c>
      <c r="AX56" s="53">
        <f t="shared" ref="AX56:AX66" si="100">$Y$2*O56*Q56</f>
        <v>7.18</v>
      </c>
      <c r="AY56" s="54">
        <f t="shared" ref="AY56:AY66" si="101">AX56+AW56+AV56</f>
        <v>258.33333333333331</v>
      </c>
      <c r="AZ56" s="58">
        <f t="shared" ref="AZ56:AZ65" si="102">+AY56+AT56+AO56++AJ56+AE56+Z56</f>
        <v>1549.9999999999998</v>
      </c>
      <c r="BA56" s="59">
        <f>((AZ56-BB56-BC56-BD56-BE56-BF56)+BI56+BJ56+BK56+BL56+BM56+BN56+BO56)</f>
        <v>2050</v>
      </c>
      <c r="BB56" s="60"/>
      <c r="BC56" s="60"/>
      <c r="BD56" s="60"/>
      <c r="BE56" s="60"/>
      <c r="BF56" s="60"/>
      <c r="BG56" s="61" t="s">
        <v>133</v>
      </c>
      <c r="BH56" s="124"/>
      <c r="BI56" s="18">
        <v>250</v>
      </c>
      <c r="BJ56" s="63">
        <v>250</v>
      </c>
      <c r="BK56" s="350"/>
      <c r="BL56" s="64"/>
      <c r="BM56" s="19"/>
      <c r="BN56" s="124"/>
      <c r="BO56" s="125"/>
      <c r="BP56" s="126"/>
      <c r="BQ56" s="21"/>
      <c r="BR56" s="68"/>
      <c r="BS56" s="68"/>
      <c r="BT56" s="68"/>
      <c r="BU56" s="1"/>
    </row>
    <row r="57" spans="1:214" ht="14.25" customHeight="1" thickBot="1" x14ac:dyDescent="0.35">
      <c r="A57" s="1"/>
      <c r="B57" s="375">
        <v>117</v>
      </c>
      <c r="C57" s="34">
        <f t="shared" si="73"/>
        <v>2</v>
      </c>
      <c r="D57" s="376" t="s">
        <v>130</v>
      </c>
      <c r="E57" s="233">
        <v>1</v>
      </c>
      <c r="F57" s="233"/>
      <c r="G57" s="233">
        <v>1</v>
      </c>
      <c r="H57" s="233"/>
      <c r="I57" s="233">
        <v>1</v>
      </c>
      <c r="J57" s="233"/>
      <c r="K57" s="233">
        <v>1</v>
      </c>
      <c r="L57" s="233"/>
      <c r="M57" s="233">
        <v>1</v>
      </c>
      <c r="N57" s="233"/>
      <c r="O57" s="233">
        <v>1</v>
      </c>
      <c r="P57" s="233"/>
      <c r="Q57" s="233">
        <v>1</v>
      </c>
      <c r="R57" s="50">
        <f t="shared" si="74"/>
        <v>1550</v>
      </c>
      <c r="S57" s="51">
        <f t="shared" si="75"/>
        <v>0</v>
      </c>
      <c r="T57" s="11">
        <f t="shared" si="76"/>
        <v>2050</v>
      </c>
      <c r="U57" s="52">
        <f>+BP57</f>
        <v>0</v>
      </c>
      <c r="V57" s="52" t="str">
        <f t="shared" si="77"/>
        <v>BONO+B ASIS</v>
      </c>
      <c r="W57" s="53">
        <f t="shared" si="78"/>
        <v>243.97333333333333</v>
      </c>
      <c r="X57" s="53">
        <f t="shared" si="79"/>
        <v>7.18</v>
      </c>
      <c r="Y57" s="53">
        <f t="shared" si="80"/>
        <v>7.18</v>
      </c>
      <c r="Z57" s="54">
        <f t="shared" si="81"/>
        <v>258.33333333333331</v>
      </c>
      <c r="AA57" s="55"/>
      <c r="AB57" s="53">
        <f t="shared" si="82"/>
        <v>243.97333333333333</v>
      </c>
      <c r="AC57" s="53">
        <f t="shared" si="83"/>
        <v>7.18</v>
      </c>
      <c r="AD57" s="53">
        <f t="shared" si="84"/>
        <v>7.18</v>
      </c>
      <c r="AE57" s="54">
        <f t="shared" si="85"/>
        <v>258.33333333333331</v>
      </c>
      <c r="AF57" s="56"/>
      <c r="AG57" s="53">
        <f t="shared" si="86"/>
        <v>243.97333333333333</v>
      </c>
      <c r="AH57" s="53">
        <f t="shared" si="87"/>
        <v>7.18</v>
      </c>
      <c r="AI57" s="53">
        <f t="shared" si="88"/>
        <v>7.18</v>
      </c>
      <c r="AJ57" s="54">
        <f t="shared" si="89"/>
        <v>258.33333333333331</v>
      </c>
      <c r="AK57" s="57"/>
      <c r="AL57" s="53">
        <f t="shared" si="90"/>
        <v>243.97333333333333</v>
      </c>
      <c r="AM57" s="53">
        <f t="shared" si="91"/>
        <v>7.18</v>
      </c>
      <c r="AN57" s="53">
        <f t="shared" si="92"/>
        <v>7.18</v>
      </c>
      <c r="AO57" s="54">
        <f t="shared" si="93"/>
        <v>258.33333333333331</v>
      </c>
      <c r="AP57" s="56"/>
      <c r="AQ57" s="53">
        <f t="shared" si="94"/>
        <v>243.97333333333333</v>
      </c>
      <c r="AR57" s="53">
        <f t="shared" si="95"/>
        <v>7.18</v>
      </c>
      <c r="AS57" s="53">
        <f t="shared" si="96"/>
        <v>7.18</v>
      </c>
      <c r="AT57" s="54">
        <f t="shared" si="97"/>
        <v>258.33333333333331</v>
      </c>
      <c r="AU57" s="56"/>
      <c r="AV57" s="53">
        <f t="shared" si="98"/>
        <v>243.97333333333333</v>
      </c>
      <c r="AW57" s="53">
        <f t="shared" si="99"/>
        <v>7.18</v>
      </c>
      <c r="AX57" s="53">
        <f t="shared" si="100"/>
        <v>7.18</v>
      </c>
      <c r="AY57" s="54">
        <f t="shared" si="101"/>
        <v>258.33333333333331</v>
      </c>
      <c r="AZ57" s="58">
        <f t="shared" si="102"/>
        <v>1549.9999999999998</v>
      </c>
      <c r="BA57" s="59">
        <f>((AZ57-BB57-BC57-BD57-BE57-BF57)+BI57+BJ57+BK57+BL57+BM57+BN57+BO57)</f>
        <v>2050</v>
      </c>
      <c r="BB57" s="60"/>
      <c r="BC57" s="60"/>
      <c r="BD57" s="60"/>
      <c r="BE57" s="60"/>
      <c r="BF57" s="60"/>
      <c r="BG57" s="61" t="s">
        <v>133</v>
      </c>
      <c r="BH57" s="124"/>
      <c r="BI57" s="18">
        <v>250</v>
      </c>
      <c r="BJ57" s="63">
        <v>250</v>
      </c>
      <c r="BK57" s="350"/>
      <c r="BL57" s="64"/>
      <c r="BM57" s="19"/>
      <c r="BN57" s="124"/>
      <c r="BO57" s="125"/>
      <c r="BP57" s="126"/>
      <c r="BQ57" s="21"/>
      <c r="BR57" s="68"/>
      <c r="BS57" s="68"/>
      <c r="BT57" s="68"/>
      <c r="BU57" s="1"/>
    </row>
    <row r="58" spans="1:214" ht="16.5" customHeight="1" thickBot="1" x14ac:dyDescent="0.35">
      <c r="A58" s="1"/>
      <c r="B58" s="375">
        <v>162</v>
      </c>
      <c r="C58" s="34">
        <f t="shared" si="73"/>
        <v>3</v>
      </c>
      <c r="D58" s="376" t="s">
        <v>145</v>
      </c>
      <c r="E58" s="233">
        <v>1</v>
      </c>
      <c r="F58" s="233"/>
      <c r="G58" s="233">
        <v>1</v>
      </c>
      <c r="H58" s="233"/>
      <c r="I58" s="233">
        <v>1</v>
      </c>
      <c r="J58" s="233"/>
      <c r="K58" s="233">
        <v>1</v>
      </c>
      <c r="L58" s="233"/>
      <c r="M58" s="233">
        <v>1</v>
      </c>
      <c r="N58" s="233"/>
      <c r="O58" s="233">
        <v>1</v>
      </c>
      <c r="P58" s="233"/>
      <c r="Q58" s="233">
        <v>1</v>
      </c>
      <c r="R58" s="50">
        <f t="shared" si="74"/>
        <v>1550</v>
      </c>
      <c r="S58" s="51">
        <f t="shared" si="75"/>
        <v>0</v>
      </c>
      <c r="T58" s="11">
        <f t="shared" si="76"/>
        <v>2050</v>
      </c>
      <c r="U58" s="52">
        <f>+BP58</f>
        <v>0</v>
      </c>
      <c r="V58" s="52" t="str">
        <f t="shared" si="77"/>
        <v>BONO+B ASIS</v>
      </c>
      <c r="W58" s="53">
        <f t="shared" si="78"/>
        <v>243.97333333333333</v>
      </c>
      <c r="X58" s="53">
        <f t="shared" si="79"/>
        <v>7.18</v>
      </c>
      <c r="Y58" s="53">
        <f t="shared" si="80"/>
        <v>7.18</v>
      </c>
      <c r="Z58" s="54">
        <f t="shared" si="81"/>
        <v>258.33333333333331</v>
      </c>
      <c r="AA58" s="55"/>
      <c r="AB58" s="53">
        <f t="shared" si="82"/>
        <v>243.97333333333333</v>
      </c>
      <c r="AC58" s="53">
        <f t="shared" si="83"/>
        <v>7.18</v>
      </c>
      <c r="AD58" s="53">
        <f t="shared" si="84"/>
        <v>7.18</v>
      </c>
      <c r="AE58" s="54">
        <f t="shared" si="85"/>
        <v>258.33333333333331</v>
      </c>
      <c r="AF58" s="56"/>
      <c r="AG58" s="53">
        <f t="shared" si="86"/>
        <v>243.97333333333333</v>
      </c>
      <c r="AH58" s="53">
        <f t="shared" si="87"/>
        <v>7.18</v>
      </c>
      <c r="AI58" s="53">
        <f t="shared" si="88"/>
        <v>7.18</v>
      </c>
      <c r="AJ58" s="54">
        <f t="shared" si="89"/>
        <v>258.33333333333331</v>
      </c>
      <c r="AK58" s="57"/>
      <c r="AL58" s="53">
        <f t="shared" si="90"/>
        <v>243.97333333333333</v>
      </c>
      <c r="AM58" s="53">
        <f t="shared" si="91"/>
        <v>7.18</v>
      </c>
      <c r="AN58" s="53">
        <f t="shared" si="92"/>
        <v>7.18</v>
      </c>
      <c r="AO58" s="54">
        <f t="shared" si="93"/>
        <v>258.33333333333331</v>
      </c>
      <c r="AP58" s="56"/>
      <c r="AQ58" s="53">
        <f t="shared" si="94"/>
        <v>243.97333333333333</v>
      </c>
      <c r="AR58" s="53">
        <f t="shared" si="95"/>
        <v>7.18</v>
      </c>
      <c r="AS58" s="53">
        <f t="shared" si="96"/>
        <v>7.18</v>
      </c>
      <c r="AT58" s="54">
        <f t="shared" si="97"/>
        <v>258.33333333333331</v>
      </c>
      <c r="AU58" s="56"/>
      <c r="AV58" s="53">
        <f t="shared" si="98"/>
        <v>243.97333333333333</v>
      </c>
      <c r="AW58" s="53">
        <f t="shared" si="99"/>
        <v>7.18</v>
      </c>
      <c r="AX58" s="53">
        <f t="shared" si="100"/>
        <v>7.18</v>
      </c>
      <c r="AY58" s="54">
        <f t="shared" si="101"/>
        <v>258.33333333333331</v>
      </c>
      <c r="AZ58" s="58">
        <f t="shared" si="102"/>
        <v>1549.9999999999998</v>
      </c>
      <c r="BA58" s="59">
        <f>((AZ58-BB58-BC58-BD58-BE58-BF58)+BI58+BJ58+BK58+BL58+BM58+BN58+BO58)</f>
        <v>2050</v>
      </c>
      <c r="BB58" s="60"/>
      <c r="BC58" s="60"/>
      <c r="BD58" s="60"/>
      <c r="BE58" s="60"/>
      <c r="BF58" s="60"/>
      <c r="BG58" s="61" t="s">
        <v>133</v>
      </c>
      <c r="BH58" s="124"/>
      <c r="BI58" s="18">
        <v>250</v>
      </c>
      <c r="BJ58" s="63">
        <v>250</v>
      </c>
      <c r="BK58" s="350"/>
      <c r="BL58" s="64"/>
      <c r="BM58" s="19"/>
      <c r="BN58" s="124"/>
      <c r="BO58" s="125"/>
      <c r="BP58" s="126"/>
      <c r="BQ58" s="21"/>
      <c r="BR58" s="68"/>
      <c r="BS58" s="68"/>
      <c r="BT58" s="68"/>
      <c r="BU58" s="1"/>
    </row>
    <row r="59" spans="1:214" ht="15.75" customHeight="1" thickBot="1" x14ac:dyDescent="0.35">
      <c r="A59" s="1">
        <v>470</v>
      </c>
      <c r="B59" s="275">
        <v>7</v>
      </c>
      <c r="C59" s="34">
        <f t="shared" si="73"/>
        <v>4</v>
      </c>
      <c r="D59" s="274" t="s">
        <v>43</v>
      </c>
      <c r="E59" s="233">
        <v>1</v>
      </c>
      <c r="F59" s="233"/>
      <c r="G59" s="233">
        <v>1</v>
      </c>
      <c r="H59" s="233"/>
      <c r="I59" s="233">
        <v>1</v>
      </c>
      <c r="J59" s="233"/>
      <c r="K59" s="233">
        <v>1</v>
      </c>
      <c r="L59" s="233"/>
      <c r="M59" s="233">
        <v>1</v>
      </c>
      <c r="N59" s="233"/>
      <c r="O59" s="233">
        <v>1</v>
      </c>
      <c r="P59" s="233"/>
      <c r="Q59" s="233">
        <v>1</v>
      </c>
      <c r="R59" s="339">
        <f>IF(Q59=1,6000,850)</f>
        <v>6000</v>
      </c>
      <c r="S59" s="51">
        <f t="shared" si="75"/>
        <v>0</v>
      </c>
      <c r="T59" s="11">
        <f t="shared" si="76"/>
        <v>6000</v>
      </c>
      <c r="U59" s="52">
        <f t="shared" ref="U59:U66" si="103">+BP59</f>
        <v>0</v>
      </c>
      <c r="V59" s="52">
        <f t="shared" si="77"/>
        <v>0</v>
      </c>
      <c r="W59" s="53">
        <f>(R59-86.16)/6*E59</f>
        <v>985.64</v>
      </c>
      <c r="X59" s="53">
        <f>$Y$2*E59*Q59</f>
        <v>7.18</v>
      </c>
      <c r="Y59" s="53">
        <f>$Y$2*E59*Q59</f>
        <v>7.18</v>
      </c>
      <c r="Z59" s="54">
        <f>Y59+X59+W59</f>
        <v>1000</v>
      </c>
      <c r="AA59" s="55"/>
      <c r="AB59" s="53">
        <f>(R59-86.16)/6*G59</f>
        <v>985.64</v>
      </c>
      <c r="AC59" s="53">
        <f>$Y$2*G59*Q59</f>
        <v>7.18</v>
      </c>
      <c r="AD59" s="53">
        <f>$Y$2*G59*Q59</f>
        <v>7.18</v>
      </c>
      <c r="AE59" s="54">
        <f>AD59+AC59+AB59</f>
        <v>1000</v>
      </c>
      <c r="AF59" s="56"/>
      <c r="AG59" s="53">
        <f>(R59-86.16)/6*I59</f>
        <v>985.64</v>
      </c>
      <c r="AH59" s="53">
        <f>$Y$2*I59*Q59</f>
        <v>7.18</v>
      </c>
      <c r="AI59" s="53">
        <f>$Y$2*I59*Q59</f>
        <v>7.18</v>
      </c>
      <c r="AJ59" s="54">
        <f>AI59+AH59+AG59</f>
        <v>1000</v>
      </c>
      <c r="AK59" s="57"/>
      <c r="AL59" s="53">
        <f>(R59-86.16)/6*K59</f>
        <v>985.64</v>
      </c>
      <c r="AM59" s="53">
        <f t="shared" si="91"/>
        <v>7.18</v>
      </c>
      <c r="AN59" s="53">
        <f>$Y$2*K59*Q59</f>
        <v>7.18</v>
      </c>
      <c r="AO59" s="54">
        <f>AN59+AM59+AL59</f>
        <v>1000</v>
      </c>
      <c r="AP59" s="56"/>
      <c r="AQ59" s="53">
        <f>(R59-86.16)/6*M59</f>
        <v>985.64</v>
      </c>
      <c r="AR59" s="53">
        <f>$Y$2*M59*Q59</f>
        <v>7.18</v>
      </c>
      <c r="AS59" s="53">
        <f>$Y$2*M59*Q59</f>
        <v>7.18</v>
      </c>
      <c r="AT59" s="54">
        <f>AS59+AR59+AQ59</f>
        <v>1000</v>
      </c>
      <c r="AU59" s="56"/>
      <c r="AV59" s="53">
        <f>(R59-86.16)/6*O59</f>
        <v>985.64</v>
      </c>
      <c r="AW59" s="53">
        <f>$Y$2*O59*Q59</f>
        <v>7.18</v>
      </c>
      <c r="AX59" s="53">
        <f>$Y$2*O59*Q59</f>
        <v>7.18</v>
      </c>
      <c r="AY59" s="54">
        <f>AX59+AW59+AV59</f>
        <v>1000</v>
      </c>
      <c r="AZ59" s="58">
        <f t="shared" si="102"/>
        <v>6000</v>
      </c>
      <c r="BA59" s="59">
        <f>((AZ59-BB59-BC59-BD59-BE59-BF59)+BI59+BJ59+BK59+BL59+BM59+BN59+BO59)</f>
        <v>6000</v>
      </c>
      <c r="BB59" s="60"/>
      <c r="BC59" s="60"/>
      <c r="BD59" s="60"/>
      <c r="BE59" s="60"/>
      <c r="BF59" s="60"/>
      <c r="BG59" s="61"/>
      <c r="BH59" s="62"/>
      <c r="BI59" s="63"/>
      <c r="BJ59" s="63"/>
      <c r="BK59" s="64"/>
      <c r="BL59" s="64"/>
      <c r="BM59" s="65"/>
      <c r="BN59" s="65"/>
      <c r="BO59" s="66"/>
      <c r="BP59" s="67"/>
      <c r="BQ59" s="21"/>
      <c r="BR59" s="48"/>
      <c r="BS59" s="48"/>
      <c r="BT59" s="68"/>
      <c r="BU59" s="1">
        <v>470</v>
      </c>
      <c r="GG59" s="69"/>
      <c r="GH59" s="69"/>
      <c r="GI59" s="69"/>
      <c r="GJ59" s="69"/>
      <c r="GK59" s="69"/>
      <c r="GL59" s="69"/>
      <c r="GM59" s="69"/>
      <c r="GN59" s="69"/>
      <c r="GO59" s="69"/>
      <c r="GP59" s="69"/>
      <c r="GQ59" s="69"/>
      <c r="GR59" s="69"/>
      <c r="GS59" s="69"/>
      <c r="GT59" s="69"/>
      <c r="GU59" s="69"/>
      <c r="GV59" s="69"/>
      <c r="GW59" s="69"/>
      <c r="GX59" s="69"/>
      <c r="GY59" s="69"/>
      <c r="GZ59" s="69"/>
      <c r="HA59" s="69"/>
      <c r="HB59" s="69"/>
      <c r="HC59" s="69"/>
      <c r="HD59" s="69"/>
      <c r="HE59" s="69"/>
      <c r="HF59" s="69"/>
    </row>
    <row r="60" spans="1:214" ht="15.75" customHeight="1" thickBot="1" x14ac:dyDescent="0.35">
      <c r="A60" s="1"/>
      <c r="B60" s="359">
        <v>175</v>
      </c>
      <c r="C60" s="34">
        <f t="shared" si="73"/>
        <v>5</v>
      </c>
      <c r="D60" s="358" t="s">
        <v>162</v>
      </c>
      <c r="E60" s="233">
        <v>1</v>
      </c>
      <c r="F60" s="233"/>
      <c r="G60" s="233">
        <v>1</v>
      </c>
      <c r="H60" s="233"/>
      <c r="I60" s="233">
        <v>1</v>
      </c>
      <c r="J60" s="233"/>
      <c r="K60" s="233">
        <v>1</v>
      </c>
      <c r="L60" s="233"/>
      <c r="M60" s="348">
        <v>0</v>
      </c>
      <c r="N60" s="349" t="s">
        <v>129</v>
      </c>
      <c r="O60" s="348">
        <v>0</v>
      </c>
      <c r="P60" s="349" t="s">
        <v>129</v>
      </c>
      <c r="Q60" s="233">
        <v>1</v>
      </c>
      <c r="R60" s="50">
        <f t="shared" si="74"/>
        <v>1550</v>
      </c>
      <c r="S60" s="51">
        <f t="shared" si="75"/>
        <v>0</v>
      </c>
      <c r="T60" s="11">
        <f t="shared" si="76"/>
        <v>828.56</v>
      </c>
      <c r="U60" s="52">
        <f t="shared" si="103"/>
        <v>0</v>
      </c>
      <c r="V60" s="52">
        <f t="shared" si="77"/>
        <v>0</v>
      </c>
      <c r="W60" s="53">
        <f>(R60-86.16)/6*E60</f>
        <v>243.97333333333333</v>
      </c>
      <c r="X60" s="53">
        <f t="shared" si="79"/>
        <v>7.18</v>
      </c>
      <c r="Y60" s="53">
        <f t="shared" si="80"/>
        <v>7.18</v>
      </c>
      <c r="Z60" s="54">
        <f t="shared" ref="Z60:Z66" si="104">Y60+X60+W60</f>
        <v>258.33333333333331</v>
      </c>
      <c r="AA60" s="55"/>
      <c r="AB60" s="53">
        <f t="shared" si="82"/>
        <v>243.97333333333333</v>
      </c>
      <c r="AC60" s="53">
        <f t="shared" si="83"/>
        <v>7.18</v>
      </c>
      <c r="AD60" s="53">
        <f t="shared" si="84"/>
        <v>7.18</v>
      </c>
      <c r="AE60" s="54">
        <f t="shared" si="85"/>
        <v>258.33333333333331</v>
      </c>
      <c r="AF60" s="56"/>
      <c r="AG60" s="53">
        <f t="shared" si="86"/>
        <v>243.97333333333333</v>
      </c>
      <c r="AH60" s="53">
        <f t="shared" si="87"/>
        <v>7.18</v>
      </c>
      <c r="AI60" s="53">
        <f t="shared" si="88"/>
        <v>7.18</v>
      </c>
      <c r="AJ60" s="54">
        <f t="shared" si="89"/>
        <v>258.33333333333331</v>
      </c>
      <c r="AK60" s="57"/>
      <c r="AL60" s="53">
        <f t="shared" si="90"/>
        <v>243.97333333333333</v>
      </c>
      <c r="AM60" s="53">
        <f>$Y$2*K60*Q60</f>
        <v>7.18</v>
      </c>
      <c r="AN60" s="53">
        <f t="shared" si="92"/>
        <v>7.18</v>
      </c>
      <c r="AO60" s="54">
        <f t="shared" si="93"/>
        <v>258.33333333333331</v>
      </c>
      <c r="AP60" s="56"/>
      <c r="AQ60" s="53">
        <f t="shared" si="94"/>
        <v>0</v>
      </c>
      <c r="AR60" s="53">
        <f t="shared" si="95"/>
        <v>0</v>
      </c>
      <c r="AS60" s="53">
        <f t="shared" si="96"/>
        <v>0</v>
      </c>
      <c r="AT60" s="54">
        <f t="shared" si="97"/>
        <v>0</v>
      </c>
      <c r="AU60" s="56"/>
      <c r="AV60" s="53">
        <f t="shared" si="98"/>
        <v>0</v>
      </c>
      <c r="AW60" s="53">
        <f t="shared" si="99"/>
        <v>0</v>
      </c>
      <c r="AX60" s="53">
        <f t="shared" si="100"/>
        <v>0</v>
      </c>
      <c r="AY60" s="54">
        <f t="shared" si="101"/>
        <v>0</v>
      </c>
      <c r="AZ60" s="58">
        <f t="shared" si="102"/>
        <v>1033.3333333333333</v>
      </c>
      <c r="BA60" s="59">
        <v>828.56</v>
      </c>
      <c r="BB60" s="60"/>
      <c r="BC60" s="60"/>
      <c r="BD60" s="60"/>
      <c r="BE60" s="60"/>
      <c r="BF60" s="60"/>
      <c r="BG60" s="61"/>
      <c r="BH60" s="62"/>
      <c r="BI60" s="63"/>
      <c r="BJ60" s="63"/>
      <c r="BK60" s="64"/>
      <c r="BL60" s="64"/>
      <c r="BM60" s="65"/>
      <c r="BN60" s="65"/>
      <c r="BO60" s="66"/>
      <c r="BP60" s="67"/>
      <c r="BQ60" s="21"/>
      <c r="BR60" s="48"/>
      <c r="BS60" s="48"/>
      <c r="BT60" s="68"/>
      <c r="BU60" s="1"/>
      <c r="GG60" s="69"/>
      <c r="GH60" s="69"/>
      <c r="GI60" s="69"/>
      <c r="GJ60" s="69"/>
      <c r="GK60" s="69"/>
      <c r="GL60" s="69"/>
      <c r="GM60" s="69"/>
      <c r="GN60" s="69"/>
      <c r="GO60" s="69"/>
      <c r="GP60" s="69"/>
      <c r="GQ60" s="69"/>
      <c r="GR60" s="69"/>
      <c r="GS60" s="69"/>
      <c r="GT60" s="69"/>
      <c r="GU60" s="69"/>
      <c r="GV60" s="69"/>
      <c r="GW60" s="69"/>
      <c r="GX60" s="69"/>
      <c r="GY60" s="69"/>
      <c r="GZ60" s="69"/>
      <c r="HA60" s="69"/>
      <c r="HB60" s="69"/>
      <c r="HC60" s="69"/>
      <c r="HD60" s="69"/>
      <c r="HE60" s="69"/>
      <c r="HF60" s="69"/>
    </row>
    <row r="61" spans="1:214" ht="15.75" customHeight="1" thickBot="1" x14ac:dyDescent="0.35">
      <c r="A61" s="1">
        <v>468</v>
      </c>
      <c r="B61" s="375">
        <v>14</v>
      </c>
      <c r="C61" s="34">
        <f t="shared" si="73"/>
        <v>6</v>
      </c>
      <c r="D61" s="376" t="s">
        <v>57</v>
      </c>
      <c r="E61" s="233">
        <v>1</v>
      </c>
      <c r="F61" s="233"/>
      <c r="G61" s="233">
        <v>1</v>
      </c>
      <c r="H61" s="233"/>
      <c r="I61" s="233">
        <v>1</v>
      </c>
      <c r="J61" s="233"/>
      <c r="K61" s="233">
        <v>1</v>
      </c>
      <c r="L61" s="233"/>
      <c r="M61" s="233">
        <v>1</v>
      </c>
      <c r="N61" s="233"/>
      <c r="O61" s="233">
        <v>1</v>
      </c>
      <c r="P61" s="233"/>
      <c r="Q61" s="233">
        <v>1</v>
      </c>
      <c r="R61" s="50">
        <f t="shared" si="74"/>
        <v>1550</v>
      </c>
      <c r="S61" s="51">
        <f t="shared" si="75"/>
        <v>0</v>
      </c>
      <c r="T61" s="11">
        <f t="shared" si="76"/>
        <v>1949.9999999999998</v>
      </c>
      <c r="U61" s="52">
        <f t="shared" si="103"/>
        <v>0</v>
      </c>
      <c r="V61" s="52" t="str">
        <f t="shared" si="77"/>
        <v>BONO+B ASIS</v>
      </c>
      <c r="W61" s="53">
        <f t="shared" ref="W61:W67" si="105">(R61-86.16)/6*E61</f>
        <v>243.97333333333333</v>
      </c>
      <c r="X61" s="53">
        <f t="shared" si="79"/>
        <v>7.18</v>
      </c>
      <c r="Y61" s="53">
        <f t="shared" si="80"/>
        <v>7.18</v>
      </c>
      <c r="Z61" s="54">
        <f t="shared" si="104"/>
        <v>258.33333333333331</v>
      </c>
      <c r="AA61" s="55"/>
      <c r="AB61" s="53">
        <f t="shared" si="82"/>
        <v>243.97333333333333</v>
      </c>
      <c r="AC61" s="53">
        <f t="shared" si="83"/>
        <v>7.18</v>
      </c>
      <c r="AD61" s="53">
        <f t="shared" si="84"/>
        <v>7.18</v>
      </c>
      <c r="AE61" s="54">
        <f t="shared" si="85"/>
        <v>258.33333333333331</v>
      </c>
      <c r="AF61" s="56"/>
      <c r="AG61" s="53">
        <f t="shared" si="86"/>
        <v>243.97333333333333</v>
      </c>
      <c r="AH61" s="53">
        <f t="shared" si="87"/>
        <v>7.18</v>
      </c>
      <c r="AI61" s="53">
        <f t="shared" si="88"/>
        <v>7.18</v>
      </c>
      <c r="AJ61" s="54">
        <f t="shared" si="89"/>
        <v>258.33333333333331</v>
      </c>
      <c r="AK61" s="57"/>
      <c r="AL61" s="53">
        <f t="shared" si="90"/>
        <v>243.97333333333333</v>
      </c>
      <c r="AM61" s="53">
        <f t="shared" si="91"/>
        <v>7.18</v>
      </c>
      <c r="AN61" s="53">
        <f t="shared" si="92"/>
        <v>7.18</v>
      </c>
      <c r="AO61" s="54">
        <f t="shared" si="93"/>
        <v>258.33333333333331</v>
      </c>
      <c r="AP61" s="56"/>
      <c r="AQ61" s="53">
        <f t="shared" si="94"/>
        <v>243.97333333333333</v>
      </c>
      <c r="AR61" s="53">
        <f t="shared" si="95"/>
        <v>7.18</v>
      </c>
      <c r="AS61" s="53">
        <f t="shared" si="96"/>
        <v>7.18</v>
      </c>
      <c r="AT61" s="54">
        <f t="shared" si="97"/>
        <v>258.33333333333331</v>
      </c>
      <c r="AU61" s="56"/>
      <c r="AV61" s="53">
        <f t="shared" si="98"/>
        <v>243.97333333333333</v>
      </c>
      <c r="AW61" s="53">
        <f t="shared" si="99"/>
        <v>7.18</v>
      </c>
      <c r="AX61" s="53">
        <f t="shared" si="100"/>
        <v>7.18</v>
      </c>
      <c r="AY61" s="54">
        <f t="shared" si="101"/>
        <v>258.33333333333331</v>
      </c>
      <c r="AZ61" s="58">
        <f t="shared" si="102"/>
        <v>1549.9999999999998</v>
      </c>
      <c r="BA61" s="59">
        <f>((AZ61-BB61-BC61-BD61-BE61-BF61)+BI61+BJ61+BK61+BL61+BM61+BN61+BO61)</f>
        <v>1949.9999999999998</v>
      </c>
      <c r="BB61" s="60"/>
      <c r="BC61" s="60"/>
      <c r="BD61" s="60"/>
      <c r="BE61" s="60"/>
      <c r="BF61" s="60"/>
      <c r="BG61" s="61" t="s">
        <v>133</v>
      </c>
      <c r="BH61" s="62"/>
      <c r="BI61" s="63">
        <v>250</v>
      </c>
      <c r="BJ61" s="63">
        <v>150</v>
      </c>
      <c r="BK61" s="64"/>
      <c r="BL61" s="64"/>
      <c r="BM61" s="65"/>
      <c r="BN61" s="65"/>
      <c r="BO61" s="66"/>
      <c r="BP61" s="67"/>
      <c r="BQ61" s="21"/>
      <c r="BR61" s="48"/>
      <c r="BS61" s="48"/>
      <c r="BT61" s="68"/>
      <c r="BU61" s="1">
        <v>468</v>
      </c>
      <c r="GG61" s="69"/>
      <c r="GH61" s="69"/>
      <c r="GI61" s="69"/>
      <c r="GJ61" s="69"/>
      <c r="GK61" s="69"/>
      <c r="GL61" s="69"/>
      <c r="GM61" s="69"/>
      <c r="GN61" s="69"/>
      <c r="GO61" s="69"/>
      <c r="GP61" s="69"/>
      <c r="GQ61" s="69"/>
      <c r="GR61" s="69"/>
      <c r="GS61" s="69"/>
      <c r="GT61" s="69"/>
      <c r="GU61" s="69"/>
      <c r="GV61" s="69"/>
      <c r="GW61" s="69"/>
      <c r="GX61" s="69"/>
      <c r="GY61" s="69"/>
      <c r="GZ61" s="69"/>
      <c r="HA61" s="69"/>
      <c r="HB61" s="69"/>
      <c r="HC61" s="69"/>
      <c r="HD61" s="69"/>
      <c r="HE61" s="69"/>
      <c r="HF61" s="69"/>
    </row>
    <row r="62" spans="1:214" s="69" customFormat="1" ht="15.75" customHeight="1" thickBot="1" x14ac:dyDescent="0.35">
      <c r="A62" s="1"/>
      <c r="B62" s="359">
        <v>174</v>
      </c>
      <c r="C62" s="34">
        <f t="shared" si="73"/>
        <v>7</v>
      </c>
      <c r="D62" s="358" t="s">
        <v>161</v>
      </c>
      <c r="E62" s="348">
        <v>0</v>
      </c>
      <c r="F62" s="349" t="s">
        <v>129</v>
      </c>
      <c r="G62" s="233">
        <v>1</v>
      </c>
      <c r="H62" s="233"/>
      <c r="I62" s="233">
        <v>1</v>
      </c>
      <c r="J62" s="233"/>
      <c r="K62" s="233">
        <v>1</v>
      </c>
      <c r="L62" s="233"/>
      <c r="M62" s="233">
        <v>1</v>
      </c>
      <c r="N62" s="233"/>
      <c r="O62" s="233">
        <v>1</v>
      </c>
      <c r="P62" s="233"/>
      <c r="Q62" s="233">
        <v>1</v>
      </c>
      <c r="R62" s="50">
        <f t="shared" si="74"/>
        <v>1550</v>
      </c>
      <c r="S62" s="51">
        <f t="shared" si="75"/>
        <v>0</v>
      </c>
      <c r="T62" s="11">
        <f t="shared" si="76"/>
        <v>2114.2766666666666</v>
      </c>
      <c r="U62" s="52">
        <f t="shared" si="103"/>
        <v>0</v>
      </c>
      <c r="V62" s="52">
        <f t="shared" si="77"/>
        <v>0</v>
      </c>
      <c r="W62" s="53">
        <f t="shared" si="105"/>
        <v>0</v>
      </c>
      <c r="X62" s="53">
        <f t="shared" si="79"/>
        <v>0</v>
      </c>
      <c r="Y62" s="53">
        <f t="shared" si="80"/>
        <v>0</v>
      </c>
      <c r="Z62" s="54">
        <f t="shared" si="104"/>
        <v>0</v>
      </c>
      <c r="AA62" s="55"/>
      <c r="AB62" s="53">
        <f t="shared" si="82"/>
        <v>243.97333333333333</v>
      </c>
      <c r="AC62" s="53">
        <f t="shared" si="83"/>
        <v>7.18</v>
      </c>
      <c r="AD62" s="53">
        <f t="shared" si="84"/>
        <v>7.18</v>
      </c>
      <c r="AE62" s="54">
        <f t="shared" si="85"/>
        <v>258.33333333333331</v>
      </c>
      <c r="AF62" s="56"/>
      <c r="AG62" s="53">
        <f t="shared" si="86"/>
        <v>243.97333333333333</v>
      </c>
      <c r="AH62" s="53">
        <f t="shared" si="87"/>
        <v>7.18</v>
      </c>
      <c r="AI62" s="53">
        <f t="shared" si="88"/>
        <v>7.18</v>
      </c>
      <c r="AJ62" s="54">
        <f t="shared" si="89"/>
        <v>258.33333333333331</v>
      </c>
      <c r="AK62" s="57"/>
      <c r="AL62" s="53">
        <f t="shared" si="90"/>
        <v>243.97333333333333</v>
      </c>
      <c r="AM62" s="53">
        <f t="shared" si="91"/>
        <v>7.18</v>
      </c>
      <c r="AN62" s="53">
        <f t="shared" si="92"/>
        <v>7.18</v>
      </c>
      <c r="AO62" s="54">
        <f t="shared" si="93"/>
        <v>258.33333333333331</v>
      </c>
      <c r="AP62" s="56"/>
      <c r="AQ62" s="53">
        <f t="shared" si="94"/>
        <v>243.97333333333333</v>
      </c>
      <c r="AR62" s="53">
        <f t="shared" si="95"/>
        <v>7.18</v>
      </c>
      <c r="AS62" s="53">
        <f t="shared" si="96"/>
        <v>7.18</v>
      </c>
      <c r="AT62" s="54">
        <f t="shared" si="97"/>
        <v>258.33333333333331</v>
      </c>
      <c r="AU62" s="56"/>
      <c r="AV62" s="53">
        <f t="shared" si="98"/>
        <v>243.97333333333333</v>
      </c>
      <c r="AW62" s="53">
        <f t="shared" si="99"/>
        <v>7.18</v>
      </c>
      <c r="AX62" s="53">
        <f t="shared" si="100"/>
        <v>7.18</v>
      </c>
      <c r="AY62" s="54">
        <f t="shared" si="101"/>
        <v>258.33333333333331</v>
      </c>
      <c r="AZ62" s="58">
        <f t="shared" si="102"/>
        <v>1291.6666666666665</v>
      </c>
      <c r="BA62" s="59">
        <f>((AZ62-BB62-BC62-BD62-BE62-BF62)+BI62+BJ62+BK62+BL62+BM62+BN62+BO62)</f>
        <v>2114.2766666666666</v>
      </c>
      <c r="BB62" s="60"/>
      <c r="BC62" s="60"/>
      <c r="BD62" s="60"/>
      <c r="BE62" s="60"/>
      <c r="BF62" s="60"/>
      <c r="BG62" s="61"/>
      <c r="BH62" s="62"/>
      <c r="BI62" s="63">
        <v>250</v>
      </c>
      <c r="BJ62" s="63"/>
      <c r="BK62" s="350"/>
      <c r="BL62" s="64">
        <f>414.28+158.33</f>
        <v>572.61</v>
      </c>
      <c r="BM62" s="65"/>
      <c r="BN62" s="65"/>
      <c r="BO62" s="66"/>
      <c r="BP62" s="67"/>
      <c r="BQ62" s="21"/>
      <c r="BR62" s="48"/>
      <c r="BS62" s="48"/>
      <c r="BT62" s="68"/>
      <c r="BU62" s="1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</row>
    <row r="63" spans="1:214" s="69" customFormat="1" ht="15.75" customHeight="1" thickBot="1" x14ac:dyDescent="0.35">
      <c r="A63" s="1"/>
      <c r="B63" s="353">
        <v>140</v>
      </c>
      <c r="C63" s="34">
        <f t="shared" si="73"/>
        <v>8</v>
      </c>
      <c r="D63" s="376" t="s">
        <v>117</v>
      </c>
      <c r="E63" s="348">
        <v>0</v>
      </c>
      <c r="F63" s="349" t="s">
        <v>129</v>
      </c>
      <c r="G63" s="233">
        <v>1</v>
      </c>
      <c r="H63" s="258"/>
      <c r="I63" s="348">
        <v>0</v>
      </c>
      <c r="J63" s="349" t="s">
        <v>129</v>
      </c>
      <c r="K63" s="348">
        <v>0</v>
      </c>
      <c r="L63" s="349" t="s">
        <v>129</v>
      </c>
      <c r="M63" s="233">
        <v>1</v>
      </c>
      <c r="N63" s="258"/>
      <c r="O63" s="233">
        <v>1</v>
      </c>
      <c r="P63" s="258"/>
      <c r="Q63" s="49">
        <v>1</v>
      </c>
      <c r="R63" s="50">
        <f t="shared" si="74"/>
        <v>1550</v>
      </c>
      <c r="S63" s="51">
        <f t="shared" si="75"/>
        <v>0</v>
      </c>
      <c r="T63" s="11">
        <f t="shared" si="76"/>
        <v>414.28</v>
      </c>
      <c r="U63" s="52">
        <f t="shared" si="103"/>
        <v>0</v>
      </c>
      <c r="V63" s="52">
        <f t="shared" si="77"/>
        <v>0</v>
      </c>
      <c r="W63" s="53">
        <f t="shared" si="105"/>
        <v>0</v>
      </c>
      <c r="X63" s="53">
        <f t="shared" si="79"/>
        <v>0</v>
      </c>
      <c r="Y63" s="53">
        <f t="shared" si="80"/>
        <v>0</v>
      </c>
      <c r="Z63" s="54">
        <f t="shared" si="104"/>
        <v>0</v>
      </c>
      <c r="AA63" s="55"/>
      <c r="AB63" s="53">
        <f t="shared" si="82"/>
        <v>243.97333333333333</v>
      </c>
      <c r="AC63" s="53">
        <f t="shared" si="83"/>
        <v>7.18</v>
      </c>
      <c r="AD63" s="53">
        <f t="shared" si="84"/>
        <v>7.18</v>
      </c>
      <c r="AE63" s="54">
        <f t="shared" si="85"/>
        <v>258.33333333333331</v>
      </c>
      <c r="AF63" s="56"/>
      <c r="AG63" s="53">
        <f t="shared" si="86"/>
        <v>0</v>
      </c>
      <c r="AH63" s="53">
        <f t="shared" si="87"/>
        <v>0</v>
      </c>
      <c r="AI63" s="53">
        <f t="shared" si="88"/>
        <v>0</v>
      </c>
      <c r="AJ63" s="54">
        <f t="shared" si="89"/>
        <v>0</v>
      </c>
      <c r="AK63" s="57"/>
      <c r="AL63" s="53">
        <f t="shared" si="90"/>
        <v>0</v>
      </c>
      <c r="AM63" s="53">
        <f t="shared" si="91"/>
        <v>0</v>
      </c>
      <c r="AN63" s="53">
        <f t="shared" si="92"/>
        <v>0</v>
      </c>
      <c r="AO63" s="54">
        <f t="shared" si="93"/>
        <v>0</v>
      </c>
      <c r="AP63" s="56"/>
      <c r="AQ63" s="53">
        <f t="shared" si="94"/>
        <v>243.97333333333333</v>
      </c>
      <c r="AR63" s="53">
        <f t="shared" si="95"/>
        <v>7.18</v>
      </c>
      <c r="AS63" s="53">
        <f t="shared" si="96"/>
        <v>7.18</v>
      </c>
      <c r="AT63" s="54">
        <f t="shared" si="97"/>
        <v>258.33333333333331</v>
      </c>
      <c r="AU63" s="56"/>
      <c r="AV63" s="53">
        <f t="shared" si="98"/>
        <v>243.97333333333333</v>
      </c>
      <c r="AW63" s="53">
        <f t="shared" si="99"/>
        <v>7.18</v>
      </c>
      <c r="AX63" s="53">
        <f t="shared" si="100"/>
        <v>7.18</v>
      </c>
      <c r="AY63" s="54">
        <f t="shared" si="101"/>
        <v>258.33333333333331</v>
      </c>
      <c r="AZ63" s="58">
        <f t="shared" si="102"/>
        <v>775</v>
      </c>
      <c r="BA63" s="59">
        <v>414.28</v>
      </c>
      <c r="BB63" s="60"/>
      <c r="BC63" s="60"/>
      <c r="BD63" s="60"/>
      <c r="BE63" s="60"/>
      <c r="BF63" s="60"/>
      <c r="BG63" s="61"/>
      <c r="BH63" s="62"/>
      <c r="BI63" s="63"/>
      <c r="BJ63" s="63"/>
      <c r="BK63" s="64"/>
      <c r="BL63" s="64"/>
      <c r="BM63" s="65"/>
      <c r="BN63" s="65"/>
      <c r="BO63" s="66"/>
      <c r="BP63" s="67"/>
      <c r="BQ63" s="21"/>
      <c r="BR63" s="48"/>
      <c r="BS63" s="48"/>
      <c r="BT63" s="68"/>
      <c r="BU63" s="1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</row>
    <row r="64" spans="1:214" s="69" customFormat="1" ht="15.75" customHeight="1" thickBot="1" x14ac:dyDescent="0.35">
      <c r="A64" s="1"/>
      <c r="B64" s="359">
        <v>176</v>
      </c>
      <c r="C64" s="34">
        <f t="shared" si="73"/>
        <v>9</v>
      </c>
      <c r="D64" s="358" t="s">
        <v>163</v>
      </c>
      <c r="E64" s="233">
        <v>1</v>
      </c>
      <c r="F64" s="233"/>
      <c r="G64" s="233">
        <v>1</v>
      </c>
      <c r="H64" s="233"/>
      <c r="I64" s="233">
        <v>1</v>
      </c>
      <c r="J64" s="233"/>
      <c r="K64" s="233">
        <v>1</v>
      </c>
      <c r="L64" s="233"/>
      <c r="M64" s="233">
        <v>1</v>
      </c>
      <c r="N64" s="233"/>
      <c r="O64" s="233">
        <v>1</v>
      </c>
      <c r="P64" s="233"/>
      <c r="Q64" s="233">
        <v>1</v>
      </c>
      <c r="R64" s="50">
        <f t="shared" si="74"/>
        <v>1550</v>
      </c>
      <c r="S64" s="51"/>
      <c r="T64" s="11">
        <f>+BA64</f>
        <v>1949.9999999999998</v>
      </c>
      <c r="U64" s="52">
        <f t="shared" si="103"/>
        <v>0</v>
      </c>
      <c r="V64" s="52" t="str">
        <f t="shared" si="77"/>
        <v>B ASIS</v>
      </c>
      <c r="W64" s="53">
        <f t="shared" si="105"/>
        <v>243.97333333333333</v>
      </c>
      <c r="X64" s="53">
        <f t="shared" si="79"/>
        <v>7.18</v>
      </c>
      <c r="Y64" s="53">
        <f t="shared" si="80"/>
        <v>7.18</v>
      </c>
      <c r="Z64" s="54">
        <f t="shared" si="104"/>
        <v>258.33333333333331</v>
      </c>
      <c r="AA64" s="55"/>
      <c r="AB64" s="53">
        <f t="shared" si="82"/>
        <v>243.97333333333333</v>
      </c>
      <c r="AC64" s="53">
        <f t="shared" si="83"/>
        <v>7.18</v>
      </c>
      <c r="AD64" s="53">
        <f t="shared" si="84"/>
        <v>7.18</v>
      </c>
      <c r="AE64" s="54">
        <f t="shared" si="85"/>
        <v>258.33333333333331</v>
      </c>
      <c r="AF64" s="56"/>
      <c r="AG64" s="53">
        <f t="shared" si="86"/>
        <v>243.97333333333333</v>
      </c>
      <c r="AH64" s="53">
        <f t="shared" si="87"/>
        <v>7.18</v>
      </c>
      <c r="AI64" s="53">
        <f t="shared" si="88"/>
        <v>7.18</v>
      </c>
      <c r="AJ64" s="54">
        <f t="shared" si="89"/>
        <v>258.33333333333331</v>
      </c>
      <c r="AK64" s="57"/>
      <c r="AL64" s="53">
        <f t="shared" si="90"/>
        <v>243.97333333333333</v>
      </c>
      <c r="AM64" s="53">
        <f t="shared" si="91"/>
        <v>7.18</v>
      </c>
      <c r="AN64" s="53">
        <f t="shared" si="92"/>
        <v>7.18</v>
      </c>
      <c r="AO64" s="54">
        <f t="shared" si="93"/>
        <v>258.33333333333331</v>
      </c>
      <c r="AP64" s="56"/>
      <c r="AQ64" s="53">
        <f t="shared" si="94"/>
        <v>243.97333333333333</v>
      </c>
      <c r="AR64" s="53">
        <f t="shared" si="95"/>
        <v>7.18</v>
      </c>
      <c r="AS64" s="53">
        <f t="shared" si="96"/>
        <v>7.18</v>
      </c>
      <c r="AT64" s="54">
        <f t="shared" si="97"/>
        <v>258.33333333333331</v>
      </c>
      <c r="AU64" s="56"/>
      <c r="AV64" s="53">
        <f t="shared" si="98"/>
        <v>243.97333333333333</v>
      </c>
      <c r="AW64" s="53">
        <f t="shared" si="99"/>
        <v>7.18</v>
      </c>
      <c r="AX64" s="53">
        <f t="shared" si="100"/>
        <v>7.18</v>
      </c>
      <c r="AY64" s="54">
        <f t="shared" si="101"/>
        <v>258.33333333333331</v>
      </c>
      <c r="AZ64" s="58">
        <f t="shared" si="102"/>
        <v>1549.9999999999998</v>
      </c>
      <c r="BA64" s="59">
        <f>((AZ64-BB64-BC64-BD64-BE64-BF64)+BI64+BJ64+BK64+BL64+BM64+BN64+BO64)</f>
        <v>1949.9999999999998</v>
      </c>
      <c r="BB64" s="60"/>
      <c r="BC64" s="60"/>
      <c r="BD64" s="60"/>
      <c r="BE64" s="60"/>
      <c r="BF64" s="60"/>
      <c r="BG64" s="61" t="s">
        <v>175</v>
      </c>
      <c r="BH64" s="62"/>
      <c r="BI64" s="63">
        <v>150</v>
      </c>
      <c r="BJ64" s="63">
        <v>250</v>
      </c>
      <c r="BK64" s="64"/>
      <c r="BL64" s="64"/>
      <c r="BM64" s="65"/>
      <c r="BN64" s="65"/>
      <c r="BO64" s="66"/>
      <c r="BP64" s="67"/>
      <c r="BQ64" s="21"/>
      <c r="BR64" s="48"/>
      <c r="BS64" s="48"/>
      <c r="BT64" s="68"/>
      <c r="BU64" s="1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</row>
    <row r="65" spans="1:188" s="69" customFormat="1" ht="17.25" customHeight="1" thickBot="1" x14ac:dyDescent="0.35">
      <c r="A65" s="1"/>
      <c r="B65" s="381">
        <v>53</v>
      </c>
      <c r="C65" s="34">
        <f t="shared" si="73"/>
        <v>10</v>
      </c>
      <c r="D65" s="259" t="s">
        <v>59</v>
      </c>
      <c r="E65" s="233">
        <v>1</v>
      </c>
      <c r="F65" s="233"/>
      <c r="G65" s="233">
        <v>1</v>
      </c>
      <c r="H65" s="233"/>
      <c r="I65" s="233">
        <v>1</v>
      </c>
      <c r="J65" s="233"/>
      <c r="K65" s="233">
        <v>1</v>
      </c>
      <c r="L65" s="233"/>
      <c r="M65" s="233">
        <v>1</v>
      </c>
      <c r="N65" s="233"/>
      <c r="O65" s="233">
        <v>1</v>
      </c>
      <c r="P65" s="233"/>
      <c r="Q65" s="233">
        <v>1</v>
      </c>
      <c r="R65" s="50">
        <f>IF(Q65=1,1600,850)</f>
        <v>1600</v>
      </c>
      <c r="S65" s="51">
        <f>+BH65</f>
        <v>0</v>
      </c>
      <c r="T65" s="11">
        <f>+BA65</f>
        <v>2107.1399999999994</v>
      </c>
      <c r="U65" s="52">
        <f t="shared" si="103"/>
        <v>0</v>
      </c>
      <c r="V65" s="52" t="str">
        <f t="shared" si="77"/>
        <v>BONO+B ASIS+ T EXT</v>
      </c>
      <c r="W65" s="53">
        <f t="shared" si="105"/>
        <v>252.30666666666664</v>
      </c>
      <c r="X65" s="53">
        <f t="shared" si="79"/>
        <v>7.18</v>
      </c>
      <c r="Y65" s="53">
        <f t="shared" si="80"/>
        <v>7.18</v>
      </c>
      <c r="Z65" s="54">
        <f t="shared" si="104"/>
        <v>266.66666666666663</v>
      </c>
      <c r="AA65" s="55"/>
      <c r="AB65" s="53">
        <f t="shared" si="82"/>
        <v>252.30666666666664</v>
      </c>
      <c r="AC65" s="53">
        <f t="shared" si="83"/>
        <v>7.18</v>
      </c>
      <c r="AD65" s="53">
        <f t="shared" si="84"/>
        <v>7.18</v>
      </c>
      <c r="AE65" s="54">
        <f t="shared" si="85"/>
        <v>266.66666666666663</v>
      </c>
      <c r="AF65" s="56"/>
      <c r="AG65" s="53">
        <f t="shared" si="86"/>
        <v>252.30666666666664</v>
      </c>
      <c r="AH65" s="53">
        <f t="shared" si="87"/>
        <v>7.18</v>
      </c>
      <c r="AI65" s="53">
        <f t="shared" si="88"/>
        <v>7.18</v>
      </c>
      <c r="AJ65" s="54">
        <f t="shared" si="89"/>
        <v>266.66666666666663</v>
      </c>
      <c r="AK65" s="57"/>
      <c r="AL65" s="53">
        <f t="shared" si="90"/>
        <v>252.30666666666664</v>
      </c>
      <c r="AM65" s="53">
        <f t="shared" si="91"/>
        <v>7.18</v>
      </c>
      <c r="AN65" s="53">
        <f t="shared" si="92"/>
        <v>7.18</v>
      </c>
      <c r="AO65" s="54">
        <f t="shared" si="93"/>
        <v>266.66666666666663</v>
      </c>
      <c r="AP65" s="56"/>
      <c r="AQ65" s="53">
        <f t="shared" si="94"/>
        <v>252.30666666666664</v>
      </c>
      <c r="AR65" s="53">
        <f t="shared" si="95"/>
        <v>7.18</v>
      </c>
      <c r="AS65" s="53">
        <f t="shared" si="96"/>
        <v>7.18</v>
      </c>
      <c r="AT65" s="54">
        <f t="shared" si="97"/>
        <v>266.66666666666663</v>
      </c>
      <c r="AU65" s="56"/>
      <c r="AV65" s="53">
        <f t="shared" si="98"/>
        <v>252.30666666666664</v>
      </c>
      <c r="AW65" s="53">
        <f t="shared" si="99"/>
        <v>7.18</v>
      </c>
      <c r="AX65" s="53">
        <f t="shared" si="100"/>
        <v>7.18</v>
      </c>
      <c r="AY65" s="54">
        <f t="shared" si="101"/>
        <v>266.66666666666663</v>
      </c>
      <c r="AZ65" s="58">
        <f t="shared" si="102"/>
        <v>1599.9999999999995</v>
      </c>
      <c r="BA65" s="59">
        <f>((AZ65-BB65-BC65-BD65-BE65-BF65)+BI65+BJ65+BK65+BL65+BM65+BN65+BO65)</f>
        <v>2107.1399999999994</v>
      </c>
      <c r="BB65" s="60"/>
      <c r="BC65" s="60"/>
      <c r="BD65" s="60"/>
      <c r="BE65" s="60"/>
      <c r="BF65" s="60"/>
      <c r="BG65" s="61" t="s">
        <v>176</v>
      </c>
      <c r="BH65" s="62"/>
      <c r="BI65" s="63">
        <v>300</v>
      </c>
      <c r="BJ65" s="63">
        <v>150</v>
      </c>
      <c r="BK65" s="64">
        <v>57.14</v>
      </c>
      <c r="BL65" s="64"/>
      <c r="BM65" s="65"/>
      <c r="BN65" s="65"/>
      <c r="BO65" s="66"/>
      <c r="BP65" s="67"/>
      <c r="BQ65" s="21"/>
      <c r="BR65" s="48"/>
      <c r="BS65" s="48"/>
      <c r="BT65" s="68"/>
      <c r="BU65" s="1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</row>
    <row r="66" spans="1:188" s="69" customFormat="1" ht="15.75" customHeight="1" thickBot="1" x14ac:dyDescent="0.35">
      <c r="A66" s="1"/>
      <c r="B66" s="371">
        <v>0</v>
      </c>
      <c r="C66" s="34">
        <f t="shared" ref="C66:C67" si="106">+C65+1</f>
        <v>11</v>
      </c>
      <c r="D66" s="370" t="s">
        <v>147</v>
      </c>
      <c r="E66" s="367">
        <v>0</v>
      </c>
      <c r="F66" s="368" t="s">
        <v>167</v>
      </c>
      <c r="G66" s="367">
        <v>0</v>
      </c>
      <c r="H66" s="368" t="s">
        <v>167</v>
      </c>
      <c r="I66" s="367">
        <v>0</v>
      </c>
      <c r="J66" s="368" t="s">
        <v>167</v>
      </c>
      <c r="K66" s="367">
        <v>0</v>
      </c>
      <c r="L66" s="368" t="s">
        <v>167</v>
      </c>
      <c r="M66" s="367">
        <v>0</v>
      </c>
      <c r="N66" s="368" t="s">
        <v>167</v>
      </c>
      <c r="O66" s="367">
        <v>0</v>
      </c>
      <c r="P66" s="368" t="s">
        <v>167</v>
      </c>
      <c r="Q66" s="367">
        <v>0</v>
      </c>
      <c r="R66" s="369">
        <v>0</v>
      </c>
      <c r="S66" s="51">
        <f t="shared" ref="S66" si="107">+BH66</f>
        <v>0</v>
      </c>
      <c r="T66" s="11">
        <f t="shared" ref="T66" si="108">+BA66</f>
        <v>0</v>
      </c>
      <c r="U66" s="52">
        <f t="shared" si="103"/>
        <v>0</v>
      </c>
      <c r="V66" s="52">
        <f t="shared" si="77"/>
        <v>0</v>
      </c>
      <c r="W66" s="53">
        <f t="shared" si="105"/>
        <v>0</v>
      </c>
      <c r="X66" s="53">
        <f t="shared" si="79"/>
        <v>0</v>
      </c>
      <c r="Y66" s="53"/>
      <c r="Z66" s="54">
        <f t="shared" si="104"/>
        <v>0</v>
      </c>
      <c r="AA66" s="55"/>
      <c r="AB66" s="53">
        <f t="shared" si="82"/>
        <v>0</v>
      </c>
      <c r="AC66" s="53"/>
      <c r="AD66" s="53"/>
      <c r="AE66" s="54"/>
      <c r="AF66" s="56"/>
      <c r="AG66" s="53">
        <f t="shared" si="86"/>
        <v>0</v>
      </c>
      <c r="AH66" s="53">
        <f t="shared" si="87"/>
        <v>0</v>
      </c>
      <c r="AI66" s="53">
        <f t="shared" si="88"/>
        <v>0</v>
      </c>
      <c r="AJ66" s="54">
        <f t="shared" si="89"/>
        <v>0</v>
      </c>
      <c r="AK66" s="57"/>
      <c r="AL66" s="53">
        <f t="shared" si="90"/>
        <v>0</v>
      </c>
      <c r="AM66" s="53">
        <f t="shared" si="91"/>
        <v>0</v>
      </c>
      <c r="AN66" s="53"/>
      <c r="AO66" s="54"/>
      <c r="AP66" s="56"/>
      <c r="AQ66" s="53">
        <f t="shared" si="94"/>
        <v>0</v>
      </c>
      <c r="AR66" s="53">
        <f t="shared" si="95"/>
        <v>0</v>
      </c>
      <c r="AS66" s="53">
        <f t="shared" si="96"/>
        <v>0</v>
      </c>
      <c r="AT66" s="54">
        <f t="shared" si="97"/>
        <v>0</v>
      </c>
      <c r="AU66" s="56"/>
      <c r="AV66" s="53">
        <f t="shared" si="98"/>
        <v>0</v>
      </c>
      <c r="AW66" s="53">
        <f t="shared" si="99"/>
        <v>0</v>
      </c>
      <c r="AX66" s="53">
        <f t="shared" si="100"/>
        <v>0</v>
      </c>
      <c r="AY66" s="54">
        <f t="shared" si="101"/>
        <v>0</v>
      </c>
      <c r="AZ66" s="58">
        <v>0</v>
      </c>
      <c r="BA66" s="59"/>
      <c r="BB66" s="60"/>
      <c r="BC66" s="60"/>
      <c r="BD66" s="60"/>
      <c r="BE66" s="60"/>
      <c r="BF66" s="60"/>
      <c r="BG66" s="61"/>
      <c r="BH66" s="62"/>
      <c r="BI66" s="63"/>
      <c r="BJ66" s="63"/>
      <c r="BK66" s="350"/>
      <c r="BL66" s="64"/>
      <c r="BM66" s="65"/>
      <c r="BN66" s="65"/>
      <c r="BO66" s="66"/>
      <c r="BP66" s="67"/>
      <c r="BQ66" s="21"/>
      <c r="BR66" s="48"/>
      <c r="BS66" s="48"/>
      <c r="BT66" s="68"/>
      <c r="BU66" s="1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</row>
    <row r="67" spans="1:188" s="69" customFormat="1" ht="15.75" customHeight="1" thickBot="1" x14ac:dyDescent="0.35">
      <c r="A67" s="1"/>
      <c r="B67" s="371">
        <v>161</v>
      </c>
      <c r="C67" s="34">
        <f t="shared" si="106"/>
        <v>12</v>
      </c>
      <c r="D67" s="370" t="s">
        <v>144</v>
      </c>
      <c r="E67" s="367">
        <v>0</v>
      </c>
      <c r="F67" s="368" t="s">
        <v>167</v>
      </c>
      <c r="G67" s="367">
        <v>0</v>
      </c>
      <c r="H67" s="368" t="s">
        <v>167</v>
      </c>
      <c r="I67" s="367">
        <v>0</v>
      </c>
      <c r="J67" s="368" t="s">
        <v>167</v>
      </c>
      <c r="K67" s="367">
        <v>0</v>
      </c>
      <c r="L67" s="368" t="s">
        <v>167</v>
      </c>
      <c r="M67" s="367">
        <v>0</v>
      </c>
      <c r="N67" s="368" t="s">
        <v>167</v>
      </c>
      <c r="O67" s="367">
        <v>0</v>
      </c>
      <c r="P67" s="368" t="s">
        <v>167</v>
      </c>
      <c r="Q67" s="367">
        <v>0</v>
      </c>
      <c r="R67" s="369">
        <v>0</v>
      </c>
      <c r="S67" s="51">
        <f t="shared" ref="S67" si="109">+BH67</f>
        <v>0</v>
      </c>
      <c r="T67" s="11">
        <f t="shared" ref="T67" si="110">+BA67</f>
        <v>0</v>
      </c>
      <c r="U67" s="52">
        <f t="shared" ref="U67" si="111">+BP67</f>
        <v>0</v>
      </c>
      <c r="V67" s="52">
        <f t="shared" ref="V67" si="112">+BG67</f>
        <v>0</v>
      </c>
      <c r="W67" s="53">
        <f t="shared" si="105"/>
        <v>0</v>
      </c>
      <c r="X67" s="53">
        <f t="shared" si="79"/>
        <v>0</v>
      </c>
      <c r="Y67" s="53">
        <f t="shared" ref="Y67" si="113">$Y$2*E67*Q67</f>
        <v>0</v>
      </c>
      <c r="Z67" s="54">
        <f t="shared" ref="Z67" si="114">Y67+X67+W67</f>
        <v>0</v>
      </c>
      <c r="AA67" s="55"/>
      <c r="AB67" s="53">
        <f t="shared" ref="AB67" si="115">(R67-86.16)/6*G67</f>
        <v>0</v>
      </c>
      <c r="AC67" s="53">
        <f t="shared" ref="AC67" si="116">$Y$2*G67*Q67</f>
        <v>0</v>
      </c>
      <c r="AD67" s="53">
        <f t="shared" ref="AD67" si="117">$Y$2*G67*Q67</f>
        <v>0</v>
      </c>
      <c r="AE67" s="54">
        <f t="shared" ref="AE67" si="118">AD67+AC67+AB67</f>
        <v>0</v>
      </c>
      <c r="AF67" s="56"/>
      <c r="AG67" s="53">
        <f t="shared" ref="AG67" si="119">(R67-86.16)/6*I67</f>
        <v>0</v>
      </c>
      <c r="AH67" s="53">
        <f t="shared" ref="AH67" si="120">$Y$2*I67*Q67</f>
        <v>0</v>
      </c>
      <c r="AI67" s="53">
        <f t="shared" ref="AI67" si="121">$Y$2*I67*Q67</f>
        <v>0</v>
      </c>
      <c r="AJ67" s="54">
        <f t="shared" ref="AJ67" si="122">AI67+AH67+AG67</f>
        <v>0</v>
      </c>
      <c r="AK67" s="57"/>
      <c r="AL67" s="53">
        <f t="shared" si="90"/>
        <v>0</v>
      </c>
      <c r="AM67" s="53">
        <f t="shared" ref="AM67" si="123">$Y$2*K67*Q67</f>
        <v>0</v>
      </c>
      <c r="AN67" s="53">
        <f t="shared" ref="AN67" si="124">$Y$2*K67*Q67</f>
        <v>0</v>
      </c>
      <c r="AO67" s="54">
        <f t="shared" ref="AO67" si="125">AN67+AM67+AL67</f>
        <v>0</v>
      </c>
      <c r="AP67" s="56"/>
      <c r="AQ67" s="53">
        <f t="shared" ref="AQ67" si="126">(R67-86.16)/6*M67</f>
        <v>0</v>
      </c>
      <c r="AR67" s="53">
        <f t="shared" ref="AR67" si="127">$Y$2*M67*Q67</f>
        <v>0</v>
      </c>
      <c r="AS67" s="53">
        <f t="shared" ref="AS67" si="128">$Y$2*M67*Q67</f>
        <v>0</v>
      </c>
      <c r="AT67" s="54">
        <f t="shared" ref="AT67" si="129">AS67+AR67+AQ67</f>
        <v>0</v>
      </c>
      <c r="AU67" s="56"/>
      <c r="AV67" s="53">
        <f t="shared" si="98"/>
        <v>0</v>
      </c>
      <c r="AW67" s="53">
        <f t="shared" ref="AW67" si="130">$Y$2*O67*Q67</f>
        <v>0</v>
      </c>
      <c r="AX67" s="53">
        <f t="shared" ref="AX67" si="131">$Y$2*O67*Q67</f>
        <v>0</v>
      </c>
      <c r="AY67" s="54">
        <f t="shared" ref="AY67" si="132">AX67+AW67+AV67</f>
        <v>0</v>
      </c>
      <c r="AZ67" s="58">
        <f t="shared" ref="AZ67" si="133">+AY67+AT67+AO67++AJ67+AE67+Z67</f>
        <v>0</v>
      </c>
      <c r="BA67" s="59">
        <v>0</v>
      </c>
      <c r="BB67" s="60"/>
      <c r="BC67" s="60"/>
      <c r="BD67" s="60"/>
      <c r="BE67" s="60"/>
      <c r="BF67" s="60"/>
      <c r="BG67" s="61"/>
      <c r="BH67" s="62"/>
      <c r="BI67" s="63"/>
      <c r="BJ67" s="63"/>
      <c r="BK67" s="64"/>
      <c r="BL67" s="64"/>
      <c r="BM67" s="65"/>
      <c r="BN67" s="65"/>
      <c r="BO67" s="66"/>
      <c r="BP67" s="67"/>
      <c r="BQ67" s="21"/>
      <c r="BR67" s="48"/>
      <c r="BS67" s="48"/>
      <c r="BT67" s="68"/>
      <c r="BU67" s="1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</row>
    <row r="68" spans="1:188" ht="15.75" customHeight="1" thickBot="1" x14ac:dyDescent="0.35">
      <c r="A68" s="1">
        <v>472</v>
      </c>
      <c r="B68" s="78"/>
      <c r="C68" s="79"/>
      <c r="D68" s="21"/>
      <c r="E68" s="80">
        <f>SUM(E56:E67)</f>
        <v>8</v>
      </c>
      <c r="F68" s="80"/>
      <c r="G68" s="80">
        <f>SUM(G56:G67)</f>
        <v>10</v>
      </c>
      <c r="H68" s="80"/>
      <c r="I68" s="80">
        <f>SUM(I56:I67)</f>
        <v>9</v>
      </c>
      <c r="J68" s="81"/>
      <c r="K68" s="80">
        <f>SUM(K56:K67)</f>
        <v>9</v>
      </c>
      <c r="L68" s="81"/>
      <c r="M68" s="80">
        <f>SUM(M56:M67)</f>
        <v>9</v>
      </c>
      <c r="N68" s="81"/>
      <c r="O68" s="80">
        <f>SUM(O56:O67)</f>
        <v>9</v>
      </c>
      <c r="P68" s="80"/>
      <c r="Q68" s="8"/>
      <c r="R68" s="82"/>
      <c r="S68" s="51"/>
      <c r="T68" s="11"/>
      <c r="U68" s="52"/>
      <c r="V68" s="52"/>
      <c r="W68" s="53"/>
      <c r="X68" s="53"/>
      <c r="Y68" s="53"/>
      <c r="Z68" s="54"/>
      <c r="AA68" s="55"/>
      <c r="AB68" s="53"/>
      <c r="AC68" s="53"/>
      <c r="AD68" s="53"/>
      <c r="AE68" s="54"/>
      <c r="AF68" s="56"/>
      <c r="AG68" s="53"/>
      <c r="AH68" s="53"/>
      <c r="AI68" s="53"/>
      <c r="AJ68" s="54"/>
      <c r="AK68" s="57"/>
      <c r="AL68" s="53"/>
      <c r="AM68" s="53"/>
      <c r="AN68" s="53"/>
      <c r="AO68" s="54"/>
      <c r="AP68" s="56"/>
      <c r="AQ68" s="53"/>
      <c r="AR68" s="53"/>
      <c r="AS68" s="53"/>
      <c r="AT68" s="54"/>
      <c r="AU68" s="56"/>
      <c r="AV68" s="53"/>
      <c r="AW68" s="53"/>
      <c r="AX68" s="53"/>
      <c r="AY68" s="54"/>
      <c r="AZ68" s="58"/>
      <c r="BA68" s="59"/>
      <c r="BG68" s="83"/>
      <c r="BL68" s="64"/>
      <c r="BO68" s="67"/>
      <c r="BP68" s="67"/>
      <c r="BQ68" s="21"/>
      <c r="BR68" s="84"/>
      <c r="BS68" s="84"/>
      <c r="BU68" s="1">
        <v>472</v>
      </c>
    </row>
    <row r="69" spans="1:188" ht="15.75" customHeight="1" thickBot="1" x14ac:dyDescent="0.45">
      <c r="A69" s="1">
        <v>473</v>
      </c>
      <c r="C69" s="79"/>
      <c r="D69" s="21"/>
      <c r="E69" s="8"/>
      <c r="F69" s="85"/>
      <c r="G69" s="8"/>
      <c r="H69" s="22"/>
      <c r="I69" s="8"/>
      <c r="J69" s="22"/>
      <c r="K69" s="8"/>
      <c r="L69" s="22"/>
      <c r="M69" s="8"/>
      <c r="N69" s="22"/>
      <c r="O69" s="8"/>
      <c r="P69" s="22"/>
      <c r="Q69" s="8"/>
      <c r="R69" s="82"/>
      <c r="S69" s="51"/>
      <c r="T69" s="11"/>
      <c r="U69" s="52"/>
      <c r="V69" s="52"/>
      <c r="W69" s="53"/>
      <c r="X69" s="53"/>
      <c r="Y69" s="53"/>
      <c r="Z69" s="54"/>
      <c r="AA69" s="55"/>
      <c r="AB69" s="53"/>
      <c r="AC69" s="53"/>
      <c r="AD69" s="53"/>
      <c r="AE69" s="54"/>
      <c r="AF69" s="56"/>
      <c r="AG69" s="53"/>
      <c r="AH69" s="53"/>
      <c r="AI69" s="53"/>
      <c r="AJ69" s="54"/>
      <c r="AK69" s="57"/>
      <c r="AL69" s="53"/>
      <c r="AM69" s="53"/>
      <c r="AN69" s="53"/>
      <c r="AO69" s="54"/>
      <c r="AP69" s="56"/>
      <c r="AQ69" s="53"/>
      <c r="AR69" s="53"/>
      <c r="AS69" s="53"/>
      <c r="AT69" s="54"/>
      <c r="AU69" s="56"/>
      <c r="AV69" s="53"/>
      <c r="AW69" s="53"/>
      <c r="AX69" s="53"/>
      <c r="AY69" s="54"/>
      <c r="AZ69" s="58"/>
      <c r="BA69" s="59"/>
      <c r="BG69" s="83"/>
      <c r="BO69" s="86"/>
      <c r="BP69" s="87"/>
      <c r="BQ69" s="21"/>
      <c r="BT69" s="68"/>
      <c r="BU69" s="1">
        <v>473</v>
      </c>
    </row>
    <row r="70" spans="1:188" ht="15.75" customHeight="1" thickBot="1" x14ac:dyDescent="0.35">
      <c r="A70" s="1">
        <v>474</v>
      </c>
      <c r="B70" s="88" t="s">
        <v>26</v>
      </c>
      <c r="C70" s="89" t="s">
        <v>27</v>
      </c>
      <c r="D70" s="90"/>
      <c r="E70" s="8"/>
      <c r="F70" s="91"/>
      <c r="G70" s="42" t="s">
        <v>8</v>
      </c>
      <c r="H70" s="42"/>
      <c r="I70" s="42" t="s">
        <v>9</v>
      </c>
      <c r="J70" s="42"/>
      <c r="K70" s="42" t="s">
        <v>9</v>
      </c>
      <c r="L70" s="42"/>
      <c r="M70" s="42" t="s">
        <v>10</v>
      </c>
      <c r="N70" s="42"/>
      <c r="O70" s="42" t="s">
        <v>11</v>
      </c>
      <c r="P70" s="42"/>
      <c r="Q70" s="42" t="s">
        <v>12</v>
      </c>
      <c r="R70" s="42"/>
      <c r="S70" s="9"/>
      <c r="T70" s="11"/>
      <c r="U70" s="11"/>
      <c r="V70" s="11"/>
      <c r="W70" s="12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59"/>
      <c r="BO70" s="92"/>
      <c r="BP70" s="92"/>
      <c r="BQ70" s="21"/>
      <c r="BR70" s="21"/>
      <c r="BS70" s="21"/>
      <c r="BT70" s="68"/>
      <c r="BU70" s="1">
        <v>474</v>
      </c>
    </row>
    <row r="71" spans="1:188" ht="20.25" customHeight="1" x14ac:dyDescent="0.3">
      <c r="A71" s="1">
        <v>475</v>
      </c>
      <c r="B71" s="21">
        <f>E68</f>
        <v>8</v>
      </c>
      <c r="C71" s="93">
        <f>G75</f>
        <v>8</v>
      </c>
      <c r="D71" s="94">
        <f>+B71-C71</f>
        <v>0</v>
      </c>
      <c r="E71" s="95"/>
      <c r="F71" s="96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8" t="s">
        <v>28</v>
      </c>
      <c r="S71" s="10"/>
      <c r="T71" s="10"/>
      <c r="U71" s="335"/>
      <c r="V71" s="40"/>
      <c r="W71" s="42"/>
      <c r="X71" s="9"/>
      <c r="Y71" s="9"/>
      <c r="Z71" s="9"/>
      <c r="AA71" s="9"/>
      <c r="AB71" s="42"/>
      <c r="AC71" s="9"/>
      <c r="AD71" s="9"/>
      <c r="AE71" s="9"/>
      <c r="AF71" s="9"/>
      <c r="AG71" s="42"/>
      <c r="AH71" s="9"/>
      <c r="AI71" s="9"/>
      <c r="AJ71" s="9"/>
      <c r="AK71" s="9"/>
      <c r="AL71" s="9"/>
      <c r="AM71" s="9"/>
      <c r="AN71" s="9"/>
      <c r="AO71" s="9"/>
      <c r="AP71" s="9"/>
      <c r="AQ71" s="42"/>
      <c r="AR71" s="9"/>
      <c r="AS71" s="9"/>
      <c r="AT71" s="9"/>
      <c r="AU71" s="9"/>
      <c r="AV71" s="42"/>
      <c r="AW71" s="9"/>
      <c r="AX71" s="9"/>
      <c r="AY71" s="9"/>
      <c r="AZ71" s="99"/>
      <c r="BA71" s="59"/>
      <c r="BE71" s="100"/>
      <c r="BO71" s="101"/>
      <c r="BP71" s="92"/>
      <c r="BQ71" s="21"/>
      <c r="BR71" s="21"/>
      <c r="BS71" s="21"/>
      <c r="BT71" s="68"/>
      <c r="BU71" s="1">
        <v>475</v>
      </c>
    </row>
    <row r="72" spans="1:188" ht="20.25" customHeight="1" x14ac:dyDescent="0.3">
      <c r="A72" s="1">
        <v>476</v>
      </c>
      <c r="B72" s="21">
        <f>G68</f>
        <v>10</v>
      </c>
      <c r="C72" s="93">
        <f>I75</f>
        <v>10</v>
      </c>
      <c r="D72" s="94">
        <f t="shared" ref="D72:D76" si="134">+B72-C72</f>
        <v>0</v>
      </c>
      <c r="E72" s="102" t="s">
        <v>29</v>
      </c>
      <c r="F72" s="103"/>
      <c r="G72" s="104">
        <v>1</v>
      </c>
      <c r="H72" s="105"/>
      <c r="I72" s="104">
        <v>1</v>
      </c>
      <c r="J72" s="105"/>
      <c r="K72" s="104">
        <v>1</v>
      </c>
      <c r="L72" s="105"/>
      <c r="M72" s="104">
        <v>1</v>
      </c>
      <c r="N72" s="105"/>
      <c r="O72" s="104">
        <v>1</v>
      </c>
      <c r="P72" s="105"/>
      <c r="Q72" s="104">
        <v>1</v>
      </c>
      <c r="R72" s="106">
        <f>AVERAGE(G72,I72,K72,M72,O72,Q72)</f>
        <v>1</v>
      </c>
      <c r="S72" s="10"/>
      <c r="T72" s="11"/>
      <c r="U72" s="94"/>
      <c r="V72" s="40"/>
      <c r="W72" s="42"/>
      <c r="X72" s="9"/>
      <c r="Y72" s="9"/>
      <c r="Z72" s="9"/>
      <c r="AA72" s="9"/>
      <c r="AB72" s="42"/>
      <c r="AC72" s="9"/>
      <c r="AD72" s="9"/>
      <c r="AE72" s="9"/>
      <c r="AF72" s="9"/>
      <c r="AG72" s="42"/>
      <c r="AH72" s="9"/>
      <c r="AI72" s="9"/>
      <c r="AJ72" s="9"/>
      <c r="AK72" s="9"/>
      <c r="AL72" s="9"/>
      <c r="AM72" s="9"/>
      <c r="AN72" s="9"/>
      <c r="AO72" s="9"/>
      <c r="AP72" s="9"/>
      <c r="AQ72" s="42"/>
      <c r="AR72" s="9"/>
      <c r="AS72" s="9"/>
      <c r="AT72" s="9"/>
      <c r="AU72" s="9"/>
      <c r="AV72" s="42"/>
      <c r="AW72" s="9"/>
      <c r="AX72" s="9"/>
      <c r="AY72" s="9"/>
      <c r="AZ72" s="99"/>
      <c r="BA72" s="59"/>
      <c r="BE72" s="100"/>
      <c r="BO72" s="101"/>
      <c r="BP72" s="92"/>
      <c r="BQ72" s="21"/>
      <c r="BR72" s="21"/>
      <c r="BS72" s="21"/>
      <c r="BT72" s="68"/>
      <c r="BU72" s="1">
        <v>476</v>
      </c>
    </row>
    <row r="73" spans="1:188" ht="20.25" customHeight="1" x14ac:dyDescent="0.3">
      <c r="A73" s="1">
        <v>477</v>
      </c>
      <c r="B73" s="21">
        <f>I68</f>
        <v>9</v>
      </c>
      <c r="C73" s="93">
        <f>K75</f>
        <v>9</v>
      </c>
      <c r="D73" s="94">
        <f t="shared" si="134"/>
        <v>0</v>
      </c>
      <c r="E73" s="102" t="s">
        <v>30</v>
      </c>
      <c r="F73" s="103"/>
      <c r="G73" s="104">
        <v>1</v>
      </c>
      <c r="H73" s="105"/>
      <c r="I73" s="104">
        <v>1</v>
      </c>
      <c r="J73" s="105"/>
      <c r="K73" s="104">
        <v>1</v>
      </c>
      <c r="L73" s="105"/>
      <c r="M73" s="104">
        <v>1</v>
      </c>
      <c r="N73" s="105"/>
      <c r="O73" s="104">
        <v>1</v>
      </c>
      <c r="P73" s="105"/>
      <c r="Q73" s="104">
        <v>1</v>
      </c>
      <c r="R73" s="106">
        <f t="shared" ref="R73:R75" si="135">AVERAGE(G73,I73,K73,M73,O73,Q73)</f>
        <v>1</v>
      </c>
      <c r="S73" s="10"/>
      <c r="T73" s="11"/>
      <c r="U73" s="94"/>
      <c r="V73" s="40"/>
      <c r="W73" s="42"/>
      <c r="X73" s="9"/>
      <c r="Y73" s="9"/>
      <c r="Z73" s="9"/>
      <c r="AA73" s="9"/>
      <c r="AB73" s="42"/>
      <c r="AC73" s="9"/>
      <c r="AD73" s="9"/>
      <c r="AE73" s="9"/>
      <c r="AF73" s="9"/>
      <c r="AG73" s="42"/>
      <c r="AH73" s="9"/>
      <c r="AI73" s="9"/>
      <c r="AJ73" s="9"/>
      <c r="AK73" s="9"/>
      <c r="AL73" s="9"/>
      <c r="AM73" s="9"/>
      <c r="AN73" s="9"/>
      <c r="AO73" s="9"/>
      <c r="AP73" s="9"/>
      <c r="AQ73" s="42"/>
      <c r="AR73" s="9"/>
      <c r="AS73" s="9"/>
      <c r="AT73" s="9"/>
      <c r="AU73" s="9"/>
      <c r="AV73" s="42"/>
      <c r="AW73" s="9"/>
      <c r="AX73" s="9"/>
      <c r="AY73" s="9"/>
      <c r="AZ73" s="99"/>
      <c r="BA73" s="59"/>
      <c r="BE73" s="100"/>
      <c r="BO73" s="101"/>
      <c r="BP73" s="92"/>
      <c r="BQ73" s="21"/>
      <c r="BR73" s="21"/>
      <c r="BS73" s="21"/>
      <c r="BT73" s="68"/>
      <c r="BU73" s="1">
        <v>477</v>
      </c>
    </row>
    <row r="74" spans="1:188" ht="20.25" customHeight="1" thickBot="1" x14ac:dyDescent="0.35">
      <c r="A74" s="1">
        <v>478</v>
      </c>
      <c r="B74" s="21">
        <f>K68</f>
        <v>9</v>
      </c>
      <c r="C74" s="93">
        <f>M75</f>
        <v>9</v>
      </c>
      <c r="D74" s="94">
        <f t="shared" si="134"/>
        <v>0</v>
      </c>
      <c r="E74" s="102" t="s">
        <v>32</v>
      </c>
      <c r="F74" s="103"/>
      <c r="G74" s="104">
        <v>6</v>
      </c>
      <c r="H74" s="105"/>
      <c r="I74" s="104">
        <v>8</v>
      </c>
      <c r="J74" s="105"/>
      <c r="K74" s="104">
        <v>7</v>
      </c>
      <c r="L74" s="105"/>
      <c r="M74" s="104">
        <v>7</v>
      </c>
      <c r="N74" s="105"/>
      <c r="O74" s="104">
        <v>7</v>
      </c>
      <c r="P74" s="105"/>
      <c r="Q74" s="104">
        <v>7</v>
      </c>
      <c r="R74" s="106">
        <f t="shared" si="135"/>
        <v>7</v>
      </c>
      <c r="S74" s="10"/>
      <c r="T74" s="11"/>
      <c r="U74" s="94"/>
      <c r="V74" s="40"/>
      <c r="W74" s="42"/>
      <c r="X74" s="9"/>
      <c r="Y74" s="9"/>
      <c r="Z74" s="9"/>
      <c r="AA74" s="9"/>
      <c r="AB74" s="42"/>
      <c r="AC74" s="9"/>
      <c r="AD74" s="9"/>
      <c r="AE74" s="9"/>
      <c r="AF74" s="9"/>
      <c r="AG74" s="42"/>
      <c r="AH74" s="9"/>
      <c r="AI74" s="9"/>
      <c r="AJ74" s="9"/>
      <c r="AK74" s="9"/>
      <c r="AL74" s="9"/>
      <c r="AM74" s="9"/>
      <c r="AN74" s="9"/>
      <c r="AO74" s="9"/>
      <c r="AP74" s="9"/>
      <c r="AQ74" s="42"/>
      <c r="AR74" s="9"/>
      <c r="AS74" s="9"/>
      <c r="AT74" s="9"/>
      <c r="AU74" s="9"/>
      <c r="AV74" s="42"/>
      <c r="AW74" s="9"/>
      <c r="AX74" s="9"/>
      <c r="AY74" s="9"/>
      <c r="AZ74" s="99"/>
      <c r="BA74" s="59"/>
      <c r="BE74" s="100"/>
      <c r="BO74" s="101"/>
      <c r="BP74" s="92"/>
      <c r="BQ74" s="21"/>
      <c r="BR74" s="21"/>
      <c r="BS74" s="21"/>
      <c r="BT74" s="68"/>
      <c r="BU74" s="1">
        <v>478</v>
      </c>
    </row>
    <row r="75" spans="1:188" ht="20.25" customHeight="1" thickBot="1" x14ac:dyDescent="0.35">
      <c r="A75" s="1">
        <v>479</v>
      </c>
      <c r="B75" s="21">
        <f>M68</f>
        <v>9</v>
      </c>
      <c r="C75" s="93">
        <f>O75</f>
        <v>9</v>
      </c>
      <c r="D75" s="94">
        <f t="shared" si="134"/>
        <v>0</v>
      </c>
      <c r="E75" s="108"/>
      <c r="F75" s="109"/>
      <c r="G75" s="110">
        <f>SUM(G72:G74)</f>
        <v>8</v>
      </c>
      <c r="H75" s="110"/>
      <c r="I75" s="110">
        <f>SUM(I72:I74)</f>
        <v>10</v>
      </c>
      <c r="J75" s="110"/>
      <c r="K75" s="110">
        <f>SUM(K72:K74)</f>
        <v>9</v>
      </c>
      <c r="L75" s="110"/>
      <c r="M75" s="110">
        <f>SUM(M72:M74)</f>
        <v>9</v>
      </c>
      <c r="N75" s="110"/>
      <c r="O75" s="110">
        <f>SUM(O72:O74)</f>
        <v>9</v>
      </c>
      <c r="P75" s="110"/>
      <c r="Q75" s="110">
        <f>SUM(Q68:Q74)</f>
        <v>9</v>
      </c>
      <c r="R75" s="106">
        <f t="shared" si="135"/>
        <v>9</v>
      </c>
      <c r="S75" s="10"/>
      <c r="T75" s="11"/>
      <c r="U75" s="94"/>
      <c r="V75" s="40"/>
      <c r="W75" s="42"/>
      <c r="X75" s="9"/>
      <c r="Y75" s="9"/>
      <c r="Z75" s="9"/>
      <c r="AA75" s="9"/>
      <c r="AB75" s="42"/>
      <c r="AC75" s="9"/>
      <c r="AD75" s="9"/>
      <c r="AE75" s="9"/>
      <c r="AF75" s="9"/>
      <c r="AG75" s="42"/>
      <c r="AH75" s="9"/>
      <c r="AI75" s="9"/>
      <c r="AJ75" s="9"/>
      <c r="AK75" s="9"/>
      <c r="AL75" s="9"/>
      <c r="AM75" s="9"/>
      <c r="AN75" s="9"/>
      <c r="AO75" s="9"/>
      <c r="AP75" s="9"/>
      <c r="AQ75" s="42"/>
      <c r="AR75" s="9"/>
      <c r="AS75" s="9"/>
      <c r="AT75" s="9"/>
      <c r="AU75" s="9"/>
      <c r="AV75" s="42"/>
      <c r="AW75" s="9"/>
      <c r="AX75" s="9"/>
      <c r="AY75" s="9"/>
      <c r="AZ75" s="99"/>
      <c r="BA75" s="59"/>
      <c r="BE75" s="100"/>
      <c r="BO75" s="101"/>
      <c r="BP75" s="92"/>
      <c r="BQ75" s="21"/>
      <c r="BR75" s="21"/>
      <c r="BS75" s="21"/>
      <c r="BT75" s="68"/>
      <c r="BU75" s="1">
        <v>479</v>
      </c>
    </row>
    <row r="76" spans="1:188" ht="20.25" customHeight="1" x14ac:dyDescent="0.3">
      <c r="A76" s="1">
        <v>480</v>
      </c>
      <c r="B76" s="21">
        <f>O68</f>
        <v>9</v>
      </c>
      <c r="C76" s="93">
        <f>Q75</f>
        <v>9</v>
      </c>
      <c r="D76" s="94">
        <f t="shared" si="134"/>
        <v>0</v>
      </c>
      <c r="E76" s="112"/>
      <c r="F76" s="113"/>
      <c r="G76" s="112"/>
      <c r="H76" s="114"/>
      <c r="I76" s="112"/>
      <c r="J76" s="114"/>
      <c r="K76" s="112"/>
      <c r="L76" s="114"/>
      <c r="M76" s="112"/>
      <c r="N76" s="114"/>
      <c r="O76" s="112"/>
      <c r="P76" s="114"/>
      <c r="Q76" s="112"/>
      <c r="R76" s="115"/>
      <c r="S76" s="10"/>
      <c r="T76" s="128">
        <f>SUM(R72:R74)</f>
        <v>9</v>
      </c>
      <c r="U76" s="94"/>
      <c r="V76" s="40"/>
      <c r="W76" s="42"/>
      <c r="X76" s="9"/>
      <c r="Y76" s="9"/>
      <c r="Z76" s="9"/>
      <c r="AA76" s="9"/>
      <c r="AB76" s="42"/>
      <c r="AC76" s="9"/>
      <c r="AD76" s="9"/>
      <c r="AE76" s="9"/>
      <c r="AF76" s="9"/>
      <c r="AG76" s="42"/>
      <c r="AH76" s="9"/>
      <c r="AI76" s="9"/>
      <c r="AJ76" s="9"/>
      <c r="AK76" s="9"/>
      <c r="AL76" s="9"/>
      <c r="AM76" s="9"/>
      <c r="AN76" s="9"/>
      <c r="AO76" s="9"/>
      <c r="AP76" s="9"/>
      <c r="AQ76" s="42"/>
      <c r="AR76" s="9"/>
      <c r="AS76" s="9"/>
      <c r="AT76" s="9"/>
      <c r="AU76" s="9"/>
      <c r="AV76" s="42"/>
      <c r="AW76" s="9"/>
      <c r="AX76" s="9"/>
      <c r="AY76" s="9"/>
      <c r="AZ76" s="99"/>
      <c r="BA76" s="59"/>
      <c r="BE76" s="100"/>
      <c r="BO76" s="101"/>
      <c r="BP76" s="92"/>
      <c r="BQ76" s="21"/>
      <c r="BR76" s="21"/>
      <c r="BS76" s="21"/>
      <c r="BT76" s="68"/>
      <c r="BU76" s="1">
        <v>480</v>
      </c>
    </row>
    <row r="77" spans="1:188" ht="20.25" customHeight="1" x14ac:dyDescent="0.3">
      <c r="A77" s="1"/>
      <c r="B77" s="21"/>
      <c r="C77" s="93"/>
      <c r="D77" s="94"/>
      <c r="E77" s="112"/>
      <c r="F77" s="113"/>
      <c r="G77" s="112"/>
      <c r="H77" s="114"/>
      <c r="I77" s="112"/>
      <c r="J77" s="114"/>
      <c r="K77" s="112"/>
      <c r="L77" s="114"/>
      <c r="M77" s="112"/>
      <c r="N77" s="114"/>
      <c r="O77" s="112"/>
      <c r="P77" s="114"/>
      <c r="Q77" s="112"/>
      <c r="R77" s="115"/>
      <c r="S77" s="10"/>
      <c r="T77" s="128"/>
      <c r="U77" s="94"/>
      <c r="V77" s="40"/>
      <c r="W77" s="42"/>
      <c r="X77" s="9"/>
      <c r="Y77" s="9"/>
      <c r="Z77" s="9"/>
      <c r="AA77" s="9"/>
      <c r="AB77" s="42"/>
      <c r="AC77" s="9"/>
      <c r="AD77" s="9"/>
      <c r="AE77" s="9"/>
      <c r="AF77" s="9"/>
      <c r="AG77" s="42"/>
      <c r="AH77" s="9"/>
      <c r="AI77" s="9"/>
      <c r="AJ77" s="9"/>
      <c r="AK77" s="9"/>
      <c r="AL77" s="9"/>
      <c r="AM77" s="9"/>
      <c r="AN77" s="9"/>
      <c r="AO77" s="9"/>
      <c r="AP77" s="9"/>
      <c r="AQ77" s="42"/>
      <c r="AR77" s="9"/>
      <c r="AS77" s="9"/>
      <c r="AT77" s="9"/>
      <c r="AU77" s="9"/>
      <c r="AV77" s="42"/>
      <c r="AW77" s="9"/>
      <c r="AX77" s="9"/>
      <c r="AY77" s="9"/>
      <c r="AZ77" s="99"/>
      <c r="BA77" s="59"/>
      <c r="BE77" s="100"/>
      <c r="BO77" s="101"/>
      <c r="BP77" s="92"/>
      <c r="BQ77" s="21"/>
      <c r="BR77" s="21"/>
      <c r="BS77" s="21"/>
      <c r="BT77" s="68"/>
      <c r="BU77" s="1"/>
    </row>
    <row r="78" spans="1:188" ht="20.25" customHeight="1" thickBot="1" x14ac:dyDescent="0.35">
      <c r="A78" s="1">
        <v>482</v>
      </c>
      <c r="B78" s="22"/>
      <c r="C78" s="22"/>
      <c r="D78" s="22"/>
      <c r="E78" s="112"/>
      <c r="F78" s="113"/>
      <c r="G78" s="112"/>
      <c r="H78" s="114"/>
      <c r="I78" s="112"/>
      <c r="J78" s="114"/>
      <c r="K78" s="112"/>
      <c r="L78" s="114"/>
      <c r="M78" s="112"/>
      <c r="N78" s="114"/>
      <c r="O78" s="112"/>
      <c r="P78" s="114"/>
      <c r="Q78" s="112"/>
      <c r="R78" s="115"/>
      <c r="S78" s="10"/>
      <c r="T78" s="11"/>
      <c r="U78" s="94"/>
      <c r="V78" s="40"/>
      <c r="W78" s="42"/>
      <c r="X78" s="9"/>
      <c r="Y78" s="9"/>
      <c r="Z78" s="9"/>
      <c r="AA78" s="9"/>
      <c r="AB78" s="42"/>
      <c r="AC78" s="9"/>
      <c r="AD78" s="9"/>
      <c r="AE78" s="9"/>
      <c r="AF78" s="9"/>
      <c r="AG78" s="42"/>
      <c r="AH78" s="9"/>
      <c r="AI78" s="9"/>
      <c r="AJ78" s="9"/>
      <c r="AK78" s="9"/>
      <c r="AL78" s="9"/>
      <c r="AM78" s="9"/>
      <c r="AN78" s="9"/>
      <c r="AO78" s="9"/>
      <c r="AP78" s="9"/>
      <c r="AQ78" s="42"/>
      <c r="AR78" s="9"/>
      <c r="AS78" s="9"/>
      <c r="AT78" s="9"/>
      <c r="AU78" s="9"/>
      <c r="AV78" s="42"/>
      <c r="AW78" s="9"/>
      <c r="AX78" s="9"/>
      <c r="AY78" s="9"/>
      <c r="AZ78" s="99"/>
      <c r="BA78" s="59"/>
      <c r="BE78" s="100"/>
      <c r="BO78" s="101"/>
      <c r="BP78" s="92"/>
      <c r="BQ78" s="21"/>
      <c r="BR78" s="21"/>
      <c r="BS78" s="21"/>
      <c r="BT78" s="68"/>
      <c r="BU78" s="1">
        <v>482</v>
      </c>
    </row>
    <row r="79" spans="1:188" ht="28.5" customHeight="1" thickBot="1" x14ac:dyDescent="0.45">
      <c r="A79" s="1">
        <v>483</v>
      </c>
      <c r="B79" s="845" t="s">
        <v>44</v>
      </c>
      <c r="C79" s="846"/>
      <c r="D79" s="846" t="s">
        <v>35</v>
      </c>
      <c r="E79" s="846"/>
      <c r="F79" s="846"/>
      <c r="G79" s="846"/>
      <c r="H79" s="846"/>
      <c r="I79" s="846"/>
      <c r="J79" s="846"/>
      <c r="K79" s="846"/>
      <c r="L79" s="846"/>
      <c r="M79" s="846"/>
      <c r="N79" s="846"/>
      <c r="O79" s="846"/>
      <c r="P79" s="846"/>
      <c r="Q79" s="846"/>
      <c r="R79" s="23" t="str">
        <f>$V2</f>
        <v>DEL 08 AL 14 ENERO 24</v>
      </c>
      <c r="S79" s="51"/>
      <c r="T79" s="11"/>
      <c r="U79" s="11"/>
      <c r="V79" s="52"/>
      <c r="W79" s="53"/>
      <c r="X79" s="53"/>
      <c r="Y79" s="53"/>
      <c r="Z79" s="54"/>
      <c r="AA79" s="55"/>
      <c r="AB79" s="53"/>
      <c r="AC79" s="53"/>
      <c r="AD79" s="53"/>
      <c r="AE79" s="54"/>
      <c r="AF79" s="56"/>
      <c r="AG79" s="53"/>
      <c r="AH79" s="53"/>
      <c r="AI79" s="53"/>
      <c r="AJ79" s="54"/>
      <c r="AK79" s="57"/>
      <c r="AL79" s="53"/>
      <c r="AM79" s="53"/>
      <c r="AN79" s="53"/>
      <c r="AO79" s="54"/>
      <c r="AP79" s="56"/>
      <c r="AQ79" s="53"/>
      <c r="AR79" s="53"/>
      <c r="AS79" s="53"/>
      <c r="AT79" s="54"/>
      <c r="AU79" s="56"/>
      <c r="AV79" s="53"/>
      <c r="AW79" s="53"/>
      <c r="AX79" s="53"/>
      <c r="AY79" s="54"/>
      <c r="AZ79" s="58"/>
      <c r="BA79" s="59"/>
      <c r="BG79" s="83"/>
      <c r="BO79" s="116"/>
      <c r="BP79" s="67"/>
      <c r="BQ79" s="21"/>
      <c r="BR79" s="74"/>
      <c r="BS79" s="74"/>
      <c r="BT79" s="68"/>
      <c r="BU79" s="1">
        <v>483</v>
      </c>
    </row>
    <row r="80" spans="1:188" ht="14.25" customHeight="1" thickBot="1" x14ac:dyDescent="0.35">
      <c r="A80" s="1">
        <v>484</v>
      </c>
      <c r="B80" s="117"/>
      <c r="C80" s="118"/>
      <c r="D80" s="119"/>
      <c r="E80" s="120" t="s">
        <v>8</v>
      </c>
      <c r="F80" s="121"/>
      <c r="G80" s="120" t="s">
        <v>9</v>
      </c>
      <c r="H80" s="122"/>
      <c r="I80" s="120" t="s">
        <v>9</v>
      </c>
      <c r="J80" s="122"/>
      <c r="K80" s="120" t="s">
        <v>10</v>
      </c>
      <c r="L80" s="122"/>
      <c r="M80" s="340" t="s">
        <v>11</v>
      </c>
      <c r="N80" s="273"/>
      <c r="O80" s="340" t="s">
        <v>12</v>
      </c>
      <c r="P80" s="120"/>
      <c r="Q80" s="122"/>
      <c r="R80" s="123"/>
      <c r="S80" s="51"/>
      <c r="T80" s="11"/>
      <c r="U80" s="52"/>
      <c r="V80" s="52"/>
      <c r="W80" s="53"/>
      <c r="X80" s="53"/>
      <c r="Y80" s="53"/>
      <c r="Z80" s="54"/>
      <c r="AA80" s="55"/>
      <c r="AB80" s="53"/>
      <c r="AC80" s="53"/>
      <c r="AD80" s="53"/>
      <c r="AE80" s="54"/>
      <c r="AF80" s="56"/>
      <c r="AG80" s="53"/>
      <c r="AH80" s="53"/>
      <c r="AI80" s="53"/>
      <c r="AJ80" s="54"/>
      <c r="AK80" s="57"/>
      <c r="AL80" s="53"/>
      <c r="AM80" s="53"/>
      <c r="AN80" s="53"/>
      <c r="AO80" s="54"/>
      <c r="AP80" s="56"/>
      <c r="AQ80" s="53"/>
      <c r="AR80" s="53"/>
      <c r="AS80" s="53"/>
      <c r="AT80" s="54"/>
      <c r="AU80" s="56"/>
      <c r="AV80" s="53"/>
      <c r="AW80" s="53"/>
      <c r="AX80" s="53"/>
      <c r="AY80" s="54"/>
      <c r="AZ80" s="58"/>
      <c r="BA80" s="59"/>
      <c r="BB80" s="124"/>
      <c r="BC80" s="124"/>
      <c r="BD80" s="124"/>
      <c r="BE80" s="124"/>
      <c r="BF80" s="124"/>
      <c r="BG80" s="124"/>
      <c r="BH80" s="124"/>
      <c r="BJ80" s="19"/>
      <c r="BK80" s="19"/>
      <c r="BL80" s="19"/>
      <c r="BM80" s="19"/>
      <c r="BN80" s="124"/>
      <c r="BO80" s="125"/>
      <c r="BP80" s="126"/>
      <c r="BQ80" s="21"/>
      <c r="BR80" s="68"/>
      <c r="BS80" s="68"/>
      <c r="BT80" s="68"/>
      <c r="BU80" s="1">
        <v>484</v>
      </c>
    </row>
    <row r="81" spans="1:214" ht="15" customHeight="1" thickBot="1" x14ac:dyDescent="0.35">
      <c r="A81" s="1"/>
      <c r="B81" s="275">
        <v>71</v>
      </c>
      <c r="C81" s="34">
        <f t="shared" ref="C81:C100" si="136">C80+1</f>
        <v>1</v>
      </c>
      <c r="D81" s="274" t="s">
        <v>87</v>
      </c>
      <c r="E81" s="233">
        <v>1</v>
      </c>
      <c r="F81" s="233"/>
      <c r="G81" s="233">
        <v>1</v>
      </c>
      <c r="H81" s="233"/>
      <c r="I81" s="233">
        <v>1</v>
      </c>
      <c r="J81" s="233"/>
      <c r="K81" s="361">
        <v>0</v>
      </c>
      <c r="L81" s="361" t="s">
        <v>166</v>
      </c>
      <c r="M81" s="233">
        <v>1</v>
      </c>
      <c r="N81" s="233"/>
      <c r="O81" s="233">
        <v>1</v>
      </c>
      <c r="P81" s="233"/>
      <c r="Q81" s="233">
        <v>1</v>
      </c>
      <c r="R81" s="339">
        <v>2000</v>
      </c>
      <c r="S81" s="51">
        <f t="shared" ref="S81:S99" si="137">+BH81</f>
        <v>0</v>
      </c>
      <c r="T81" s="11">
        <f t="shared" ref="T81:T100" si="138">+BA81</f>
        <v>1714</v>
      </c>
      <c r="U81" s="52">
        <f t="shared" ref="U81:U99" si="139">+BP81</f>
        <v>0</v>
      </c>
      <c r="V81" s="52">
        <f t="shared" ref="V81:V99" si="140">+BG81</f>
        <v>0</v>
      </c>
      <c r="W81" s="53">
        <f t="shared" ref="W81:W100" si="141">(R81-86.16)/6*E81</f>
        <v>318.9733333333333</v>
      </c>
      <c r="X81" s="53">
        <f t="shared" ref="X81:X100" si="142">$Y$2*E81*Q81</f>
        <v>7.18</v>
      </c>
      <c r="Y81" s="53">
        <f t="shared" ref="Y81:Y100" si="143">$Y$2*E81*Q81</f>
        <v>7.18</v>
      </c>
      <c r="Z81" s="54">
        <f t="shared" ref="Z81:Z100" si="144">Y81+X81+W81</f>
        <v>333.33333333333331</v>
      </c>
      <c r="AA81" s="55"/>
      <c r="AB81" s="53">
        <f t="shared" ref="AB81:AB100" si="145">(R81-86.16)/6*G81</f>
        <v>318.9733333333333</v>
      </c>
      <c r="AC81" s="53">
        <f t="shared" ref="AC81:AC100" si="146">$Y$2*G81*Q81</f>
        <v>7.18</v>
      </c>
      <c r="AD81" s="53">
        <f t="shared" ref="AD81:AD100" si="147">$Y$2*G81*Q81</f>
        <v>7.18</v>
      </c>
      <c r="AE81" s="54">
        <f t="shared" ref="AE81:AE100" si="148">AD81+AC81+AB81</f>
        <v>333.33333333333331</v>
      </c>
      <c r="AF81" s="56"/>
      <c r="AG81" s="53">
        <f t="shared" ref="AG81:AG100" si="149">(R81-86.16)/6*I81</f>
        <v>318.9733333333333</v>
      </c>
      <c r="AH81" s="53">
        <f t="shared" ref="AH81:AH100" si="150">$Y$2*I81*Q81</f>
        <v>7.18</v>
      </c>
      <c r="AI81" s="53">
        <f t="shared" ref="AI81:AI101" si="151">$Y$2*I81*Q81</f>
        <v>7.18</v>
      </c>
      <c r="AJ81" s="54">
        <f t="shared" ref="AJ81:AJ100" si="152">AI81+AH81+AG81</f>
        <v>333.33333333333331</v>
      </c>
      <c r="AK81" s="57"/>
      <c r="AL81" s="53">
        <f t="shared" ref="AL81:AL100" si="153">(R81-86.16)/6*K81</f>
        <v>0</v>
      </c>
      <c r="AM81" s="53">
        <f t="shared" ref="AM81:AM100" si="154">$Y$2*K81*Q81</f>
        <v>0</v>
      </c>
      <c r="AN81" s="53">
        <f t="shared" ref="AN81:AN100" si="155">$Y$2*K81*Q81</f>
        <v>0</v>
      </c>
      <c r="AO81" s="54">
        <f t="shared" ref="AO81:AO100" si="156">AN81+AM81+AL81</f>
        <v>0</v>
      </c>
      <c r="AP81" s="56"/>
      <c r="AQ81" s="53">
        <f t="shared" ref="AQ81:AQ100" si="157">(R81-86.16)/6*M81</f>
        <v>318.9733333333333</v>
      </c>
      <c r="AR81" s="53">
        <f t="shared" ref="AR81:AR100" si="158">$Y$2*M81*Q81</f>
        <v>7.18</v>
      </c>
      <c r="AS81" s="53">
        <f t="shared" ref="AS81:AS100" si="159">$Y$2*M81*Q81</f>
        <v>7.18</v>
      </c>
      <c r="AT81" s="54">
        <f t="shared" ref="AT81:AT101" si="160">AS81+AR81+AQ81</f>
        <v>333.33333333333331</v>
      </c>
      <c r="AU81" s="56"/>
      <c r="AV81" s="53">
        <f t="shared" ref="AV81:AV100" si="161">(R81-86.16)/6*O81</f>
        <v>318.9733333333333</v>
      </c>
      <c r="AW81" s="53">
        <f t="shared" ref="AW81:AW100" si="162">$Y$2*O81*Q81</f>
        <v>7.18</v>
      </c>
      <c r="AX81" s="53">
        <f t="shared" ref="AX81:AX100" si="163">$Y$2*O81*Q81</f>
        <v>7.18</v>
      </c>
      <c r="AY81" s="54">
        <f t="shared" ref="AY81:AY100" si="164">AX81+AW81+AV81</f>
        <v>333.33333333333331</v>
      </c>
      <c r="AZ81" s="58">
        <f>+AY81+AT81+AO81++AJ81+AE81+Z81</f>
        <v>1666.6666666666665</v>
      </c>
      <c r="BA81" s="59">
        <v>1714</v>
      </c>
      <c r="BB81" s="60"/>
      <c r="BC81" s="60"/>
      <c r="BD81" s="60"/>
      <c r="BE81" s="60"/>
      <c r="BF81" s="60"/>
      <c r="BG81" s="61"/>
      <c r="BH81" s="62"/>
      <c r="BI81" s="63"/>
      <c r="BJ81" s="63"/>
      <c r="BK81" s="63"/>
      <c r="BL81" s="63"/>
      <c r="BM81" s="19"/>
      <c r="BN81" s="124"/>
      <c r="BO81" s="125"/>
      <c r="BP81" s="126"/>
      <c r="BQ81" s="21"/>
      <c r="BR81" s="68"/>
      <c r="BS81" s="68"/>
      <c r="BT81" s="68"/>
      <c r="BU81" s="1"/>
    </row>
    <row r="82" spans="1:214" ht="16.5" customHeight="1" thickBot="1" x14ac:dyDescent="0.35">
      <c r="A82" s="1"/>
      <c r="B82" s="375">
        <v>147</v>
      </c>
      <c r="C82" s="34">
        <f t="shared" si="136"/>
        <v>2</v>
      </c>
      <c r="D82" s="343" t="s">
        <v>123</v>
      </c>
      <c r="E82" s="233">
        <v>1</v>
      </c>
      <c r="F82" s="233"/>
      <c r="G82" s="233">
        <v>1</v>
      </c>
      <c r="H82" s="233"/>
      <c r="I82" s="233">
        <v>1</v>
      </c>
      <c r="J82" s="233"/>
      <c r="K82" s="233">
        <v>1</v>
      </c>
      <c r="L82" s="233"/>
      <c r="M82" s="233">
        <v>1</v>
      </c>
      <c r="N82" s="233"/>
      <c r="O82" s="233">
        <v>1</v>
      </c>
      <c r="P82" s="233"/>
      <c r="Q82" s="233">
        <v>1</v>
      </c>
      <c r="R82" s="50">
        <f t="shared" ref="R82:R84" si="165">IF(Q82=1,1550,850)</f>
        <v>1550</v>
      </c>
      <c r="S82" s="51">
        <f t="shared" ref="S82" si="166">+BH82</f>
        <v>0</v>
      </c>
      <c r="T82" s="11">
        <f t="shared" ref="T82" si="167">+BA82</f>
        <v>1999.9999999999998</v>
      </c>
      <c r="U82" s="52">
        <f t="shared" ref="U82" si="168">+BP82</f>
        <v>0</v>
      </c>
      <c r="V82" s="52" t="str">
        <f t="shared" ref="V82" si="169">+BG82</f>
        <v>BONO+B ASIS</v>
      </c>
      <c r="W82" s="53">
        <f t="shared" si="141"/>
        <v>243.97333333333333</v>
      </c>
      <c r="X82" s="53">
        <f t="shared" si="142"/>
        <v>7.18</v>
      </c>
      <c r="Y82" s="53">
        <f t="shared" si="143"/>
        <v>7.18</v>
      </c>
      <c r="Z82" s="54">
        <f t="shared" si="144"/>
        <v>258.33333333333331</v>
      </c>
      <c r="AA82" s="55"/>
      <c r="AB82" s="53">
        <f t="shared" si="145"/>
        <v>243.97333333333333</v>
      </c>
      <c r="AC82" s="53">
        <f t="shared" si="146"/>
        <v>7.18</v>
      </c>
      <c r="AD82" s="53">
        <f t="shared" si="147"/>
        <v>7.18</v>
      </c>
      <c r="AE82" s="54">
        <f t="shared" si="148"/>
        <v>258.33333333333331</v>
      </c>
      <c r="AF82" s="56"/>
      <c r="AG82" s="53">
        <f t="shared" si="149"/>
        <v>243.97333333333333</v>
      </c>
      <c r="AH82" s="53">
        <f t="shared" si="150"/>
        <v>7.18</v>
      </c>
      <c r="AI82" s="53">
        <f t="shared" si="151"/>
        <v>7.18</v>
      </c>
      <c r="AJ82" s="54">
        <f t="shared" si="152"/>
        <v>258.33333333333331</v>
      </c>
      <c r="AK82" s="57"/>
      <c r="AL82" s="53">
        <f t="shared" si="153"/>
        <v>243.97333333333333</v>
      </c>
      <c r="AM82" s="53">
        <f t="shared" si="154"/>
        <v>7.18</v>
      </c>
      <c r="AN82" s="53">
        <f t="shared" si="155"/>
        <v>7.18</v>
      </c>
      <c r="AO82" s="54">
        <f t="shared" si="156"/>
        <v>258.33333333333331</v>
      </c>
      <c r="AP82" s="56"/>
      <c r="AQ82" s="53">
        <f t="shared" si="157"/>
        <v>243.97333333333333</v>
      </c>
      <c r="AR82" s="53">
        <f t="shared" si="158"/>
        <v>7.18</v>
      </c>
      <c r="AS82" s="53">
        <f t="shared" si="159"/>
        <v>7.18</v>
      </c>
      <c r="AT82" s="54">
        <f t="shared" si="160"/>
        <v>258.33333333333331</v>
      </c>
      <c r="AU82" s="56"/>
      <c r="AV82" s="53">
        <f t="shared" si="161"/>
        <v>243.97333333333333</v>
      </c>
      <c r="AW82" s="53">
        <f t="shared" si="162"/>
        <v>7.18</v>
      </c>
      <c r="AX82" s="53">
        <f t="shared" si="163"/>
        <v>7.18</v>
      </c>
      <c r="AY82" s="54">
        <f t="shared" si="164"/>
        <v>258.33333333333331</v>
      </c>
      <c r="AZ82" s="58">
        <f t="shared" ref="AZ82:AZ100" si="170">+AY82+AT82+AO82++AJ82+AE82+Z82</f>
        <v>1549.9999999999998</v>
      </c>
      <c r="BA82" s="59">
        <f>((AZ82-BB82-BC82-BD82-BE82-BF82)+BI82+BJ82+BK82+BL82+BM82+BN82+BO82)</f>
        <v>1999.9999999999998</v>
      </c>
      <c r="BB82" s="60"/>
      <c r="BC82" s="60"/>
      <c r="BD82" s="60"/>
      <c r="BE82" s="60"/>
      <c r="BF82" s="60"/>
      <c r="BG82" s="61" t="s">
        <v>133</v>
      </c>
      <c r="BH82" s="62"/>
      <c r="BI82" s="63">
        <v>300</v>
      </c>
      <c r="BJ82" s="63">
        <v>150</v>
      </c>
      <c r="BK82" s="63"/>
      <c r="BL82" s="63"/>
      <c r="BM82" s="19"/>
      <c r="BN82" s="124"/>
      <c r="BO82" s="125"/>
      <c r="BP82" s="126"/>
      <c r="BQ82" s="21"/>
      <c r="BR82" s="68"/>
      <c r="BS82" s="68"/>
      <c r="BT82" s="68"/>
      <c r="BU82" s="1"/>
    </row>
    <row r="83" spans="1:214" ht="14.25" customHeight="1" thickBot="1" x14ac:dyDescent="0.35">
      <c r="A83" s="1"/>
      <c r="B83" s="375">
        <v>127</v>
      </c>
      <c r="C83" s="34">
        <f t="shared" si="136"/>
        <v>3</v>
      </c>
      <c r="D83" s="376" t="s">
        <v>114</v>
      </c>
      <c r="E83" s="233">
        <v>1</v>
      </c>
      <c r="F83" s="233"/>
      <c r="G83" s="233">
        <v>1</v>
      </c>
      <c r="H83" s="233"/>
      <c r="I83" s="233">
        <v>1</v>
      </c>
      <c r="J83" s="233"/>
      <c r="K83" s="233">
        <v>1</v>
      </c>
      <c r="L83" s="233"/>
      <c r="M83" s="233">
        <v>1</v>
      </c>
      <c r="N83" s="233"/>
      <c r="O83" s="233">
        <v>1</v>
      </c>
      <c r="P83" s="233"/>
      <c r="Q83" s="233">
        <v>1</v>
      </c>
      <c r="R83" s="50">
        <f t="shared" si="165"/>
        <v>1550</v>
      </c>
      <c r="S83" s="51">
        <f t="shared" si="137"/>
        <v>0</v>
      </c>
      <c r="T83" s="11">
        <f t="shared" si="138"/>
        <v>1799.9999999999998</v>
      </c>
      <c r="U83" s="52">
        <f t="shared" si="139"/>
        <v>0</v>
      </c>
      <c r="V83" s="52" t="str">
        <f t="shared" si="140"/>
        <v>BONO</v>
      </c>
      <c r="W83" s="53">
        <f t="shared" si="141"/>
        <v>243.97333333333333</v>
      </c>
      <c r="X83" s="53">
        <f t="shared" si="142"/>
        <v>7.18</v>
      </c>
      <c r="Y83" s="53">
        <f t="shared" si="143"/>
        <v>7.18</v>
      </c>
      <c r="Z83" s="54">
        <f t="shared" si="144"/>
        <v>258.33333333333331</v>
      </c>
      <c r="AA83" s="55"/>
      <c r="AB83" s="53">
        <f t="shared" si="145"/>
        <v>243.97333333333333</v>
      </c>
      <c r="AC83" s="53">
        <f t="shared" si="146"/>
        <v>7.18</v>
      </c>
      <c r="AD83" s="53">
        <f t="shared" si="147"/>
        <v>7.18</v>
      </c>
      <c r="AE83" s="54">
        <f t="shared" si="148"/>
        <v>258.33333333333331</v>
      </c>
      <c r="AF83" s="56"/>
      <c r="AG83" s="53">
        <f t="shared" si="149"/>
        <v>243.97333333333333</v>
      </c>
      <c r="AH83" s="53">
        <f t="shared" si="150"/>
        <v>7.18</v>
      </c>
      <c r="AI83" s="53">
        <f t="shared" si="151"/>
        <v>7.18</v>
      </c>
      <c r="AJ83" s="54">
        <f t="shared" si="152"/>
        <v>258.33333333333331</v>
      </c>
      <c r="AK83" s="57"/>
      <c r="AL83" s="53">
        <f t="shared" si="153"/>
        <v>243.97333333333333</v>
      </c>
      <c r="AM83" s="53">
        <f t="shared" si="154"/>
        <v>7.18</v>
      </c>
      <c r="AN83" s="53">
        <f t="shared" si="155"/>
        <v>7.18</v>
      </c>
      <c r="AO83" s="54">
        <f t="shared" si="156"/>
        <v>258.33333333333331</v>
      </c>
      <c r="AP83" s="56"/>
      <c r="AQ83" s="53">
        <f t="shared" si="157"/>
        <v>243.97333333333333</v>
      </c>
      <c r="AR83" s="53">
        <f t="shared" si="158"/>
        <v>7.18</v>
      </c>
      <c r="AS83" s="53">
        <f t="shared" si="159"/>
        <v>7.18</v>
      </c>
      <c r="AT83" s="54">
        <f t="shared" si="160"/>
        <v>258.33333333333331</v>
      </c>
      <c r="AU83" s="56"/>
      <c r="AV83" s="53">
        <f t="shared" si="161"/>
        <v>243.97333333333333</v>
      </c>
      <c r="AW83" s="53">
        <f t="shared" si="162"/>
        <v>7.18</v>
      </c>
      <c r="AX83" s="53">
        <f t="shared" si="163"/>
        <v>7.18</v>
      </c>
      <c r="AY83" s="54">
        <f t="shared" si="164"/>
        <v>258.33333333333331</v>
      </c>
      <c r="AZ83" s="58">
        <f t="shared" si="170"/>
        <v>1549.9999999999998</v>
      </c>
      <c r="BA83" s="59">
        <f>((AZ83-BB83-BC83-BD83-BE83-BF83)+BI83+BJ83+BK83+BL83+BM83+BN83+BO83)</f>
        <v>1799.9999999999998</v>
      </c>
      <c r="BB83" s="60"/>
      <c r="BC83" s="60"/>
      <c r="BD83" s="60"/>
      <c r="BE83" s="60"/>
      <c r="BF83" s="60"/>
      <c r="BG83" s="61" t="s">
        <v>7</v>
      </c>
      <c r="BH83" s="62"/>
      <c r="BI83" s="63">
        <v>250</v>
      </c>
      <c r="BJ83" s="63">
        <v>0</v>
      </c>
      <c r="BK83" s="63"/>
      <c r="BL83" s="63"/>
      <c r="BM83" s="19"/>
      <c r="BN83" s="124"/>
      <c r="BO83" s="125"/>
      <c r="BP83" s="126"/>
      <c r="BQ83" s="21"/>
      <c r="BR83" s="68"/>
      <c r="BS83" s="68"/>
      <c r="BT83" s="68"/>
      <c r="BU83" s="1"/>
    </row>
    <row r="84" spans="1:214" ht="14.25" customHeight="1" thickBot="1" x14ac:dyDescent="0.35">
      <c r="A84" s="1"/>
      <c r="B84" s="375">
        <v>69</v>
      </c>
      <c r="C84" s="34">
        <f t="shared" si="136"/>
        <v>4</v>
      </c>
      <c r="D84" s="376" t="s">
        <v>88</v>
      </c>
      <c r="E84" s="233">
        <v>1</v>
      </c>
      <c r="F84" s="233"/>
      <c r="G84" s="233">
        <v>1</v>
      </c>
      <c r="H84" s="233"/>
      <c r="I84" s="233">
        <v>1</v>
      </c>
      <c r="J84" s="233"/>
      <c r="K84" s="233">
        <v>1</v>
      </c>
      <c r="L84" s="233"/>
      <c r="M84" s="233">
        <v>1</v>
      </c>
      <c r="N84" s="233"/>
      <c r="O84" s="233">
        <v>1</v>
      </c>
      <c r="P84" s="233"/>
      <c r="Q84" s="233">
        <v>1</v>
      </c>
      <c r="R84" s="50">
        <f t="shared" si="165"/>
        <v>1550</v>
      </c>
      <c r="S84" s="51">
        <f t="shared" si="137"/>
        <v>0</v>
      </c>
      <c r="T84" s="11">
        <f t="shared" si="138"/>
        <v>1799.9999999999998</v>
      </c>
      <c r="U84" s="52">
        <f t="shared" si="139"/>
        <v>0</v>
      </c>
      <c r="V84" s="52" t="str">
        <f t="shared" si="140"/>
        <v>BONO</v>
      </c>
      <c r="W84" s="53">
        <f t="shared" si="141"/>
        <v>243.97333333333333</v>
      </c>
      <c r="X84" s="53">
        <f t="shared" si="142"/>
        <v>7.18</v>
      </c>
      <c r="Y84" s="53">
        <f t="shared" si="143"/>
        <v>7.18</v>
      </c>
      <c r="Z84" s="54">
        <f t="shared" si="144"/>
        <v>258.33333333333331</v>
      </c>
      <c r="AA84" s="55"/>
      <c r="AB84" s="53">
        <f t="shared" si="145"/>
        <v>243.97333333333333</v>
      </c>
      <c r="AC84" s="53">
        <f t="shared" si="146"/>
        <v>7.18</v>
      </c>
      <c r="AD84" s="53">
        <f t="shared" si="147"/>
        <v>7.18</v>
      </c>
      <c r="AE84" s="54">
        <f t="shared" si="148"/>
        <v>258.33333333333331</v>
      </c>
      <c r="AF84" s="56"/>
      <c r="AG84" s="53">
        <f t="shared" si="149"/>
        <v>243.97333333333333</v>
      </c>
      <c r="AH84" s="53">
        <f t="shared" si="150"/>
        <v>7.18</v>
      </c>
      <c r="AI84" s="53">
        <f t="shared" si="151"/>
        <v>7.18</v>
      </c>
      <c r="AJ84" s="54">
        <f t="shared" si="152"/>
        <v>258.33333333333331</v>
      </c>
      <c r="AK84" s="57"/>
      <c r="AL84" s="53">
        <f t="shared" si="153"/>
        <v>243.97333333333333</v>
      </c>
      <c r="AM84" s="53">
        <f t="shared" si="154"/>
        <v>7.18</v>
      </c>
      <c r="AN84" s="53">
        <f t="shared" si="155"/>
        <v>7.18</v>
      </c>
      <c r="AO84" s="54">
        <f t="shared" si="156"/>
        <v>258.33333333333331</v>
      </c>
      <c r="AP84" s="56"/>
      <c r="AQ84" s="53">
        <f t="shared" si="157"/>
        <v>243.97333333333333</v>
      </c>
      <c r="AR84" s="53">
        <f t="shared" si="158"/>
        <v>7.18</v>
      </c>
      <c r="AS84" s="53">
        <f t="shared" si="159"/>
        <v>7.18</v>
      </c>
      <c r="AT84" s="54">
        <f t="shared" si="160"/>
        <v>258.33333333333331</v>
      </c>
      <c r="AU84" s="56"/>
      <c r="AV84" s="53">
        <f t="shared" si="161"/>
        <v>243.97333333333333</v>
      </c>
      <c r="AW84" s="53">
        <f t="shared" si="162"/>
        <v>7.18</v>
      </c>
      <c r="AX84" s="53">
        <f t="shared" si="163"/>
        <v>7.18</v>
      </c>
      <c r="AY84" s="54">
        <f t="shared" si="164"/>
        <v>258.33333333333331</v>
      </c>
      <c r="AZ84" s="58">
        <f t="shared" si="170"/>
        <v>1549.9999999999998</v>
      </c>
      <c r="BA84" s="59">
        <f>((AZ84-BB84-BC84-BD84-BE84-BF84)+BI84+BJ84+BK84+BL84+BM84+BN84+BO84)</f>
        <v>1799.9999999999998</v>
      </c>
      <c r="BB84" s="60"/>
      <c r="BC84" s="60"/>
      <c r="BD84" s="60"/>
      <c r="BE84" s="60"/>
      <c r="BF84" s="60"/>
      <c r="BG84" s="61" t="s">
        <v>7</v>
      </c>
      <c r="BH84" s="62"/>
      <c r="BI84" s="63">
        <v>250</v>
      </c>
      <c r="BJ84" s="63"/>
      <c r="BK84" s="63"/>
      <c r="BL84" s="63"/>
      <c r="BM84" s="19"/>
      <c r="BN84" s="124"/>
      <c r="BO84" s="125"/>
      <c r="BP84" s="126"/>
      <c r="BQ84" s="21"/>
      <c r="BR84" s="68"/>
      <c r="BS84" s="68"/>
      <c r="BT84" s="68"/>
      <c r="BU84" s="1"/>
    </row>
    <row r="85" spans="1:214" ht="15.75" customHeight="1" thickBot="1" x14ac:dyDescent="0.35">
      <c r="A85" s="1"/>
      <c r="B85" s="275">
        <v>107</v>
      </c>
      <c r="C85" s="34">
        <f t="shared" si="136"/>
        <v>5</v>
      </c>
      <c r="D85" s="274" t="s">
        <v>103</v>
      </c>
      <c r="E85" s="233">
        <v>1</v>
      </c>
      <c r="F85" s="233"/>
      <c r="G85" s="233">
        <v>1</v>
      </c>
      <c r="H85" s="233"/>
      <c r="I85" s="233">
        <v>1</v>
      </c>
      <c r="J85" s="233"/>
      <c r="K85" s="233">
        <v>1</v>
      </c>
      <c r="L85" s="233"/>
      <c r="M85" s="233">
        <v>1</v>
      </c>
      <c r="N85" s="233"/>
      <c r="O85" s="233">
        <v>1</v>
      </c>
      <c r="P85" s="233"/>
      <c r="Q85" s="233">
        <v>1</v>
      </c>
      <c r="R85" s="339">
        <v>2000</v>
      </c>
      <c r="S85" s="51">
        <f t="shared" si="137"/>
        <v>0</v>
      </c>
      <c r="T85" s="11">
        <f t="shared" si="138"/>
        <v>2500</v>
      </c>
      <c r="U85" s="52">
        <f t="shared" si="139"/>
        <v>0</v>
      </c>
      <c r="V85" s="52" t="str">
        <f t="shared" si="140"/>
        <v>BONO+B ASIS</v>
      </c>
      <c r="W85" s="53">
        <f t="shared" si="141"/>
        <v>318.9733333333333</v>
      </c>
      <c r="X85" s="53">
        <f t="shared" si="142"/>
        <v>7.18</v>
      </c>
      <c r="Y85" s="53">
        <f t="shared" si="143"/>
        <v>7.18</v>
      </c>
      <c r="Z85" s="54">
        <f t="shared" si="144"/>
        <v>333.33333333333331</v>
      </c>
      <c r="AA85" s="55"/>
      <c r="AB85" s="53">
        <f t="shared" si="145"/>
        <v>318.9733333333333</v>
      </c>
      <c r="AC85" s="53">
        <f t="shared" si="146"/>
        <v>7.18</v>
      </c>
      <c r="AD85" s="53">
        <f t="shared" si="147"/>
        <v>7.18</v>
      </c>
      <c r="AE85" s="54">
        <f t="shared" si="148"/>
        <v>333.33333333333331</v>
      </c>
      <c r="AF85" s="56"/>
      <c r="AG85" s="53">
        <f t="shared" si="149"/>
        <v>318.9733333333333</v>
      </c>
      <c r="AH85" s="53">
        <f t="shared" si="150"/>
        <v>7.18</v>
      </c>
      <c r="AI85" s="53">
        <f t="shared" si="151"/>
        <v>7.18</v>
      </c>
      <c r="AJ85" s="54">
        <f t="shared" si="152"/>
        <v>333.33333333333331</v>
      </c>
      <c r="AK85" s="57"/>
      <c r="AL85" s="53">
        <f t="shared" si="153"/>
        <v>318.9733333333333</v>
      </c>
      <c r="AM85" s="53">
        <f t="shared" si="154"/>
        <v>7.18</v>
      </c>
      <c r="AN85" s="53">
        <f t="shared" si="155"/>
        <v>7.18</v>
      </c>
      <c r="AO85" s="54">
        <f t="shared" si="156"/>
        <v>333.33333333333331</v>
      </c>
      <c r="AP85" s="56"/>
      <c r="AQ85" s="53">
        <f t="shared" si="157"/>
        <v>318.9733333333333</v>
      </c>
      <c r="AR85" s="53">
        <f t="shared" si="158"/>
        <v>7.18</v>
      </c>
      <c r="AS85" s="53">
        <f t="shared" si="159"/>
        <v>7.18</v>
      </c>
      <c r="AT85" s="54">
        <f t="shared" si="160"/>
        <v>333.33333333333331</v>
      </c>
      <c r="AU85" s="56"/>
      <c r="AV85" s="53">
        <f t="shared" si="161"/>
        <v>318.9733333333333</v>
      </c>
      <c r="AW85" s="53">
        <f t="shared" si="162"/>
        <v>7.18</v>
      </c>
      <c r="AX85" s="53">
        <f t="shared" si="163"/>
        <v>7.18</v>
      </c>
      <c r="AY85" s="54">
        <f t="shared" si="164"/>
        <v>333.33333333333331</v>
      </c>
      <c r="AZ85" s="58">
        <f t="shared" si="170"/>
        <v>1999.9999999999998</v>
      </c>
      <c r="BA85" s="59">
        <f>((AZ85-BB85-BC85-BD85-BE85-BF85)+BI85+BJ85+BK85+BL85+BM85+BN85+BO85)</f>
        <v>2500</v>
      </c>
      <c r="BB85" s="60"/>
      <c r="BC85" s="60"/>
      <c r="BD85" s="60"/>
      <c r="BE85" s="60"/>
      <c r="BF85" s="60"/>
      <c r="BG85" s="61" t="s">
        <v>133</v>
      </c>
      <c r="BH85" s="62"/>
      <c r="BI85" s="63">
        <v>350</v>
      </c>
      <c r="BJ85" s="63">
        <v>150</v>
      </c>
      <c r="BK85" s="64"/>
      <c r="BL85" s="63"/>
      <c r="BM85" s="65"/>
      <c r="BN85" s="65"/>
      <c r="BO85" s="66"/>
      <c r="BP85" s="67"/>
      <c r="BQ85" s="21"/>
      <c r="BR85" s="48"/>
      <c r="BS85" s="48"/>
      <c r="BT85" s="68"/>
      <c r="BU85" s="1"/>
      <c r="GG85" s="69"/>
      <c r="GH85" s="69"/>
      <c r="GI85" s="69"/>
      <c r="GJ85" s="69"/>
      <c r="GK85" s="69"/>
      <c r="GL85" s="69"/>
      <c r="GM85" s="69"/>
      <c r="GN85" s="69"/>
      <c r="GO85" s="69"/>
      <c r="GP85" s="69"/>
      <c r="GQ85" s="69"/>
      <c r="GR85" s="69"/>
      <c r="GS85" s="69"/>
      <c r="GT85" s="69"/>
      <c r="GU85" s="69"/>
      <c r="GV85" s="69"/>
      <c r="GW85" s="69"/>
      <c r="GX85" s="69"/>
      <c r="GY85" s="69"/>
      <c r="GZ85" s="69"/>
      <c r="HA85" s="69"/>
      <c r="HB85" s="69"/>
      <c r="HC85" s="69"/>
      <c r="HD85" s="69"/>
      <c r="HE85" s="69"/>
      <c r="HF85" s="69"/>
    </row>
    <row r="86" spans="1:214" s="69" customFormat="1" ht="15.75" customHeight="1" thickBot="1" x14ac:dyDescent="0.35">
      <c r="A86" s="1">
        <v>421</v>
      </c>
      <c r="B86" s="275">
        <v>63</v>
      </c>
      <c r="C86" s="34">
        <f t="shared" si="136"/>
        <v>6</v>
      </c>
      <c r="D86" s="274" t="s">
        <v>45</v>
      </c>
      <c r="E86" s="233">
        <v>1</v>
      </c>
      <c r="F86" s="233"/>
      <c r="G86" s="233">
        <v>1</v>
      </c>
      <c r="H86" s="233"/>
      <c r="I86" s="233">
        <v>1</v>
      </c>
      <c r="J86" s="233"/>
      <c r="K86" s="233">
        <v>1</v>
      </c>
      <c r="L86" s="233"/>
      <c r="M86" s="233">
        <v>1</v>
      </c>
      <c r="N86" s="233"/>
      <c r="O86" s="233">
        <v>1</v>
      </c>
      <c r="P86" s="233"/>
      <c r="Q86" s="233">
        <v>1</v>
      </c>
      <c r="R86" s="339">
        <v>7000</v>
      </c>
      <c r="S86" s="51">
        <f t="shared" si="137"/>
        <v>0</v>
      </c>
      <c r="T86" s="11">
        <f t="shared" si="138"/>
        <v>10500</v>
      </c>
      <c r="U86" s="52">
        <f t="shared" si="139"/>
        <v>0</v>
      </c>
      <c r="V86" s="52" t="str">
        <f t="shared" si="140"/>
        <v>PV2A 2/2</v>
      </c>
      <c r="W86" s="53">
        <f t="shared" si="141"/>
        <v>1152.3066666666666</v>
      </c>
      <c r="X86" s="53">
        <f t="shared" si="142"/>
        <v>7.18</v>
      </c>
      <c r="Y86" s="53">
        <f t="shared" si="143"/>
        <v>7.18</v>
      </c>
      <c r="Z86" s="54">
        <f t="shared" si="144"/>
        <v>1166.6666666666665</v>
      </c>
      <c r="AA86" s="55"/>
      <c r="AB86" s="53">
        <f t="shared" si="145"/>
        <v>1152.3066666666666</v>
      </c>
      <c r="AC86" s="53">
        <f t="shared" si="146"/>
        <v>7.18</v>
      </c>
      <c r="AD86" s="53">
        <f t="shared" si="147"/>
        <v>7.18</v>
      </c>
      <c r="AE86" s="54">
        <f t="shared" si="148"/>
        <v>1166.6666666666665</v>
      </c>
      <c r="AF86" s="56"/>
      <c r="AG86" s="53">
        <f t="shared" si="149"/>
        <v>1152.3066666666666</v>
      </c>
      <c r="AH86" s="53">
        <f t="shared" si="150"/>
        <v>7.18</v>
      </c>
      <c r="AI86" s="53">
        <f t="shared" si="151"/>
        <v>7.18</v>
      </c>
      <c r="AJ86" s="54">
        <f t="shared" si="152"/>
        <v>1166.6666666666665</v>
      </c>
      <c r="AK86" s="57"/>
      <c r="AL86" s="53">
        <f t="shared" si="153"/>
        <v>1152.3066666666666</v>
      </c>
      <c r="AM86" s="53">
        <f t="shared" si="154"/>
        <v>7.18</v>
      </c>
      <c r="AN86" s="53">
        <f t="shared" si="155"/>
        <v>7.18</v>
      </c>
      <c r="AO86" s="54">
        <f t="shared" si="156"/>
        <v>1166.6666666666665</v>
      </c>
      <c r="AP86" s="56"/>
      <c r="AQ86" s="53">
        <f t="shared" si="157"/>
        <v>1152.3066666666666</v>
      </c>
      <c r="AR86" s="53">
        <f t="shared" si="158"/>
        <v>7.18</v>
      </c>
      <c r="AS86" s="53">
        <f t="shared" si="159"/>
        <v>7.18</v>
      </c>
      <c r="AT86" s="54">
        <f t="shared" si="160"/>
        <v>1166.6666666666665</v>
      </c>
      <c r="AU86" s="56"/>
      <c r="AV86" s="53">
        <f t="shared" si="161"/>
        <v>1152.3066666666666</v>
      </c>
      <c r="AW86" s="53">
        <f t="shared" si="162"/>
        <v>7.18</v>
      </c>
      <c r="AX86" s="53">
        <f t="shared" si="163"/>
        <v>7.18</v>
      </c>
      <c r="AY86" s="54">
        <f t="shared" si="164"/>
        <v>1166.6666666666665</v>
      </c>
      <c r="AZ86" s="58">
        <f t="shared" si="170"/>
        <v>6999.9999999999982</v>
      </c>
      <c r="BA86" s="345">
        <f>7000+BI86+BJ86+BK86+BL86+BM86</f>
        <v>10500</v>
      </c>
      <c r="BB86" s="60"/>
      <c r="BC86" s="60"/>
      <c r="BD86" s="60"/>
      <c r="BE86" s="60"/>
      <c r="BF86" s="60"/>
      <c r="BG86" s="131" t="s">
        <v>177</v>
      </c>
      <c r="BH86" s="17"/>
      <c r="BI86" s="64"/>
      <c r="BJ86" s="18"/>
      <c r="BK86" s="65"/>
      <c r="BL86" s="63"/>
      <c r="BM86" s="65">
        <v>3500</v>
      </c>
      <c r="BN86" s="65"/>
      <c r="BO86" s="66"/>
      <c r="BP86" s="67"/>
      <c r="BQ86" s="21"/>
      <c r="BR86" s="48"/>
      <c r="BS86" s="48"/>
      <c r="BT86" s="68"/>
      <c r="BU86" s="1">
        <v>421</v>
      </c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</row>
    <row r="87" spans="1:214" s="69" customFormat="1" ht="15.75" customHeight="1" thickBot="1" x14ac:dyDescent="0.35">
      <c r="A87" s="1"/>
      <c r="B87" s="275">
        <v>94</v>
      </c>
      <c r="C87" s="34">
        <f t="shared" si="136"/>
        <v>7</v>
      </c>
      <c r="D87" s="274" t="s">
        <v>96</v>
      </c>
      <c r="E87" s="233">
        <v>1</v>
      </c>
      <c r="F87" s="233"/>
      <c r="G87" s="233">
        <v>1</v>
      </c>
      <c r="H87" s="233"/>
      <c r="I87" s="233">
        <v>1</v>
      </c>
      <c r="J87" s="233"/>
      <c r="K87" s="233">
        <v>1</v>
      </c>
      <c r="L87" s="233"/>
      <c r="M87" s="233">
        <v>1</v>
      </c>
      <c r="N87" s="233"/>
      <c r="O87" s="233">
        <v>1</v>
      </c>
      <c r="P87" s="233"/>
      <c r="Q87" s="233">
        <v>1</v>
      </c>
      <c r="R87" s="339">
        <v>2000</v>
      </c>
      <c r="S87" s="51">
        <f t="shared" si="137"/>
        <v>0</v>
      </c>
      <c r="T87" s="11">
        <f t="shared" si="138"/>
        <v>2600</v>
      </c>
      <c r="U87" s="52">
        <f t="shared" si="139"/>
        <v>0</v>
      </c>
      <c r="V87" s="52" t="str">
        <f t="shared" si="140"/>
        <v>BONO+B ASIS</v>
      </c>
      <c r="W87" s="53">
        <f t="shared" si="141"/>
        <v>318.9733333333333</v>
      </c>
      <c r="X87" s="53">
        <f t="shared" si="142"/>
        <v>7.18</v>
      </c>
      <c r="Y87" s="53">
        <f t="shared" si="143"/>
        <v>7.18</v>
      </c>
      <c r="Z87" s="54">
        <f t="shared" si="144"/>
        <v>333.33333333333331</v>
      </c>
      <c r="AA87" s="55"/>
      <c r="AB87" s="53">
        <f t="shared" si="145"/>
        <v>318.9733333333333</v>
      </c>
      <c r="AC87" s="53">
        <f t="shared" si="146"/>
        <v>7.18</v>
      </c>
      <c r="AD87" s="53">
        <f t="shared" si="147"/>
        <v>7.18</v>
      </c>
      <c r="AE87" s="54">
        <f t="shared" si="148"/>
        <v>333.33333333333331</v>
      </c>
      <c r="AF87" s="56"/>
      <c r="AG87" s="53">
        <f t="shared" si="149"/>
        <v>318.9733333333333</v>
      </c>
      <c r="AH87" s="53">
        <f t="shared" si="150"/>
        <v>7.18</v>
      </c>
      <c r="AI87" s="53">
        <f t="shared" si="151"/>
        <v>7.18</v>
      </c>
      <c r="AJ87" s="54">
        <f t="shared" si="152"/>
        <v>333.33333333333331</v>
      </c>
      <c r="AK87" s="57"/>
      <c r="AL87" s="53">
        <f t="shared" si="153"/>
        <v>318.9733333333333</v>
      </c>
      <c r="AM87" s="53">
        <f t="shared" si="154"/>
        <v>7.18</v>
      </c>
      <c r="AN87" s="53">
        <f t="shared" si="155"/>
        <v>7.18</v>
      </c>
      <c r="AO87" s="54">
        <f t="shared" si="156"/>
        <v>333.33333333333331</v>
      </c>
      <c r="AP87" s="56"/>
      <c r="AQ87" s="53">
        <f t="shared" si="157"/>
        <v>318.9733333333333</v>
      </c>
      <c r="AR87" s="53">
        <f t="shared" si="158"/>
        <v>7.18</v>
      </c>
      <c r="AS87" s="53">
        <f t="shared" si="159"/>
        <v>7.18</v>
      </c>
      <c r="AT87" s="54">
        <f t="shared" si="160"/>
        <v>333.33333333333331</v>
      </c>
      <c r="AU87" s="56"/>
      <c r="AV87" s="53">
        <f t="shared" si="161"/>
        <v>318.9733333333333</v>
      </c>
      <c r="AW87" s="53">
        <f t="shared" si="162"/>
        <v>7.18</v>
      </c>
      <c r="AX87" s="53">
        <f t="shared" si="163"/>
        <v>7.18</v>
      </c>
      <c r="AY87" s="54">
        <f t="shared" si="164"/>
        <v>333.33333333333331</v>
      </c>
      <c r="AZ87" s="58">
        <f t="shared" si="170"/>
        <v>1999.9999999999998</v>
      </c>
      <c r="BA87" s="59">
        <f>((AZ87-BB87-BC87-BD87-BE87-BF87)+BI87+BJ87+BK87+BL87+BM87+BN87+BO87)</f>
        <v>2600</v>
      </c>
      <c r="BB87" s="60"/>
      <c r="BC87" s="60"/>
      <c r="BD87" s="60"/>
      <c r="BE87" s="60"/>
      <c r="BF87" s="60"/>
      <c r="BG87" s="61" t="s">
        <v>133</v>
      </c>
      <c r="BH87" s="17"/>
      <c r="BI87" s="64">
        <v>350</v>
      </c>
      <c r="BJ87" s="18">
        <v>250</v>
      </c>
      <c r="BK87" s="63"/>
      <c r="BL87" s="63"/>
      <c r="BM87" s="65"/>
      <c r="BN87" s="65"/>
      <c r="BO87" s="66"/>
      <c r="BP87" s="67"/>
      <c r="BQ87" s="21"/>
      <c r="BR87" s="48"/>
      <c r="BS87" s="48"/>
      <c r="BT87" s="68"/>
      <c r="BU87" s="1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</row>
    <row r="88" spans="1:214" s="69" customFormat="1" ht="15.75" customHeight="1" thickBot="1" x14ac:dyDescent="0.35">
      <c r="A88" s="1"/>
      <c r="B88" s="375">
        <v>167</v>
      </c>
      <c r="C88" s="34">
        <f t="shared" si="136"/>
        <v>8</v>
      </c>
      <c r="D88" s="376" t="s">
        <v>153</v>
      </c>
      <c r="E88" s="233">
        <v>1</v>
      </c>
      <c r="F88" s="233"/>
      <c r="G88" s="233">
        <v>1</v>
      </c>
      <c r="H88" s="233"/>
      <c r="I88" s="233">
        <v>1</v>
      </c>
      <c r="J88" s="233"/>
      <c r="K88" s="233">
        <v>1</v>
      </c>
      <c r="L88" s="233"/>
      <c r="M88" s="233">
        <v>1</v>
      </c>
      <c r="N88" s="233"/>
      <c r="O88" s="233">
        <v>1</v>
      </c>
      <c r="P88" s="233"/>
      <c r="Q88" s="233">
        <v>1</v>
      </c>
      <c r="R88" s="50">
        <f t="shared" ref="R88:R99" si="171">IF(Q88=1,1550,850)</f>
        <v>1550</v>
      </c>
      <c r="S88" s="51">
        <f t="shared" si="137"/>
        <v>0</v>
      </c>
      <c r="T88" s="11">
        <f t="shared" si="138"/>
        <v>1799.9999999999998</v>
      </c>
      <c r="U88" s="52">
        <f t="shared" si="139"/>
        <v>0</v>
      </c>
      <c r="V88" s="52" t="str">
        <f t="shared" si="140"/>
        <v>B ASIS</v>
      </c>
      <c r="W88" s="53">
        <f t="shared" si="141"/>
        <v>243.97333333333333</v>
      </c>
      <c r="X88" s="53">
        <f t="shared" si="142"/>
        <v>7.18</v>
      </c>
      <c r="Y88" s="53">
        <f t="shared" si="143"/>
        <v>7.18</v>
      </c>
      <c r="Z88" s="54">
        <f t="shared" si="144"/>
        <v>258.33333333333331</v>
      </c>
      <c r="AA88" s="55"/>
      <c r="AB88" s="53">
        <f t="shared" si="145"/>
        <v>243.97333333333333</v>
      </c>
      <c r="AC88" s="53">
        <f t="shared" si="146"/>
        <v>7.18</v>
      </c>
      <c r="AD88" s="53">
        <f t="shared" si="147"/>
        <v>7.18</v>
      </c>
      <c r="AE88" s="54">
        <f t="shared" si="148"/>
        <v>258.33333333333331</v>
      </c>
      <c r="AF88" s="56"/>
      <c r="AG88" s="53">
        <f t="shared" si="149"/>
        <v>243.97333333333333</v>
      </c>
      <c r="AH88" s="53">
        <f t="shared" si="150"/>
        <v>7.18</v>
      </c>
      <c r="AI88" s="53">
        <f t="shared" si="151"/>
        <v>7.18</v>
      </c>
      <c r="AJ88" s="54">
        <f t="shared" si="152"/>
        <v>258.33333333333331</v>
      </c>
      <c r="AK88" s="57"/>
      <c r="AL88" s="53">
        <f t="shared" si="153"/>
        <v>243.97333333333333</v>
      </c>
      <c r="AM88" s="53">
        <f t="shared" si="154"/>
        <v>7.18</v>
      </c>
      <c r="AN88" s="53">
        <f t="shared" si="155"/>
        <v>7.18</v>
      </c>
      <c r="AO88" s="54">
        <f t="shared" si="156"/>
        <v>258.33333333333331</v>
      </c>
      <c r="AP88" s="56"/>
      <c r="AQ88" s="53">
        <f t="shared" si="157"/>
        <v>243.97333333333333</v>
      </c>
      <c r="AR88" s="53">
        <f t="shared" si="158"/>
        <v>7.18</v>
      </c>
      <c r="AS88" s="53">
        <f t="shared" si="159"/>
        <v>7.18</v>
      </c>
      <c r="AT88" s="54">
        <f t="shared" si="160"/>
        <v>258.33333333333331</v>
      </c>
      <c r="AU88" s="56"/>
      <c r="AV88" s="53">
        <f t="shared" si="161"/>
        <v>243.97333333333333</v>
      </c>
      <c r="AW88" s="53">
        <f t="shared" si="162"/>
        <v>7.18</v>
      </c>
      <c r="AX88" s="53">
        <f t="shared" si="163"/>
        <v>7.18</v>
      </c>
      <c r="AY88" s="54">
        <f t="shared" si="164"/>
        <v>258.33333333333331</v>
      </c>
      <c r="AZ88" s="58">
        <f t="shared" si="170"/>
        <v>1549.9999999999998</v>
      </c>
      <c r="BA88" s="59">
        <f>((AZ88-BB88-BC88-BD88-BE88-BF88)+BI88+BJ88+BK88+BL88+BM88+BN88+BO88)</f>
        <v>1799.9999999999998</v>
      </c>
      <c r="BB88" s="60"/>
      <c r="BC88" s="60"/>
      <c r="BD88" s="60"/>
      <c r="BE88" s="60"/>
      <c r="BF88" s="60"/>
      <c r="BG88" s="61" t="s">
        <v>175</v>
      </c>
      <c r="BH88" s="17"/>
      <c r="BI88" s="64">
        <v>100</v>
      </c>
      <c r="BJ88" s="18">
        <v>150</v>
      </c>
      <c r="BK88" s="63"/>
      <c r="BL88" s="63"/>
      <c r="BM88" s="65"/>
      <c r="BN88" s="65"/>
      <c r="BO88" s="66"/>
      <c r="BP88" s="67"/>
      <c r="BQ88" s="21"/>
      <c r="BR88" s="48"/>
      <c r="BS88" s="48"/>
      <c r="BT88" s="68"/>
      <c r="BU88" s="1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</row>
    <row r="89" spans="1:214" s="69" customFormat="1" ht="15.75" customHeight="1" thickBot="1" x14ac:dyDescent="0.35">
      <c r="A89" s="1"/>
      <c r="B89" s="375">
        <v>143</v>
      </c>
      <c r="C89" s="34">
        <f t="shared" si="136"/>
        <v>9</v>
      </c>
      <c r="D89" s="343" t="s">
        <v>122</v>
      </c>
      <c r="E89" s="233">
        <v>1</v>
      </c>
      <c r="F89" s="233"/>
      <c r="G89" s="233">
        <v>1</v>
      </c>
      <c r="H89" s="233"/>
      <c r="I89" s="233">
        <v>1</v>
      </c>
      <c r="J89" s="233"/>
      <c r="K89" s="233">
        <v>1</v>
      </c>
      <c r="L89" s="233"/>
      <c r="M89" s="233">
        <v>1</v>
      </c>
      <c r="N89" s="233"/>
      <c r="O89" s="233">
        <v>1</v>
      </c>
      <c r="P89" s="233"/>
      <c r="Q89" s="233">
        <v>1</v>
      </c>
      <c r="R89" s="50">
        <f t="shared" si="171"/>
        <v>1550</v>
      </c>
      <c r="S89" s="51">
        <f t="shared" ref="S89" si="172">+BH89</f>
        <v>0</v>
      </c>
      <c r="T89" s="11">
        <f t="shared" ref="T89" si="173">+BA89</f>
        <v>2107.14</v>
      </c>
      <c r="U89" s="52">
        <f t="shared" ref="U89" si="174">+BP89</f>
        <v>0</v>
      </c>
      <c r="V89" s="52" t="str">
        <f t="shared" ref="V89" si="175">+BG89</f>
        <v>BONO+B ASIS+T EXT</v>
      </c>
      <c r="W89" s="53">
        <f t="shared" si="141"/>
        <v>243.97333333333333</v>
      </c>
      <c r="X89" s="53">
        <f t="shared" si="142"/>
        <v>7.18</v>
      </c>
      <c r="Y89" s="53">
        <f t="shared" si="143"/>
        <v>7.18</v>
      </c>
      <c r="Z89" s="54">
        <f t="shared" si="144"/>
        <v>258.33333333333331</v>
      </c>
      <c r="AA89" s="55"/>
      <c r="AB89" s="53">
        <f t="shared" si="145"/>
        <v>243.97333333333333</v>
      </c>
      <c r="AC89" s="53">
        <f t="shared" si="146"/>
        <v>7.18</v>
      </c>
      <c r="AD89" s="53">
        <f t="shared" si="147"/>
        <v>7.18</v>
      </c>
      <c r="AE89" s="54">
        <f t="shared" si="148"/>
        <v>258.33333333333331</v>
      </c>
      <c r="AF89" s="56"/>
      <c r="AG89" s="53">
        <f t="shared" si="149"/>
        <v>243.97333333333333</v>
      </c>
      <c r="AH89" s="53">
        <f t="shared" si="150"/>
        <v>7.18</v>
      </c>
      <c r="AI89" s="53">
        <f t="shared" si="151"/>
        <v>7.18</v>
      </c>
      <c r="AJ89" s="54">
        <f t="shared" si="152"/>
        <v>258.33333333333331</v>
      </c>
      <c r="AK89" s="57"/>
      <c r="AL89" s="53">
        <f t="shared" si="153"/>
        <v>243.97333333333333</v>
      </c>
      <c r="AM89" s="53">
        <f t="shared" si="154"/>
        <v>7.18</v>
      </c>
      <c r="AN89" s="53">
        <f t="shared" si="155"/>
        <v>7.18</v>
      </c>
      <c r="AO89" s="54">
        <f t="shared" si="156"/>
        <v>258.33333333333331</v>
      </c>
      <c r="AP89" s="56"/>
      <c r="AQ89" s="53">
        <f t="shared" si="157"/>
        <v>243.97333333333333</v>
      </c>
      <c r="AR89" s="53">
        <f t="shared" si="158"/>
        <v>7.18</v>
      </c>
      <c r="AS89" s="53">
        <f t="shared" si="159"/>
        <v>7.18</v>
      </c>
      <c r="AT89" s="54">
        <f t="shared" si="160"/>
        <v>258.33333333333331</v>
      </c>
      <c r="AU89" s="56"/>
      <c r="AV89" s="53">
        <f t="shared" si="161"/>
        <v>243.97333333333333</v>
      </c>
      <c r="AW89" s="53">
        <f t="shared" si="162"/>
        <v>7.18</v>
      </c>
      <c r="AX89" s="53">
        <f t="shared" si="163"/>
        <v>7.18</v>
      </c>
      <c r="AY89" s="54">
        <f t="shared" si="164"/>
        <v>258.33333333333331</v>
      </c>
      <c r="AZ89" s="58">
        <f t="shared" si="170"/>
        <v>1549.9999999999998</v>
      </c>
      <c r="BA89" s="59">
        <f>((AZ89-BB89-BC89-BD89-BE89-BF89)+BI89+BJ89+BK89+BL89+BM89+BN89+BO89)</f>
        <v>2107.14</v>
      </c>
      <c r="BB89" s="60"/>
      <c r="BC89" s="60"/>
      <c r="BD89" s="60"/>
      <c r="BE89" s="60"/>
      <c r="BF89" s="60"/>
      <c r="BG89" s="61" t="s">
        <v>134</v>
      </c>
      <c r="BH89" s="17"/>
      <c r="BI89" s="64">
        <v>250</v>
      </c>
      <c r="BJ89" s="18">
        <v>250</v>
      </c>
      <c r="BK89" s="65">
        <v>57.14</v>
      </c>
      <c r="BL89" s="63"/>
      <c r="BM89" s="65"/>
      <c r="BN89" s="65"/>
      <c r="BO89" s="66"/>
      <c r="BP89" s="67"/>
      <c r="BQ89" s="21"/>
      <c r="BR89" s="48"/>
      <c r="BS89" s="48"/>
      <c r="BT89" s="68"/>
      <c r="BU89" s="1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</row>
    <row r="90" spans="1:214" s="69" customFormat="1" ht="15.75" customHeight="1" thickBot="1" x14ac:dyDescent="0.35">
      <c r="A90" s="1"/>
      <c r="B90" s="375">
        <v>70</v>
      </c>
      <c r="C90" s="34">
        <f t="shared" si="136"/>
        <v>10</v>
      </c>
      <c r="D90" s="376" t="s">
        <v>89</v>
      </c>
      <c r="E90" s="346">
        <v>0</v>
      </c>
      <c r="F90" s="347" t="s">
        <v>18</v>
      </c>
      <c r="G90" s="346">
        <v>0</v>
      </c>
      <c r="H90" s="347" t="s">
        <v>18</v>
      </c>
      <c r="I90" s="346">
        <v>0</v>
      </c>
      <c r="J90" s="347" t="s">
        <v>18</v>
      </c>
      <c r="K90" s="346">
        <v>0</v>
      </c>
      <c r="L90" s="347" t="s">
        <v>18</v>
      </c>
      <c r="M90" s="346">
        <v>0</v>
      </c>
      <c r="N90" s="347" t="s">
        <v>18</v>
      </c>
      <c r="O90" s="346">
        <v>0</v>
      </c>
      <c r="P90" s="347" t="s">
        <v>18</v>
      </c>
      <c r="Q90" s="49">
        <v>0</v>
      </c>
      <c r="R90" s="50">
        <f t="shared" si="171"/>
        <v>850</v>
      </c>
      <c r="S90" s="51">
        <f t="shared" si="137"/>
        <v>0</v>
      </c>
      <c r="T90" s="11">
        <f t="shared" si="138"/>
        <v>0</v>
      </c>
      <c r="U90" s="52">
        <f t="shared" si="139"/>
        <v>0</v>
      </c>
      <c r="V90" s="52">
        <f t="shared" si="140"/>
        <v>0</v>
      </c>
      <c r="W90" s="53">
        <f t="shared" si="141"/>
        <v>0</v>
      </c>
      <c r="X90" s="53">
        <f t="shared" si="142"/>
        <v>0</v>
      </c>
      <c r="Y90" s="53">
        <f t="shared" si="143"/>
        <v>0</v>
      </c>
      <c r="Z90" s="54">
        <f t="shared" si="144"/>
        <v>0</v>
      </c>
      <c r="AA90" s="55"/>
      <c r="AB90" s="53">
        <f t="shared" si="145"/>
        <v>0</v>
      </c>
      <c r="AC90" s="53">
        <f t="shared" si="146"/>
        <v>0</v>
      </c>
      <c r="AD90" s="53">
        <f t="shared" si="147"/>
        <v>0</v>
      </c>
      <c r="AE90" s="54">
        <f t="shared" si="148"/>
        <v>0</v>
      </c>
      <c r="AF90" s="56"/>
      <c r="AG90" s="53">
        <f t="shared" si="149"/>
        <v>0</v>
      </c>
      <c r="AH90" s="53">
        <f t="shared" si="150"/>
        <v>0</v>
      </c>
      <c r="AI90" s="53">
        <f t="shared" si="151"/>
        <v>0</v>
      </c>
      <c r="AJ90" s="54">
        <f t="shared" si="152"/>
        <v>0</v>
      </c>
      <c r="AK90" s="57"/>
      <c r="AL90" s="53">
        <f t="shared" si="153"/>
        <v>0</v>
      </c>
      <c r="AM90" s="53">
        <f t="shared" si="154"/>
        <v>0</v>
      </c>
      <c r="AN90" s="53">
        <f t="shared" si="155"/>
        <v>0</v>
      </c>
      <c r="AO90" s="54">
        <f t="shared" si="156"/>
        <v>0</v>
      </c>
      <c r="AP90" s="56"/>
      <c r="AQ90" s="53">
        <f t="shared" si="157"/>
        <v>0</v>
      </c>
      <c r="AR90" s="53">
        <f t="shared" si="158"/>
        <v>0</v>
      </c>
      <c r="AS90" s="53">
        <f t="shared" si="159"/>
        <v>0</v>
      </c>
      <c r="AT90" s="54">
        <f t="shared" si="160"/>
        <v>0</v>
      </c>
      <c r="AU90" s="56"/>
      <c r="AV90" s="53">
        <f t="shared" si="161"/>
        <v>0</v>
      </c>
      <c r="AW90" s="53">
        <f t="shared" si="162"/>
        <v>0</v>
      </c>
      <c r="AX90" s="53">
        <f t="shared" si="163"/>
        <v>0</v>
      </c>
      <c r="AY90" s="54">
        <f t="shared" si="164"/>
        <v>0</v>
      </c>
      <c r="AZ90" s="58">
        <f t="shared" si="170"/>
        <v>0</v>
      </c>
      <c r="BA90" s="59"/>
      <c r="BB90" s="60"/>
      <c r="BC90" s="60"/>
      <c r="BD90" s="60"/>
      <c r="BE90" s="60"/>
      <c r="BF90" s="60"/>
      <c r="BG90" s="61"/>
      <c r="BH90" s="17"/>
      <c r="BI90" s="64"/>
      <c r="BJ90" s="18"/>
      <c r="BK90" s="65"/>
      <c r="BL90" s="63"/>
      <c r="BM90" s="65"/>
      <c r="BN90" s="65"/>
      <c r="BO90" s="66"/>
      <c r="BP90" s="67"/>
      <c r="BQ90" s="21"/>
      <c r="BR90" s="48"/>
      <c r="BS90" s="48"/>
      <c r="BT90" s="68"/>
      <c r="BU90" s="1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</row>
    <row r="91" spans="1:214" ht="15.75" customHeight="1" thickBot="1" x14ac:dyDescent="0.35">
      <c r="A91" s="1">
        <v>522</v>
      </c>
      <c r="B91" s="375">
        <v>120</v>
      </c>
      <c r="C91" s="34">
        <f t="shared" si="136"/>
        <v>11</v>
      </c>
      <c r="D91" s="343" t="s">
        <v>109</v>
      </c>
      <c r="E91" s="233">
        <v>1</v>
      </c>
      <c r="F91" s="233"/>
      <c r="G91" s="233">
        <v>1</v>
      </c>
      <c r="H91" s="233"/>
      <c r="I91" s="233">
        <v>1</v>
      </c>
      <c r="J91" s="233"/>
      <c r="K91" s="233">
        <v>1</v>
      </c>
      <c r="L91" s="233"/>
      <c r="M91" s="233">
        <v>1</v>
      </c>
      <c r="N91" s="233"/>
      <c r="O91" s="233">
        <v>1</v>
      </c>
      <c r="P91" s="233"/>
      <c r="Q91" s="49">
        <v>1</v>
      </c>
      <c r="R91" s="50">
        <f t="shared" si="171"/>
        <v>1550</v>
      </c>
      <c r="S91" s="51">
        <f t="shared" ref="S91" si="176">+BH91</f>
        <v>0</v>
      </c>
      <c r="T91" s="11">
        <f t="shared" ref="T91" si="177">+BA91</f>
        <v>1949.9999999999998</v>
      </c>
      <c r="U91" s="52">
        <f t="shared" ref="U91" si="178">+BP91</f>
        <v>0</v>
      </c>
      <c r="V91" s="52" t="str">
        <f t="shared" ref="V91" si="179">+BG91</f>
        <v>BONO+B ASIS</v>
      </c>
      <c r="W91" s="53">
        <f t="shared" si="141"/>
        <v>243.97333333333333</v>
      </c>
      <c r="X91" s="53">
        <f t="shared" si="142"/>
        <v>7.18</v>
      </c>
      <c r="Y91" s="53">
        <f t="shared" si="143"/>
        <v>7.18</v>
      </c>
      <c r="Z91" s="54">
        <f t="shared" si="144"/>
        <v>258.33333333333331</v>
      </c>
      <c r="AA91" s="55"/>
      <c r="AB91" s="53">
        <f t="shared" si="145"/>
        <v>243.97333333333333</v>
      </c>
      <c r="AC91" s="53">
        <f t="shared" si="146"/>
        <v>7.18</v>
      </c>
      <c r="AD91" s="53">
        <f t="shared" si="147"/>
        <v>7.18</v>
      </c>
      <c r="AE91" s="54">
        <f t="shared" si="148"/>
        <v>258.33333333333331</v>
      </c>
      <c r="AF91" s="56"/>
      <c r="AG91" s="53">
        <f t="shared" si="149"/>
        <v>243.97333333333333</v>
      </c>
      <c r="AH91" s="53">
        <f t="shared" si="150"/>
        <v>7.18</v>
      </c>
      <c r="AI91" s="53">
        <f t="shared" si="151"/>
        <v>7.18</v>
      </c>
      <c r="AJ91" s="54">
        <f t="shared" si="152"/>
        <v>258.33333333333331</v>
      </c>
      <c r="AK91" s="57"/>
      <c r="AL91" s="53">
        <f t="shared" si="153"/>
        <v>243.97333333333333</v>
      </c>
      <c r="AM91" s="53">
        <f t="shared" si="154"/>
        <v>7.18</v>
      </c>
      <c r="AN91" s="53">
        <f t="shared" si="155"/>
        <v>7.18</v>
      </c>
      <c r="AO91" s="54">
        <f t="shared" si="156"/>
        <v>258.33333333333331</v>
      </c>
      <c r="AP91" s="56"/>
      <c r="AQ91" s="53">
        <f t="shared" si="157"/>
        <v>243.97333333333333</v>
      </c>
      <c r="AR91" s="53">
        <f t="shared" si="158"/>
        <v>7.18</v>
      </c>
      <c r="AS91" s="53">
        <f t="shared" si="159"/>
        <v>7.18</v>
      </c>
      <c r="AT91" s="54">
        <f t="shared" si="160"/>
        <v>258.33333333333331</v>
      </c>
      <c r="AU91" s="56"/>
      <c r="AV91" s="53">
        <f t="shared" si="161"/>
        <v>243.97333333333333</v>
      </c>
      <c r="AW91" s="53">
        <f t="shared" si="162"/>
        <v>7.18</v>
      </c>
      <c r="AX91" s="53">
        <f t="shared" si="163"/>
        <v>7.18</v>
      </c>
      <c r="AY91" s="54">
        <f t="shared" si="164"/>
        <v>258.33333333333331</v>
      </c>
      <c r="AZ91" s="58">
        <f t="shared" si="170"/>
        <v>1549.9999999999998</v>
      </c>
      <c r="BA91" s="59">
        <f>((AZ91-BB91-BC91-BD91-BE91-BF91)+BI91+BJ91+BK91+BL91+BM91+BN91+BO91)</f>
        <v>1949.9999999999998</v>
      </c>
      <c r="BB91" s="60"/>
      <c r="BC91" s="60"/>
      <c r="BD91" s="60"/>
      <c r="BE91" s="60"/>
      <c r="BF91" s="60"/>
      <c r="BG91" s="61" t="s">
        <v>133</v>
      </c>
      <c r="BH91" s="62"/>
      <c r="BI91" s="63">
        <v>250</v>
      </c>
      <c r="BJ91" s="63">
        <v>150</v>
      </c>
      <c r="BK91" s="64"/>
      <c r="BL91" s="63"/>
      <c r="BM91" s="65"/>
      <c r="BN91" s="65"/>
      <c r="BO91" s="66"/>
      <c r="BP91" s="67"/>
      <c r="BQ91" s="21"/>
      <c r="BR91" s="48"/>
      <c r="BS91" s="48"/>
      <c r="BT91" s="68"/>
      <c r="BU91" s="1">
        <v>522</v>
      </c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</row>
    <row r="92" spans="1:214" ht="15.75" customHeight="1" thickBot="1" x14ac:dyDescent="0.35">
      <c r="A92" s="1"/>
      <c r="B92" s="375">
        <v>142</v>
      </c>
      <c r="C92" s="34">
        <f t="shared" si="136"/>
        <v>12</v>
      </c>
      <c r="D92" s="343" t="s">
        <v>121</v>
      </c>
      <c r="E92" s="233">
        <v>1</v>
      </c>
      <c r="F92" s="233"/>
      <c r="G92" s="233">
        <v>1</v>
      </c>
      <c r="H92" s="233"/>
      <c r="I92" s="233">
        <v>1</v>
      </c>
      <c r="J92" s="233"/>
      <c r="K92" s="233">
        <v>1</v>
      </c>
      <c r="L92" s="233"/>
      <c r="M92" s="233">
        <v>1</v>
      </c>
      <c r="N92" s="233"/>
      <c r="O92" s="233">
        <v>1</v>
      </c>
      <c r="P92" s="233"/>
      <c r="Q92" s="49">
        <v>1</v>
      </c>
      <c r="R92" s="50">
        <f t="shared" si="171"/>
        <v>1550</v>
      </c>
      <c r="S92" s="51">
        <f t="shared" si="137"/>
        <v>0</v>
      </c>
      <c r="T92" s="11">
        <f t="shared" si="138"/>
        <v>1949.9999999999998</v>
      </c>
      <c r="U92" s="52">
        <f t="shared" si="139"/>
        <v>0</v>
      </c>
      <c r="V92" s="52" t="str">
        <f t="shared" si="140"/>
        <v>BONO+B ASIS</v>
      </c>
      <c r="W92" s="53">
        <f t="shared" si="141"/>
        <v>243.97333333333333</v>
      </c>
      <c r="X92" s="53">
        <f t="shared" si="142"/>
        <v>7.18</v>
      </c>
      <c r="Y92" s="53">
        <f t="shared" si="143"/>
        <v>7.18</v>
      </c>
      <c r="Z92" s="54">
        <f t="shared" si="144"/>
        <v>258.33333333333331</v>
      </c>
      <c r="AA92" s="55"/>
      <c r="AB92" s="53">
        <f t="shared" si="145"/>
        <v>243.97333333333333</v>
      </c>
      <c r="AC92" s="53">
        <f t="shared" si="146"/>
        <v>7.18</v>
      </c>
      <c r="AD92" s="53">
        <f t="shared" si="147"/>
        <v>7.18</v>
      </c>
      <c r="AE92" s="54">
        <f t="shared" si="148"/>
        <v>258.33333333333331</v>
      </c>
      <c r="AF92" s="56"/>
      <c r="AG92" s="53">
        <f t="shared" si="149"/>
        <v>243.97333333333333</v>
      </c>
      <c r="AH92" s="53">
        <f t="shared" si="150"/>
        <v>7.18</v>
      </c>
      <c r="AI92" s="53">
        <f t="shared" si="151"/>
        <v>7.18</v>
      </c>
      <c r="AJ92" s="54">
        <f t="shared" si="152"/>
        <v>258.33333333333331</v>
      </c>
      <c r="AK92" s="57"/>
      <c r="AL92" s="53">
        <f t="shared" si="153"/>
        <v>243.97333333333333</v>
      </c>
      <c r="AM92" s="53">
        <f t="shared" si="154"/>
        <v>7.18</v>
      </c>
      <c r="AN92" s="53">
        <f t="shared" si="155"/>
        <v>7.18</v>
      </c>
      <c r="AO92" s="54">
        <f t="shared" si="156"/>
        <v>258.33333333333331</v>
      </c>
      <c r="AP92" s="56"/>
      <c r="AQ92" s="53">
        <f t="shared" si="157"/>
        <v>243.97333333333333</v>
      </c>
      <c r="AR92" s="53">
        <f t="shared" si="158"/>
        <v>7.18</v>
      </c>
      <c r="AS92" s="53">
        <f t="shared" si="159"/>
        <v>7.18</v>
      </c>
      <c r="AT92" s="54">
        <f t="shared" si="160"/>
        <v>258.33333333333331</v>
      </c>
      <c r="AU92" s="56"/>
      <c r="AV92" s="53">
        <f t="shared" si="161"/>
        <v>243.97333333333333</v>
      </c>
      <c r="AW92" s="53">
        <f t="shared" si="162"/>
        <v>7.18</v>
      </c>
      <c r="AX92" s="53">
        <f t="shared" si="163"/>
        <v>7.18</v>
      </c>
      <c r="AY92" s="54">
        <f t="shared" si="164"/>
        <v>258.33333333333331</v>
      </c>
      <c r="AZ92" s="58">
        <f t="shared" si="170"/>
        <v>1549.9999999999998</v>
      </c>
      <c r="BA92" s="59">
        <f t="shared" ref="BA92:BA100" si="180">((AZ92-BB92-BC92-BD92-BE92-BF92)+BI92+BJ92+BK92+BL92+BM92+BN92+BO92)</f>
        <v>1949.9999999999998</v>
      </c>
      <c r="BB92" s="60"/>
      <c r="BC92" s="60"/>
      <c r="BD92" s="60"/>
      <c r="BE92" s="60"/>
      <c r="BF92" s="60"/>
      <c r="BG92" s="61" t="s">
        <v>133</v>
      </c>
      <c r="BH92" s="62"/>
      <c r="BI92" s="63">
        <v>250</v>
      </c>
      <c r="BJ92" s="63">
        <v>150</v>
      </c>
      <c r="BK92" s="64"/>
      <c r="BL92" s="63"/>
      <c r="BM92" s="65"/>
      <c r="BN92" s="65"/>
      <c r="BO92" s="66"/>
      <c r="BP92" s="67"/>
      <c r="BQ92" s="21"/>
      <c r="BR92" s="48"/>
      <c r="BS92" s="48"/>
      <c r="BT92" s="68"/>
      <c r="BU92" s="1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</row>
    <row r="93" spans="1:214" ht="15.75" customHeight="1" thickBot="1" x14ac:dyDescent="0.35">
      <c r="A93" s="1"/>
      <c r="B93" s="275">
        <v>138</v>
      </c>
      <c r="C93" s="34">
        <f t="shared" si="136"/>
        <v>13</v>
      </c>
      <c r="D93" s="343" t="s">
        <v>119</v>
      </c>
      <c r="E93" s="233">
        <v>1</v>
      </c>
      <c r="F93" s="233"/>
      <c r="G93" s="233">
        <v>1</v>
      </c>
      <c r="H93" s="233"/>
      <c r="I93" s="233">
        <v>1</v>
      </c>
      <c r="J93" s="233"/>
      <c r="K93" s="233">
        <v>1</v>
      </c>
      <c r="L93" s="233"/>
      <c r="M93" s="233">
        <v>1</v>
      </c>
      <c r="N93" s="233"/>
      <c r="O93" s="233">
        <v>1</v>
      </c>
      <c r="P93" s="233"/>
      <c r="Q93" s="233">
        <v>1</v>
      </c>
      <c r="R93" s="339">
        <v>2000</v>
      </c>
      <c r="S93" s="51">
        <f t="shared" si="137"/>
        <v>0</v>
      </c>
      <c r="T93" s="11">
        <f t="shared" si="138"/>
        <v>2150</v>
      </c>
      <c r="U93" s="52">
        <f t="shared" si="139"/>
        <v>0</v>
      </c>
      <c r="V93" s="52" t="str">
        <f t="shared" si="140"/>
        <v>B ASIS</v>
      </c>
      <c r="W93" s="53">
        <f t="shared" si="141"/>
        <v>318.9733333333333</v>
      </c>
      <c r="X93" s="53">
        <f t="shared" si="142"/>
        <v>7.18</v>
      </c>
      <c r="Y93" s="53">
        <f t="shared" si="143"/>
        <v>7.18</v>
      </c>
      <c r="Z93" s="54">
        <f t="shared" si="144"/>
        <v>333.33333333333331</v>
      </c>
      <c r="AA93" s="55"/>
      <c r="AB93" s="53">
        <f t="shared" si="145"/>
        <v>318.9733333333333</v>
      </c>
      <c r="AC93" s="53">
        <f t="shared" si="146"/>
        <v>7.18</v>
      </c>
      <c r="AD93" s="53">
        <f t="shared" si="147"/>
        <v>7.18</v>
      </c>
      <c r="AE93" s="54">
        <f t="shared" si="148"/>
        <v>333.33333333333331</v>
      </c>
      <c r="AF93" s="56"/>
      <c r="AG93" s="53">
        <f t="shared" si="149"/>
        <v>318.9733333333333</v>
      </c>
      <c r="AH93" s="53">
        <f t="shared" si="150"/>
        <v>7.18</v>
      </c>
      <c r="AI93" s="53">
        <f t="shared" si="151"/>
        <v>7.18</v>
      </c>
      <c r="AJ93" s="54">
        <f t="shared" si="152"/>
        <v>333.33333333333331</v>
      </c>
      <c r="AK93" s="57"/>
      <c r="AL93" s="53">
        <f t="shared" si="153"/>
        <v>318.9733333333333</v>
      </c>
      <c r="AM93" s="53">
        <f t="shared" si="154"/>
        <v>7.18</v>
      </c>
      <c r="AN93" s="53">
        <f t="shared" si="155"/>
        <v>7.18</v>
      </c>
      <c r="AO93" s="54">
        <f t="shared" si="156"/>
        <v>333.33333333333331</v>
      </c>
      <c r="AP93" s="56"/>
      <c r="AQ93" s="53">
        <f t="shared" si="157"/>
        <v>318.9733333333333</v>
      </c>
      <c r="AR93" s="53">
        <f t="shared" si="158"/>
        <v>7.18</v>
      </c>
      <c r="AS93" s="53">
        <f t="shared" si="159"/>
        <v>7.18</v>
      </c>
      <c r="AT93" s="54">
        <f t="shared" si="160"/>
        <v>333.33333333333331</v>
      </c>
      <c r="AU93" s="56"/>
      <c r="AV93" s="53">
        <f t="shared" si="161"/>
        <v>318.9733333333333</v>
      </c>
      <c r="AW93" s="53">
        <f t="shared" si="162"/>
        <v>7.18</v>
      </c>
      <c r="AX93" s="53">
        <f t="shared" si="163"/>
        <v>7.18</v>
      </c>
      <c r="AY93" s="54">
        <f t="shared" si="164"/>
        <v>333.33333333333331</v>
      </c>
      <c r="AZ93" s="58">
        <f t="shared" si="170"/>
        <v>1999.9999999999998</v>
      </c>
      <c r="BA93" s="59">
        <f t="shared" si="180"/>
        <v>2150</v>
      </c>
      <c r="BB93" s="60"/>
      <c r="BC93" s="60"/>
      <c r="BD93" s="60"/>
      <c r="BE93" s="60"/>
      <c r="BF93" s="60"/>
      <c r="BG93" s="61" t="s">
        <v>175</v>
      </c>
      <c r="BH93" s="62"/>
      <c r="BI93" s="63"/>
      <c r="BJ93" s="63">
        <v>150</v>
      </c>
      <c r="BK93" s="64"/>
      <c r="BL93" s="63"/>
      <c r="BM93" s="65"/>
      <c r="BN93" s="65"/>
      <c r="BO93" s="66"/>
      <c r="BP93" s="67"/>
      <c r="BQ93" s="21"/>
      <c r="BR93" s="48"/>
      <c r="BS93" s="48"/>
      <c r="BT93" s="68"/>
      <c r="BU93" s="1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</row>
    <row r="94" spans="1:214" ht="15.75" customHeight="1" thickBot="1" x14ac:dyDescent="0.35">
      <c r="A94" s="1"/>
      <c r="B94" s="375">
        <v>135</v>
      </c>
      <c r="C94" s="34">
        <f t="shared" si="136"/>
        <v>14</v>
      </c>
      <c r="D94" s="376" t="s">
        <v>116</v>
      </c>
      <c r="E94" s="233">
        <v>1</v>
      </c>
      <c r="F94" s="233"/>
      <c r="G94" s="233">
        <v>1</v>
      </c>
      <c r="H94" s="233"/>
      <c r="I94" s="233">
        <v>1</v>
      </c>
      <c r="J94" s="233"/>
      <c r="K94" s="233">
        <v>1</v>
      </c>
      <c r="L94" s="233"/>
      <c r="M94" s="233">
        <v>1</v>
      </c>
      <c r="N94" s="233"/>
      <c r="O94" s="233">
        <v>1</v>
      </c>
      <c r="P94" s="233"/>
      <c r="Q94" s="233">
        <v>1</v>
      </c>
      <c r="R94" s="50">
        <f t="shared" si="171"/>
        <v>1550</v>
      </c>
      <c r="S94" s="51">
        <f t="shared" si="137"/>
        <v>0</v>
      </c>
      <c r="T94" s="11">
        <f t="shared" si="138"/>
        <v>1949.9999999999998</v>
      </c>
      <c r="U94" s="52">
        <f t="shared" si="139"/>
        <v>0</v>
      </c>
      <c r="V94" s="52" t="str">
        <f t="shared" si="140"/>
        <v>BONO+B ASIS</v>
      </c>
      <c r="W94" s="53">
        <f t="shared" si="141"/>
        <v>243.97333333333333</v>
      </c>
      <c r="X94" s="53">
        <f t="shared" si="142"/>
        <v>7.18</v>
      </c>
      <c r="Y94" s="53">
        <f t="shared" si="143"/>
        <v>7.18</v>
      </c>
      <c r="Z94" s="54">
        <f t="shared" si="144"/>
        <v>258.33333333333331</v>
      </c>
      <c r="AA94" s="55"/>
      <c r="AB94" s="53">
        <f t="shared" si="145"/>
        <v>243.97333333333333</v>
      </c>
      <c r="AC94" s="53">
        <f t="shared" si="146"/>
        <v>7.18</v>
      </c>
      <c r="AD94" s="53">
        <f t="shared" si="147"/>
        <v>7.18</v>
      </c>
      <c r="AE94" s="54">
        <f t="shared" si="148"/>
        <v>258.33333333333331</v>
      </c>
      <c r="AF94" s="56"/>
      <c r="AG94" s="53">
        <f t="shared" si="149"/>
        <v>243.97333333333333</v>
      </c>
      <c r="AH94" s="53">
        <f t="shared" si="150"/>
        <v>7.18</v>
      </c>
      <c r="AI94" s="53">
        <f t="shared" si="151"/>
        <v>7.18</v>
      </c>
      <c r="AJ94" s="54">
        <f t="shared" si="152"/>
        <v>258.33333333333331</v>
      </c>
      <c r="AK94" s="57"/>
      <c r="AL94" s="53">
        <f t="shared" si="153"/>
        <v>243.97333333333333</v>
      </c>
      <c r="AM94" s="53">
        <f t="shared" si="154"/>
        <v>7.18</v>
      </c>
      <c r="AN94" s="53">
        <f t="shared" si="155"/>
        <v>7.18</v>
      </c>
      <c r="AO94" s="54">
        <f t="shared" si="156"/>
        <v>258.33333333333331</v>
      </c>
      <c r="AP94" s="56"/>
      <c r="AQ94" s="53">
        <f t="shared" si="157"/>
        <v>243.97333333333333</v>
      </c>
      <c r="AR94" s="53">
        <f t="shared" si="158"/>
        <v>7.18</v>
      </c>
      <c r="AS94" s="53">
        <f t="shared" si="159"/>
        <v>7.18</v>
      </c>
      <c r="AT94" s="54">
        <f t="shared" si="160"/>
        <v>258.33333333333331</v>
      </c>
      <c r="AU94" s="56"/>
      <c r="AV94" s="53">
        <f t="shared" si="161"/>
        <v>243.97333333333333</v>
      </c>
      <c r="AW94" s="53">
        <f t="shared" si="162"/>
        <v>7.18</v>
      </c>
      <c r="AX94" s="53">
        <f t="shared" si="163"/>
        <v>7.18</v>
      </c>
      <c r="AY94" s="54">
        <f t="shared" si="164"/>
        <v>258.33333333333331</v>
      </c>
      <c r="AZ94" s="58">
        <f t="shared" si="170"/>
        <v>1549.9999999999998</v>
      </c>
      <c r="BA94" s="59">
        <f t="shared" si="180"/>
        <v>1949.9999999999998</v>
      </c>
      <c r="BB94" s="60"/>
      <c r="BC94" s="60"/>
      <c r="BD94" s="60"/>
      <c r="BE94" s="60"/>
      <c r="BF94" s="60"/>
      <c r="BG94" s="61" t="s">
        <v>133</v>
      </c>
      <c r="BH94" s="62"/>
      <c r="BI94" s="63">
        <v>250</v>
      </c>
      <c r="BJ94" s="63">
        <v>150</v>
      </c>
      <c r="BK94" s="64"/>
      <c r="BL94" s="63"/>
      <c r="BM94" s="65"/>
      <c r="BN94" s="65"/>
      <c r="BO94" s="66"/>
      <c r="BP94" s="67"/>
      <c r="BQ94" s="21"/>
      <c r="BR94" s="48"/>
      <c r="BS94" s="48"/>
      <c r="BT94" s="68"/>
      <c r="BU94" s="1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</row>
    <row r="95" spans="1:214" ht="15.75" customHeight="1" thickBot="1" x14ac:dyDescent="0.35">
      <c r="A95" s="1"/>
      <c r="B95" s="375">
        <v>150</v>
      </c>
      <c r="C95" s="34">
        <f t="shared" si="136"/>
        <v>15</v>
      </c>
      <c r="D95" s="376" t="s">
        <v>131</v>
      </c>
      <c r="E95" s="233">
        <v>1</v>
      </c>
      <c r="F95" s="233"/>
      <c r="G95" s="233">
        <v>1</v>
      </c>
      <c r="H95" s="233"/>
      <c r="I95" s="233">
        <v>1</v>
      </c>
      <c r="J95" s="233"/>
      <c r="K95" s="233">
        <v>1</v>
      </c>
      <c r="L95" s="233"/>
      <c r="M95" s="233">
        <v>1</v>
      </c>
      <c r="N95" s="233"/>
      <c r="O95" s="233">
        <v>1</v>
      </c>
      <c r="P95" s="233"/>
      <c r="Q95" s="233">
        <v>1</v>
      </c>
      <c r="R95" s="50">
        <f t="shared" si="171"/>
        <v>1550</v>
      </c>
      <c r="S95" s="51">
        <f t="shared" si="137"/>
        <v>0</v>
      </c>
      <c r="T95" s="11">
        <f t="shared" si="138"/>
        <v>1949.9999999999998</v>
      </c>
      <c r="U95" s="52">
        <f t="shared" si="139"/>
        <v>0</v>
      </c>
      <c r="V95" s="52" t="str">
        <f t="shared" si="140"/>
        <v>BONO+B ASIS</v>
      </c>
      <c r="W95" s="53">
        <f t="shared" si="141"/>
        <v>243.97333333333333</v>
      </c>
      <c r="X95" s="53">
        <f t="shared" si="142"/>
        <v>7.18</v>
      </c>
      <c r="Y95" s="53">
        <f t="shared" si="143"/>
        <v>7.18</v>
      </c>
      <c r="Z95" s="54">
        <f t="shared" si="144"/>
        <v>258.33333333333331</v>
      </c>
      <c r="AA95" s="55"/>
      <c r="AB95" s="53">
        <f t="shared" si="145"/>
        <v>243.97333333333333</v>
      </c>
      <c r="AC95" s="53">
        <f t="shared" si="146"/>
        <v>7.18</v>
      </c>
      <c r="AD95" s="53">
        <f t="shared" si="147"/>
        <v>7.18</v>
      </c>
      <c r="AE95" s="54">
        <f t="shared" si="148"/>
        <v>258.33333333333331</v>
      </c>
      <c r="AF95" s="56"/>
      <c r="AG95" s="53">
        <f t="shared" si="149"/>
        <v>243.97333333333333</v>
      </c>
      <c r="AH95" s="53">
        <f t="shared" si="150"/>
        <v>7.18</v>
      </c>
      <c r="AI95" s="53">
        <f t="shared" si="151"/>
        <v>7.18</v>
      </c>
      <c r="AJ95" s="54">
        <f t="shared" si="152"/>
        <v>258.33333333333331</v>
      </c>
      <c r="AK95" s="57"/>
      <c r="AL95" s="53">
        <f t="shared" si="153"/>
        <v>243.97333333333333</v>
      </c>
      <c r="AM95" s="53">
        <f t="shared" si="154"/>
        <v>7.18</v>
      </c>
      <c r="AN95" s="53">
        <f t="shared" si="155"/>
        <v>7.18</v>
      </c>
      <c r="AO95" s="54">
        <f t="shared" si="156"/>
        <v>258.33333333333331</v>
      </c>
      <c r="AP95" s="56"/>
      <c r="AQ95" s="53">
        <f t="shared" si="157"/>
        <v>243.97333333333333</v>
      </c>
      <c r="AR95" s="53">
        <f t="shared" si="158"/>
        <v>7.18</v>
      </c>
      <c r="AS95" s="53">
        <f t="shared" si="159"/>
        <v>7.18</v>
      </c>
      <c r="AT95" s="54">
        <f t="shared" si="160"/>
        <v>258.33333333333331</v>
      </c>
      <c r="AU95" s="56"/>
      <c r="AV95" s="53">
        <f t="shared" si="161"/>
        <v>243.97333333333333</v>
      </c>
      <c r="AW95" s="53">
        <f t="shared" si="162"/>
        <v>7.18</v>
      </c>
      <c r="AX95" s="53">
        <f t="shared" si="163"/>
        <v>7.18</v>
      </c>
      <c r="AY95" s="54">
        <f t="shared" si="164"/>
        <v>258.33333333333331</v>
      </c>
      <c r="AZ95" s="58">
        <f t="shared" si="170"/>
        <v>1549.9999999999998</v>
      </c>
      <c r="BA95" s="59">
        <f t="shared" si="180"/>
        <v>1949.9999999999998</v>
      </c>
      <c r="BB95" s="60"/>
      <c r="BC95" s="60"/>
      <c r="BD95" s="60"/>
      <c r="BE95" s="60"/>
      <c r="BF95" s="60"/>
      <c r="BG95" s="61" t="s">
        <v>133</v>
      </c>
      <c r="BH95" s="62"/>
      <c r="BI95" s="63">
        <v>250</v>
      </c>
      <c r="BJ95" s="63">
        <v>150</v>
      </c>
      <c r="BK95" s="64"/>
      <c r="BL95" s="63"/>
      <c r="BM95" s="65"/>
      <c r="BN95" s="65"/>
      <c r="BO95" s="66"/>
      <c r="BP95" s="67"/>
      <c r="BQ95" s="21"/>
      <c r="BR95" s="48"/>
      <c r="BS95" s="48"/>
      <c r="BT95" s="68"/>
      <c r="BU95" s="1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</row>
    <row r="96" spans="1:214" ht="15.75" customHeight="1" thickBot="1" x14ac:dyDescent="0.35">
      <c r="A96" s="1"/>
      <c r="B96" s="375">
        <v>145</v>
      </c>
      <c r="C96" s="34">
        <f t="shared" si="136"/>
        <v>16</v>
      </c>
      <c r="D96" s="343" t="s">
        <v>125</v>
      </c>
      <c r="E96" s="233">
        <v>1</v>
      </c>
      <c r="F96" s="233"/>
      <c r="G96" s="233">
        <v>1</v>
      </c>
      <c r="H96" s="233"/>
      <c r="I96" s="233">
        <v>1</v>
      </c>
      <c r="J96" s="233"/>
      <c r="K96" s="233">
        <v>1</v>
      </c>
      <c r="L96" s="233"/>
      <c r="M96" s="233">
        <v>1</v>
      </c>
      <c r="N96" s="233"/>
      <c r="O96" s="233">
        <v>1</v>
      </c>
      <c r="P96" s="233"/>
      <c r="Q96" s="233">
        <v>1</v>
      </c>
      <c r="R96" s="50">
        <f t="shared" si="171"/>
        <v>1550</v>
      </c>
      <c r="S96" s="51">
        <f t="shared" ref="S96:S98" si="181">+BH96</f>
        <v>0</v>
      </c>
      <c r="T96" s="11">
        <f t="shared" si="138"/>
        <v>1949.9999999999998</v>
      </c>
      <c r="U96" s="52">
        <f t="shared" ref="U96" si="182">+BP96</f>
        <v>0</v>
      </c>
      <c r="V96" s="52" t="str">
        <f t="shared" ref="V96" si="183">+BG96</f>
        <v>BONO+B ASIS</v>
      </c>
      <c r="W96" s="53">
        <f t="shared" si="141"/>
        <v>243.97333333333333</v>
      </c>
      <c r="X96" s="53">
        <f t="shared" si="142"/>
        <v>7.18</v>
      </c>
      <c r="Y96" s="53">
        <f t="shared" si="143"/>
        <v>7.18</v>
      </c>
      <c r="Z96" s="54">
        <f t="shared" si="144"/>
        <v>258.33333333333331</v>
      </c>
      <c r="AA96" s="55"/>
      <c r="AB96" s="53">
        <f t="shared" si="145"/>
        <v>243.97333333333333</v>
      </c>
      <c r="AC96" s="53">
        <f t="shared" si="146"/>
        <v>7.18</v>
      </c>
      <c r="AD96" s="53">
        <f t="shared" si="147"/>
        <v>7.18</v>
      </c>
      <c r="AE96" s="54">
        <f t="shared" si="148"/>
        <v>258.33333333333331</v>
      </c>
      <c r="AF96" s="56"/>
      <c r="AG96" s="53">
        <f t="shared" si="149"/>
        <v>243.97333333333333</v>
      </c>
      <c r="AH96" s="53">
        <f t="shared" si="150"/>
        <v>7.18</v>
      </c>
      <c r="AI96" s="53">
        <f t="shared" si="151"/>
        <v>7.18</v>
      </c>
      <c r="AJ96" s="54">
        <f t="shared" si="152"/>
        <v>258.33333333333331</v>
      </c>
      <c r="AK96" s="57"/>
      <c r="AL96" s="53">
        <f t="shared" si="153"/>
        <v>243.97333333333333</v>
      </c>
      <c r="AM96" s="53">
        <f t="shared" si="154"/>
        <v>7.18</v>
      </c>
      <c r="AN96" s="53">
        <f t="shared" si="155"/>
        <v>7.18</v>
      </c>
      <c r="AO96" s="54">
        <f t="shared" si="156"/>
        <v>258.33333333333331</v>
      </c>
      <c r="AP96" s="56"/>
      <c r="AQ96" s="53">
        <f t="shared" si="157"/>
        <v>243.97333333333333</v>
      </c>
      <c r="AR96" s="53">
        <f t="shared" si="158"/>
        <v>7.18</v>
      </c>
      <c r="AS96" s="53">
        <f t="shared" si="159"/>
        <v>7.18</v>
      </c>
      <c r="AT96" s="54">
        <f t="shared" si="160"/>
        <v>258.33333333333331</v>
      </c>
      <c r="AU96" s="56"/>
      <c r="AV96" s="53">
        <f t="shared" si="161"/>
        <v>243.97333333333333</v>
      </c>
      <c r="AW96" s="53">
        <f t="shared" si="162"/>
        <v>7.18</v>
      </c>
      <c r="AX96" s="53">
        <f t="shared" si="163"/>
        <v>7.18</v>
      </c>
      <c r="AY96" s="54">
        <f t="shared" si="164"/>
        <v>258.33333333333331</v>
      </c>
      <c r="AZ96" s="58">
        <f t="shared" si="170"/>
        <v>1549.9999999999998</v>
      </c>
      <c r="BA96" s="59">
        <f t="shared" si="180"/>
        <v>1949.9999999999998</v>
      </c>
      <c r="BB96" s="60"/>
      <c r="BC96" s="60"/>
      <c r="BD96" s="60"/>
      <c r="BE96" s="60"/>
      <c r="BF96" s="60"/>
      <c r="BG96" s="131" t="s">
        <v>133</v>
      </c>
      <c r="BH96" s="62"/>
      <c r="BI96" s="63">
        <v>250</v>
      </c>
      <c r="BJ96" s="63">
        <v>150</v>
      </c>
      <c r="BK96" s="64"/>
      <c r="BL96" s="63"/>
      <c r="BM96" s="65"/>
      <c r="BN96" s="65"/>
      <c r="BO96" s="66"/>
      <c r="BP96" s="67"/>
      <c r="BQ96" s="21"/>
      <c r="BR96" s="48"/>
      <c r="BS96" s="48"/>
      <c r="BT96" s="68"/>
      <c r="BU96" s="1"/>
      <c r="GG96" s="69"/>
      <c r="GH96" s="69"/>
      <c r="GI96" s="69"/>
      <c r="GJ96" s="69"/>
      <c r="GK96" s="69"/>
      <c r="GL96" s="69"/>
      <c r="GM96" s="69"/>
      <c r="GN96" s="69"/>
      <c r="GO96" s="69"/>
      <c r="GP96" s="69"/>
      <c r="GQ96" s="69"/>
      <c r="GR96" s="69"/>
      <c r="GS96" s="69"/>
      <c r="GT96" s="69"/>
      <c r="GU96" s="69"/>
      <c r="GV96" s="69"/>
      <c r="GW96" s="69"/>
      <c r="GX96" s="69"/>
      <c r="GY96" s="69"/>
      <c r="GZ96" s="69"/>
      <c r="HA96" s="69"/>
      <c r="HB96" s="69"/>
      <c r="HC96" s="69"/>
      <c r="HD96" s="69"/>
      <c r="HE96" s="69"/>
      <c r="HF96" s="69"/>
    </row>
    <row r="97" spans="1:188" s="69" customFormat="1" ht="15.75" customHeight="1" thickBot="1" x14ac:dyDescent="0.35">
      <c r="A97" s="1">
        <v>469</v>
      </c>
      <c r="B97" s="132">
        <v>45</v>
      </c>
      <c r="C97" s="34">
        <f t="shared" si="136"/>
        <v>17</v>
      </c>
      <c r="D97" s="274" t="s">
        <v>46</v>
      </c>
      <c r="E97" s="233">
        <v>1</v>
      </c>
      <c r="F97" s="233"/>
      <c r="G97" s="233">
        <v>1</v>
      </c>
      <c r="H97" s="233"/>
      <c r="I97" s="233">
        <v>1</v>
      </c>
      <c r="J97" s="233"/>
      <c r="K97" s="233">
        <v>1</v>
      </c>
      <c r="L97" s="233"/>
      <c r="M97" s="233">
        <v>1</v>
      </c>
      <c r="N97" s="233"/>
      <c r="O97" s="233">
        <v>1</v>
      </c>
      <c r="P97" s="233"/>
      <c r="Q97" s="233">
        <v>1</v>
      </c>
      <c r="R97" s="339">
        <f>IF(Q97=1,3500,600)</f>
        <v>3500</v>
      </c>
      <c r="S97" s="51">
        <f t="shared" si="181"/>
        <v>0</v>
      </c>
      <c r="T97" s="11">
        <f t="shared" si="138"/>
        <v>3500.0000000000005</v>
      </c>
      <c r="U97" s="52">
        <f t="shared" si="139"/>
        <v>0</v>
      </c>
      <c r="V97" s="52">
        <f t="shared" si="140"/>
        <v>0</v>
      </c>
      <c r="W97" s="53">
        <f t="shared" si="141"/>
        <v>568.97333333333336</v>
      </c>
      <c r="X97" s="53">
        <f t="shared" si="142"/>
        <v>7.18</v>
      </c>
      <c r="Y97" s="53">
        <f t="shared" si="143"/>
        <v>7.18</v>
      </c>
      <c r="Z97" s="54">
        <f t="shared" si="144"/>
        <v>583.33333333333337</v>
      </c>
      <c r="AA97" s="55"/>
      <c r="AB97" s="53">
        <f t="shared" si="145"/>
        <v>568.97333333333336</v>
      </c>
      <c r="AC97" s="53">
        <f t="shared" si="146"/>
        <v>7.18</v>
      </c>
      <c r="AD97" s="53">
        <f t="shared" si="147"/>
        <v>7.18</v>
      </c>
      <c r="AE97" s="54">
        <f t="shared" si="148"/>
        <v>583.33333333333337</v>
      </c>
      <c r="AF97" s="56"/>
      <c r="AG97" s="53">
        <f t="shared" si="149"/>
        <v>568.97333333333336</v>
      </c>
      <c r="AH97" s="53">
        <f t="shared" si="150"/>
        <v>7.18</v>
      </c>
      <c r="AI97" s="53">
        <f t="shared" si="151"/>
        <v>7.18</v>
      </c>
      <c r="AJ97" s="54">
        <f t="shared" si="152"/>
        <v>583.33333333333337</v>
      </c>
      <c r="AK97" s="57"/>
      <c r="AL97" s="53">
        <f t="shared" si="153"/>
        <v>568.97333333333336</v>
      </c>
      <c r="AM97" s="53">
        <f t="shared" si="154"/>
        <v>7.18</v>
      </c>
      <c r="AN97" s="53">
        <f t="shared" si="155"/>
        <v>7.18</v>
      </c>
      <c r="AO97" s="54">
        <f t="shared" si="156"/>
        <v>583.33333333333337</v>
      </c>
      <c r="AP97" s="56"/>
      <c r="AQ97" s="53">
        <f t="shared" si="157"/>
        <v>568.97333333333336</v>
      </c>
      <c r="AR97" s="53">
        <f t="shared" si="158"/>
        <v>7.18</v>
      </c>
      <c r="AS97" s="53">
        <f t="shared" si="159"/>
        <v>7.18</v>
      </c>
      <c r="AT97" s="54">
        <f t="shared" si="160"/>
        <v>583.33333333333337</v>
      </c>
      <c r="AU97" s="56"/>
      <c r="AV97" s="53">
        <f t="shared" si="161"/>
        <v>568.97333333333336</v>
      </c>
      <c r="AW97" s="53">
        <f t="shared" si="162"/>
        <v>7.18</v>
      </c>
      <c r="AX97" s="53">
        <f t="shared" si="163"/>
        <v>7.18</v>
      </c>
      <c r="AY97" s="54">
        <f t="shared" si="164"/>
        <v>583.33333333333337</v>
      </c>
      <c r="AZ97" s="58">
        <f t="shared" si="170"/>
        <v>3500.0000000000005</v>
      </c>
      <c r="BA97" s="59">
        <f t="shared" si="180"/>
        <v>3500.0000000000005</v>
      </c>
      <c r="BB97" s="60"/>
      <c r="BC97" s="60"/>
      <c r="BD97" s="60"/>
      <c r="BE97" s="60"/>
      <c r="BF97" s="60"/>
      <c r="BG97" s="131"/>
      <c r="BH97" s="62"/>
      <c r="BI97" s="63"/>
      <c r="BJ97" s="63"/>
      <c r="BK97" s="65"/>
      <c r="BL97" s="63"/>
      <c r="BM97" s="65"/>
      <c r="BN97" s="65"/>
      <c r="BO97" s="66"/>
      <c r="BP97" s="67"/>
      <c r="BQ97" s="21"/>
      <c r="BR97" s="74"/>
      <c r="BS97" s="48"/>
      <c r="BT97" s="68"/>
      <c r="BU97" s="1">
        <v>469</v>
      </c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</row>
    <row r="98" spans="1:188" s="69" customFormat="1" ht="15.75" customHeight="1" thickBot="1" x14ac:dyDescent="0.35">
      <c r="A98" s="1"/>
      <c r="B98" s="359">
        <v>179</v>
      </c>
      <c r="C98" s="34">
        <f t="shared" si="136"/>
        <v>18</v>
      </c>
      <c r="D98" s="358" t="s">
        <v>182</v>
      </c>
      <c r="E98" s="233">
        <v>1</v>
      </c>
      <c r="F98" s="233"/>
      <c r="G98" s="233">
        <v>1</v>
      </c>
      <c r="H98" s="233"/>
      <c r="I98" s="233">
        <v>1</v>
      </c>
      <c r="J98" s="233"/>
      <c r="K98" s="233">
        <v>1</v>
      </c>
      <c r="L98" s="233"/>
      <c r="M98" s="233">
        <v>1</v>
      </c>
      <c r="N98" s="233"/>
      <c r="O98" s="233">
        <v>1</v>
      </c>
      <c r="P98" s="233"/>
      <c r="Q98" s="233">
        <v>1</v>
      </c>
      <c r="R98" s="50">
        <f t="shared" si="171"/>
        <v>1550</v>
      </c>
      <c r="S98" s="51">
        <f t="shared" si="181"/>
        <v>0</v>
      </c>
      <c r="T98" s="11">
        <f t="shared" si="138"/>
        <v>1849.9999999999998</v>
      </c>
      <c r="U98" s="52">
        <f t="shared" si="139"/>
        <v>0</v>
      </c>
      <c r="V98" s="52">
        <f t="shared" si="140"/>
        <v>0</v>
      </c>
      <c r="W98" s="53">
        <f t="shared" si="141"/>
        <v>243.97333333333333</v>
      </c>
      <c r="X98" s="53">
        <f t="shared" si="142"/>
        <v>7.18</v>
      </c>
      <c r="Y98" s="53">
        <f t="shared" si="143"/>
        <v>7.18</v>
      </c>
      <c r="Z98" s="54">
        <f t="shared" si="144"/>
        <v>258.33333333333331</v>
      </c>
      <c r="AA98" s="55"/>
      <c r="AB98" s="53">
        <f t="shared" si="145"/>
        <v>243.97333333333333</v>
      </c>
      <c r="AC98" s="53">
        <f t="shared" si="146"/>
        <v>7.18</v>
      </c>
      <c r="AD98" s="53">
        <f t="shared" si="147"/>
        <v>7.18</v>
      </c>
      <c r="AE98" s="54">
        <f t="shared" si="148"/>
        <v>258.33333333333331</v>
      </c>
      <c r="AF98" s="56"/>
      <c r="AG98" s="53">
        <f t="shared" si="149"/>
        <v>243.97333333333333</v>
      </c>
      <c r="AH98" s="53">
        <f t="shared" si="150"/>
        <v>7.18</v>
      </c>
      <c r="AI98" s="53">
        <f t="shared" si="151"/>
        <v>7.18</v>
      </c>
      <c r="AJ98" s="54">
        <f t="shared" si="152"/>
        <v>258.33333333333331</v>
      </c>
      <c r="AK98" s="57"/>
      <c r="AL98" s="53">
        <f t="shared" si="153"/>
        <v>243.97333333333333</v>
      </c>
      <c r="AM98" s="53">
        <f t="shared" si="154"/>
        <v>7.18</v>
      </c>
      <c r="AN98" s="53">
        <f t="shared" si="155"/>
        <v>7.18</v>
      </c>
      <c r="AO98" s="54">
        <f t="shared" si="156"/>
        <v>258.33333333333331</v>
      </c>
      <c r="AP98" s="56"/>
      <c r="AQ98" s="53">
        <f t="shared" si="157"/>
        <v>243.97333333333333</v>
      </c>
      <c r="AR98" s="53">
        <f t="shared" si="158"/>
        <v>7.18</v>
      </c>
      <c r="AS98" s="53">
        <f t="shared" si="159"/>
        <v>7.18</v>
      </c>
      <c r="AT98" s="54">
        <f t="shared" si="160"/>
        <v>258.33333333333331</v>
      </c>
      <c r="AU98" s="56"/>
      <c r="AV98" s="53">
        <f t="shared" si="161"/>
        <v>243.97333333333333</v>
      </c>
      <c r="AW98" s="53">
        <f t="shared" si="162"/>
        <v>7.18</v>
      </c>
      <c r="AX98" s="53">
        <f t="shared" si="163"/>
        <v>7.18</v>
      </c>
      <c r="AY98" s="54">
        <f t="shared" si="164"/>
        <v>258.33333333333331</v>
      </c>
      <c r="AZ98" s="58">
        <f>+AY98+AT98+AO98++AJ98+AE98+Z98</f>
        <v>1549.9999999999998</v>
      </c>
      <c r="BA98" s="59">
        <f t="shared" si="180"/>
        <v>1849.9999999999998</v>
      </c>
      <c r="BB98" s="60"/>
      <c r="BC98" s="60"/>
      <c r="BD98" s="60"/>
      <c r="BE98" s="60"/>
      <c r="BF98" s="60"/>
      <c r="BG98" s="131"/>
      <c r="BH98" s="62"/>
      <c r="BI98" s="63">
        <v>150</v>
      </c>
      <c r="BJ98" s="63">
        <v>150</v>
      </c>
      <c r="BK98" s="65"/>
      <c r="BL98" s="63"/>
      <c r="BM98" s="65"/>
      <c r="BN98" s="65"/>
      <c r="BO98" s="66"/>
      <c r="BP98" s="67"/>
      <c r="BQ98" s="21"/>
      <c r="BR98" s="74"/>
      <c r="BS98" s="48"/>
      <c r="BT98" s="68"/>
      <c r="BU98" s="1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</row>
    <row r="99" spans="1:188" s="69" customFormat="1" ht="15.75" customHeight="1" thickBot="1" x14ac:dyDescent="0.35">
      <c r="A99" s="1"/>
      <c r="B99" s="375">
        <v>111</v>
      </c>
      <c r="C99" s="34">
        <f t="shared" si="136"/>
        <v>19</v>
      </c>
      <c r="D99" s="376" t="s">
        <v>106</v>
      </c>
      <c r="E99" s="233">
        <v>1</v>
      </c>
      <c r="F99" s="233"/>
      <c r="G99" s="233">
        <v>1</v>
      </c>
      <c r="H99" s="233"/>
      <c r="I99" s="233">
        <v>1</v>
      </c>
      <c r="J99" s="233"/>
      <c r="K99" s="233">
        <v>1</v>
      </c>
      <c r="L99" s="233"/>
      <c r="M99" s="233">
        <v>1</v>
      </c>
      <c r="N99" s="233"/>
      <c r="O99" s="233">
        <v>1</v>
      </c>
      <c r="P99" s="233"/>
      <c r="Q99" s="233">
        <v>1</v>
      </c>
      <c r="R99" s="50">
        <f t="shared" si="171"/>
        <v>1550</v>
      </c>
      <c r="S99" s="51">
        <f t="shared" si="137"/>
        <v>0</v>
      </c>
      <c r="T99" s="11">
        <f t="shared" si="138"/>
        <v>1949.9999999999998</v>
      </c>
      <c r="U99" s="52">
        <f t="shared" si="139"/>
        <v>0</v>
      </c>
      <c r="V99" s="52" t="str">
        <f t="shared" si="140"/>
        <v>BONO+B ASIS</v>
      </c>
      <c r="W99" s="53">
        <f t="shared" si="141"/>
        <v>243.97333333333333</v>
      </c>
      <c r="X99" s="53">
        <f t="shared" si="142"/>
        <v>7.18</v>
      </c>
      <c r="Y99" s="53">
        <f t="shared" si="143"/>
        <v>7.18</v>
      </c>
      <c r="Z99" s="54">
        <f t="shared" si="144"/>
        <v>258.33333333333331</v>
      </c>
      <c r="AA99" s="55"/>
      <c r="AB99" s="53">
        <f t="shared" si="145"/>
        <v>243.97333333333333</v>
      </c>
      <c r="AC99" s="53">
        <f t="shared" si="146"/>
        <v>7.18</v>
      </c>
      <c r="AD99" s="53">
        <f t="shared" si="147"/>
        <v>7.18</v>
      </c>
      <c r="AE99" s="54">
        <f t="shared" si="148"/>
        <v>258.33333333333331</v>
      </c>
      <c r="AF99" s="56"/>
      <c r="AG99" s="53">
        <f t="shared" si="149"/>
        <v>243.97333333333333</v>
      </c>
      <c r="AH99" s="53">
        <f t="shared" si="150"/>
        <v>7.18</v>
      </c>
      <c r="AI99" s="53">
        <f t="shared" si="151"/>
        <v>7.18</v>
      </c>
      <c r="AJ99" s="54">
        <f t="shared" si="152"/>
        <v>258.33333333333331</v>
      </c>
      <c r="AK99" s="57"/>
      <c r="AL99" s="53">
        <f t="shared" si="153"/>
        <v>243.97333333333333</v>
      </c>
      <c r="AM99" s="53">
        <f t="shared" si="154"/>
        <v>7.18</v>
      </c>
      <c r="AN99" s="53">
        <f t="shared" si="155"/>
        <v>7.18</v>
      </c>
      <c r="AO99" s="54">
        <f t="shared" si="156"/>
        <v>258.33333333333331</v>
      </c>
      <c r="AP99" s="56"/>
      <c r="AQ99" s="53">
        <f t="shared" si="157"/>
        <v>243.97333333333333</v>
      </c>
      <c r="AR99" s="53">
        <f t="shared" si="158"/>
        <v>7.18</v>
      </c>
      <c r="AS99" s="53">
        <f t="shared" si="159"/>
        <v>7.18</v>
      </c>
      <c r="AT99" s="54">
        <f t="shared" si="160"/>
        <v>258.33333333333331</v>
      </c>
      <c r="AU99" s="56"/>
      <c r="AV99" s="53">
        <f t="shared" si="161"/>
        <v>243.97333333333333</v>
      </c>
      <c r="AW99" s="53">
        <f t="shared" si="162"/>
        <v>7.18</v>
      </c>
      <c r="AX99" s="53">
        <f t="shared" si="163"/>
        <v>7.18</v>
      </c>
      <c r="AY99" s="54">
        <f t="shared" si="164"/>
        <v>258.33333333333331</v>
      </c>
      <c r="AZ99" s="58">
        <f t="shared" si="170"/>
        <v>1549.9999999999998</v>
      </c>
      <c r="BA99" s="59">
        <f t="shared" si="180"/>
        <v>1949.9999999999998</v>
      </c>
      <c r="BB99" s="60"/>
      <c r="BC99" s="60"/>
      <c r="BD99" s="60"/>
      <c r="BE99" s="60"/>
      <c r="BF99" s="60"/>
      <c r="BG99" s="131" t="s">
        <v>133</v>
      </c>
      <c r="BH99" s="62"/>
      <c r="BI99" s="63">
        <v>250</v>
      </c>
      <c r="BJ99" s="63">
        <v>150</v>
      </c>
      <c r="BK99" s="64"/>
      <c r="BL99" s="63"/>
      <c r="BM99" s="65"/>
      <c r="BN99" s="65"/>
      <c r="BO99" s="66"/>
      <c r="BP99" s="67"/>
      <c r="BQ99" s="21"/>
      <c r="BR99" s="48"/>
      <c r="BS99" s="48"/>
      <c r="BT99" s="68"/>
      <c r="BU99" s="1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</row>
    <row r="100" spans="1:188" s="69" customFormat="1" ht="15.75" customHeight="1" thickBot="1" x14ac:dyDescent="0.35">
      <c r="A100" s="1"/>
      <c r="B100" s="359">
        <v>173</v>
      </c>
      <c r="C100" s="34">
        <f t="shared" si="136"/>
        <v>20</v>
      </c>
      <c r="D100" s="274" t="s">
        <v>160</v>
      </c>
      <c r="E100" s="233">
        <v>1</v>
      </c>
      <c r="F100" s="378" t="s">
        <v>149</v>
      </c>
      <c r="G100" s="233">
        <v>1</v>
      </c>
      <c r="H100" s="233"/>
      <c r="I100" s="233">
        <v>1</v>
      </c>
      <c r="J100" s="233"/>
      <c r="K100" s="233">
        <v>1</v>
      </c>
      <c r="L100" s="233"/>
      <c r="M100" s="233">
        <v>1</v>
      </c>
      <c r="N100" s="233"/>
      <c r="O100" s="233">
        <v>1</v>
      </c>
      <c r="P100" s="233"/>
      <c r="Q100" s="233">
        <v>1</v>
      </c>
      <c r="R100" s="339">
        <v>2000</v>
      </c>
      <c r="S100" s="51">
        <f t="shared" ref="S100" si="184">+BH100</f>
        <v>0</v>
      </c>
      <c r="T100" s="11">
        <f t="shared" si="138"/>
        <v>2150</v>
      </c>
      <c r="U100" s="52">
        <f t="shared" ref="U100" si="185">+BP100</f>
        <v>0</v>
      </c>
      <c r="V100" s="52" t="str">
        <f t="shared" ref="V100" si="186">+BG100</f>
        <v>B ASIS</v>
      </c>
      <c r="W100" s="53">
        <f t="shared" si="141"/>
        <v>318.9733333333333</v>
      </c>
      <c r="X100" s="53">
        <f t="shared" si="142"/>
        <v>7.18</v>
      </c>
      <c r="Y100" s="53">
        <f t="shared" si="143"/>
        <v>7.18</v>
      </c>
      <c r="Z100" s="54">
        <f t="shared" si="144"/>
        <v>333.33333333333331</v>
      </c>
      <c r="AA100" s="55"/>
      <c r="AB100" s="53">
        <f t="shared" si="145"/>
        <v>318.9733333333333</v>
      </c>
      <c r="AC100" s="53">
        <f t="shared" si="146"/>
        <v>7.18</v>
      </c>
      <c r="AD100" s="53">
        <f t="shared" si="147"/>
        <v>7.18</v>
      </c>
      <c r="AE100" s="54">
        <f t="shared" si="148"/>
        <v>333.33333333333331</v>
      </c>
      <c r="AF100" s="56"/>
      <c r="AG100" s="53">
        <f t="shared" si="149"/>
        <v>318.9733333333333</v>
      </c>
      <c r="AH100" s="53">
        <f t="shared" si="150"/>
        <v>7.18</v>
      </c>
      <c r="AI100" s="53">
        <f t="shared" si="151"/>
        <v>7.18</v>
      </c>
      <c r="AJ100" s="54">
        <f t="shared" si="152"/>
        <v>333.33333333333331</v>
      </c>
      <c r="AK100" s="57"/>
      <c r="AL100" s="53">
        <f t="shared" si="153"/>
        <v>318.9733333333333</v>
      </c>
      <c r="AM100" s="53">
        <f t="shared" si="154"/>
        <v>7.18</v>
      </c>
      <c r="AN100" s="53">
        <f t="shared" si="155"/>
        <v>7.18</v>
      </c>
      <c r="AO100" s="54">
        <f t="shared" si="156"/>
        <v>333.33333333333331</v>
      </c>
      <c r="AP100" s="56"/>
      <c r="AQ100" s="53">
        <f t="shared" si="157"/>
        <v>318.9733333333333</v>
      </c>
      <c r="AR100" s="53">
        <f t="shared" si="158"/>
        <v>7.18</v>
      </c>
      <c r="AS100" s="53">
        <f t="shared" si="159"/>
        <v>7.18</v>
      </c>
      <c r="AT100" s="54">
        <f t="shared" si="160"/>
        <v>333.33333333333331</v>
      </c>
      <c r="AU100" s="56"/>
      <c r="AV100" s="53">
        <f t="shared" si="161"/>
        <v>318.9733333333333</v>
      </c>
      <c r="AW100" s="53">
        <f t="shared" si="162"/>
        <v>7.18</v>
      </c>
      <c r="AX100" s="53">
        <f t="shared" si="163"/>
        <v>7.18</v>
      </c>
      <c r="AY100" s="54">
        <f t="shared" si="164"/>
        <v>333.33333333333331</v>
      </c>
      <c r="AZ100" s="58">
        <f t="shared" si="170"/>
        <v>1999.9999999999998</v>
      </c>
      <c r="BA100" s="59">
        <f t="shared" si="180"/>
        <v>2150</v>
      </c>
      <c r="BB100" s="60"/>
      <c r="BC100" s="60"/>
      <c r="BD100" s="60"/>
      <c r="BE100" s="60"/>
      <c r="BF100" s="60"/>
      <c r="BG100" s="131" t="s">
        <v>175</v>
      </c>
      <c r="BH100" s="62"/>
      <c r="BI100" s="63"/>
      <c r="BJ100" s="63">
        <v>150</v>
      </c>
      <c r="BK100" s="64"/>
      <c r="BL100" s="63"/>
      <c r="BM100" s="65"/>
      <c r="BN100" s="65"/>
      <c r="BO100" s="66"/>
      <c r="BP100" s="67"/>
      <c r="BQ100" s="21"/>
      <c r="BR100" s="48"/>
      <c r="BS100" s="48"/>
      <c r="BT100" s="68"/>
      <c r="BU100" s="1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</row>
    <row r="101" spans="1:188" ht="15.75" customHeight="1" thickBot="1" x14ac:dyDescent="0.35">
      <c r="A101" s="1">
        <v>489</v>
      </c>
      <c r="B101" s="78"/>
      <c r="C101" s="79"/>
      <c r="D101" s="21"/>
      <c r="E101" s="80">
        <f>SUM(E81:E100)</f>
        <v>19</v>
      </c>
      <c r="F101" s="80"/>
      <c r="G101" s="80">
        <f>SUM(G81:G100)</f>
        <v>19</v>
      </c>
      <c r="H101" s="80"/>
      <c r="I101" s="80">
        <f>SUM(I81:I100)</f>
        <v>19</v>
      </c>
      <c r="J101" s="81"/>
      <c r="K101" s="80">
        <f>SUM(K81:K100)</f>
        <v>18</v>
      </c>
      <c r="L101" s="81"/>
      <c r="M101" s="80">
        <f>SUM(M81:M100)</f>
        <v>19</v>
      </c>
      <c r="N101" s="81"/>
      <c r="O101" s="80">
        <f>SUM(O81:O100)</f>
        <v>19</v>
      </c>
      <c r="P101" s="80"/>
      <c r="Q101" s="8"/>
      <c r="R101" s="82"/>
      <c r="S101" s="51"/>
      <c r="T101" s="11"/>
      <c r="U101" s="52"/>
      <c r="V101" s="52"/>
      <c r="W101" s="53"/>
      <c r="X101" s="53"/>
      <c r="Y101" s="53"/>
      <c r="Z101" s="54"/>
      <c r="AA101" s="55"/>
      <c r="AB101" s="53"/>
      <c r="AC101" s="53"/>
      <c r="AD101" s="53"/>
      <c r="AE101" s="54"/>
      <c r="AF101" s="56"/>
      <c r="AG101" s="53"/>
      <c r="AH101" s="53"/>
      <c r="AI101" s="53">
        <f t="shared" si="151"/>
        <v>0</v>
      </c>
      <c r="AJ101" s="54"/>
      <c r="AK101" s="57"/>
      <c r="AL101" s="53"/>
      <c r="AM101" s="53"/>
      <c r="AN101" s="53"/>
      <c r="AO101" s="54"/>
      <c r="AP101" s="56"/>
      <c r="AQ101" s="53"/>
      <c r="AR101" s="53"/>
      <c r="AS101" s="53"/>
      <c r="AT101" s="54">
        <f t="shared" si="160"/>
        <v>0</v>
      </c>
      <c r="AU101" s="56"/>
      <c r="AV101" s="53"/>
      <c r="AW101" s="53"/>
      <c r="AX101" s="53"/>
      <c r="AY101" s="54"/>
      <c r="AZ101" s="58"/>
      <c r="BA101" s="59"/>
      <c r="BG101" s="83"/>
      <c r="BL101" s="64"/>
      <c r="BO101" s="67"/>
      <c r="BP101" s="67"/>
      <c r="BQ101" s="21"/>
      <c r="BR101" s="84"/>
      <c r="BS101" s="84"/>
      <c r="BU101" s="1">
        <v>489</v>
      </c>
    </row>
    <row r="102" spans="1:188" ht="15.75" customHeight="1" x14ac:dyDescent="0.3">
      <c r="A102" s="1"/>
      <c r="B102" s="78"/>
      <c r="C102" s="79"/>
      <c r="D102" s="21"/>
      <c r="E102" s="80"/>
      <c r="F102" s="80"/>
      <c r="G102" s="80"/>
      <c r="H102" s="80"/>
      <c r="I102" s="80"/>
      <c r="J102" s="81"/>
      <c r="K102" s="80"/>
      <c r="L102" s="81"/>
      <c r="M102" s="80"/>
      <c r="N102" s="81"/>
      <c r="O102" s="80"/>
      <c r="P102" s="80"/>
      <c r="Q102" s="8"/>
      <c r="R102" s="82"/>
      <c r="S102" s="51"/>
      <c r="T102" s="11"/>
      <c r="U102" s="52"/>
      <c r="V102" s="52"/>
      <c r="W102" s="9"/>
      <c r="X102" s="9"/>
      <c r="Y102" s="9"/>
      <c r="Z102" s="9"/>
      <c r="AA102" s="42"/>
      <c r="AB102" s="9"/>
      <c r="AC102" s="9"/>
      <c r="AD102" s="9"/>
      <c r="AE102" s="9"/>
      <c r="AF102" s="42"/>
      <c r="AG102" s="9"/>
      <c r="AH102" s="9"/>
      <c r="AI102" s="9"/>
      <c r="AJ102" s="9"/>
      <c r="AK102" s="9"/>
      <c r="AL102" s="9"/>
      <c r="AM102" s="9"/>
      <c r="AN102" s="9"/>
      <c r="AO102" s="9"/>
      <c r="AP102" s="42"/>
      <c r="AQ102" s="9"/>
      <c r="AR102" s="9"/>
      <c r="AS102" s="9"/>
      <c r="AT102" s="9"/>
      <c r="AU102" s="42"/>
      <c r="AV102" s="9"/>
      <c r="AW102" s="9"/>
      <c r="AX102" s="9"/>
      <c r="AY102" s="9"/>
      <c r="AZ102" s="58"/>
      <c r="BA102" s="59"/>
      <c r="BG102" s="83"/>
      <c r="BL102" s="64"/>
      <c r="BO102" s="67"/>
      <c r="BP102" s="67"/>
      <c r="BQ102" s="21"/>
      <c r="BR102" s="84"/>
      <c r="BS102" s="84"/>
      <c r="BU102" s="1"/>
    </row>
    <row r="103" spans="1:188" ht="15.75" customHeight="1" thickBot="1" x14ac:dyDescent="0.35">
      <c r="A103" s="1">
        <v>490</v>
      </c>
      <c r="B103" s="88" t="s">
        <v>26</v>
      </c>
      <c r="C103" s="89" t="s">
        <v>27</v>
      </c>
      <c r="D103" s="90"/>
      <c r="E103" s="8"/>
      <c r="F103" s="91"/>
      <c r="G103" s="42" t="s">
        <v>8</v>
      </c>
      <c r="H103" s="42"/>
      <c r="I103" s="42" t="s">
        <v>9</v>
      </c>
      <c r="J103" s="42"/>
      <c r="K103" s="42" t="s">
        <v>9</v>
      </c>
      <c r="L103" s="42"/>
      <c r="M103" s="42" t="s">
        <v>10</v>
      </c>
      <c r="N103" s="42"/>
      <c r="O103" s="42" t="s">
        <v>11</v>
      </c>
      <c r="P103" s="42"/>
      <c r="Q103" s="42" t="s">
        <v>12</v>
      </c>
      <c r="R103" s="42"/>
      <c r="S103" s="9"/>
      <c r="T103" s="11"/>
      <c r="U103" s="11"/>
      <c r="V103" s="11"/>
      <c r="W103" s="12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59"/>
      <c r="BO103" s="92"/>
      <c r="BP103" s="92"/>
      <c r="BQ103" s="21"/>
      <c r="BR103" s="21"/>
      <c r="BS103" s="21"/>
      <c r="BT103" s="68"/>
      <c r="BU103" s="1">
        <v>490</v>
      </c>
    </row>
    <row r="104" spans="1:188" ht="20.25" customHeight="1" thickBot="1" x14ac:dyDescent="0.35">
      <c r="A104" s="1">
        <v>491</v>
      </c>
      <c r="B104" s="21">
        <f>E100</f>
        <v>1</v>
      </c>
      <c r="C104" s="93">
        <f>G109</f>
        <v>19</v>
      </c>
      <c r="D104" s="94">
        <f t="shared" ref="D104:D111" si="187">+B104-C104</f>
        <v>-18</v>
      </c>
      <c r="E104" s="95"/>
      <c r="F104" s="96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8" t="s">
        <v>28</v>
      </c>
      <c r="S104" s="10"/>
      <c r="T104" s="10"/>
      <c r="U104" s="94"/>
      <c r="V104" s="40"/>
      <c r="W104" s="42"/>
      <c r="X104" s="9"/>
      <c r="Y104" s="9"/>
      <c r="Z104" s="9"/>
      <c r="AA104" s="9"/>
      <c r="AB104" s="42"/>
      <c r="AC104" s="9"/>
      <c r="AD104" s="9"/>
      <c r="AE104" s="9"/>
      <c r="AF104" s="9"/>
      <c r="AG104" s="42"/>
      <c r="AH104" s="9"/>
      <c r="AI104" s="9"/>
      <c r="AJ104" s="9"/>
      <c r="AK104" s="9"/>
      <c r="AL104" s="9"/>
      <c r="AM104" s="9"/>
      <c r="AN104" s="9"/>
      <c r="AO104" s="9"/>
      <c r="AP104" s="9"/>
      <c r="AQ104" s="42"/>
      <c r="AR104" s="9"/>
      <c r="AS104" s="9"/>
      <c r="AT104" s="9"/>
      <c r="AU104" s="9"/>
      <c r="AV104" s="42"/>
      <c r="AW104" s="9"/>
      <c r="AX104" s="9"/>
      <c r="AY104" s="9"/>
      <c r="AZ104" s="99"/>
      <c r="BA104" s="59"/>
      <c r="BE104" s="100"/>
      <c r="BO104" s="101"/>
      <c r="BP104" s="92"/>
      <c r="BQ104" s="21"/>
      <c r="BR104" s="21"/>
      <c r="BS104" s="21"/>
      <c r="BT104" s="68"/>
      <c r="BU104" s="1">
        <v>491</v>
      </c>
    </row>
    <row r="105" spans="1:188" ht="20.25" customHeight="1" thickBot="1" x14ac:dyDescent="0.35">
      <c r="A105" s="1">
        <v>492</v>
      </c>
      <c r="B105" s="21">
        <f>G100</f>
        <v>1</v>
      </c>
      <c r="C105" s="93">
        <f>I109</f>
        <v>19</v>
      </c>
      <c r="D105" s="94">
        <f t="shared" si="187"/>
        <v>-18</v>
      </c>
      <c r="E105" s="102" t="s">
        <v>32</v>
      </c>
      <c r="F105" s="103"/>
      <c r="G105" s="104">
        <v>12</v>
      </c>
      <c r="H105" s="105"/>
      <c r="I105" s="104">
        <v>12</v>
      </c>
      <c r="J105" s="105"/>
      <c r="K105" s="104">
        <v>12</v>
      </c>
      <c r="L105" s="105"/>
      <c r="M105" s="104">
        <v>12</v>
      </c>
      <c r="N105" s="105"/>
      <c r="O105" s="104">
        <v>12</v>
      </c>
      <c r="P105" s="105"/>
      <c r="Q105" s="104">
        <v>12</v>
      </c>
      <c r="R105" s="111">
        <f t="shared" ref="R105:R108" si="188">AVERAGE(G105,I105,K105,M105,O105,Q105)</f>
        <v>12</v>
      </c>
      <c r="S105" s="10"/>
      <c r="T105" s="11"/>
      <c r="U105" s="94"/>
      <c r="V105" s="40"/>
      <c r="W105" s="42"/>
      <c r="X105" s="9"/>
      <c r="Y105" s="9"/>
      <c r="Z105" s="9"/>
      <c r="AA105" s="9"/>
      <c r="AB105" s="42"/>
      <c r="AC105" s="9"/>
      <c r="AD105" s="9"/>
      <c r="AE105" s="9"/>
      <c r="AF105" s="9"/>
      <c r="AG105" s="42"/>
      <c r="AH105" s="9"/>
      <c r="AI105" s="9"/>
      <c r="AJ105" s="9"/>
      <c r="AK105" s="9"/>
      <c r="AL105" s="9"/>
      <c r="AM105" s="9"/>
      <c r="AN105" s="9"/>
      <c r="AO105" s="9"/>
      <c r="AP105" s="9"/>
      <c r="AQ105" s="42"/>
      <c r="AR105" s="9"/>
      <c r="AS105" s="9"/>
      <c r="AT105" s="9"/>
      <c r="AU105" s="9"/>
      <c r="AV105" s="42"/>
      <c r="AW105" s="9"/>
      <c r="AX105" s="9"/>
      <c r="AY105" s="9"/>
      <c r="AZ105" s="99"/>
      <c r="BA105" s="59"/>
      <c r="BE105" s="100"/>
      <c r="BO105" s="101"/>
      <c r="BP105" s="92"/>
      <c r="BQ105" s="21"/>
      <c r="BR105" s="21"/>
      <c r="BS105" s="21"/>
      <c r="BT105" s="68"/>
      <c r="BU105" s="1">
        <v>492</v>
      </c>
    </row>
    <row r="106" spans="1:188" ht="20.25" customHeight="1" thickBot="1" x14ac:dyDescent="0.35">
      <c r="A106" s="1"/>
      <c r="B106" s="21"/>
      <c r="C106" s="93"/>
      <c r="D106" s="94"/>
      <c r="E106" s="102" t="s">
        <v>22</v>
      </c>
      <c r="F106" s="103"/>
      <c r="G106" s="104">
        <v>0</v>
      </c>
      <c r="H106" s="105"/>
      <c r="I106" s="104">
        <v>0</v>
      </c>
      <c r="J106" s="105"/>
      <c r="K106" s="104">
        <v>0</v>
      </c>
      <c r="L106" s="105"/>
      <c r="M106" s="104">
        <v>0</v>
      </c>
      <c r="N106" s="105"/>
      <c r="O106" s="104">
        <v>0</v>
      </c>
      <c r="P106" s="105"/>
      <c r="Q106" s="104">
        <v>0</v>
      </c>
      <c r="R106" s="111">
        <f t="shared" si="188"/>
        <v>0</v>
      </c>
      <c r="S106" s="10"/>
      <c r="T106" s="11"/>
      <c r="U106" s="94"/>
      <c r="V106" s="40"/>
      <c r="W106" s="42"/>
      <c r="X106" s="9"/>
      <c r="Y106" s="9"/>
      <c r="Z106" s="9"/>
      <c r="AA106" s="9"/>
      <c r="AB106" s="42"/>
      <c r="AC106" s="9"/>
      <c r="AD106" s="9"/>
      <c r="AE106" s="9"/>
      <c r="AF106" s="9"/>
      <c r="AG106" s="42"/>
      <c r="AH106" s="9"/>
      <c r="AI106" s="9"/>
      <c r="AJ106" s="9"/>
      <c r="AK106" s="9"/>
      <c r="AL106" s="9"/>
      <c r="AM106" s="9"/>
      <c r="AN106" s="9"/>
      <c r="AO106" s="9"/>
      <c r="AP106" s="9"/>
      <c r="AQ106" s="42"/>
      <c r="AR106" s="9"/>
      <c r="AS106" s="9"/>
      <c r="AT106" s="9"/>
      <c r="AU106" s="9"/>
      <c r="AV106" s="42"/>
      <c r="AW106" s="9"/>
      <c r="AX106" s="9"/>
      <c r="AY106" s="9"/>
      <c r="AZ106" s="99"/>
      <c r="BA106" s="59"/>
      <c r="BE106" s="100"/>
      <c r="BO106" s="101"/>
      <c r="BP106" s="92"/>
      <c r="BQ106" s="21"/>
      <c r="BR106" s="21"/>
      <c r="BS106" s="21"/>
      <c r="BT106" s="68"/>
      <c r="BU106" s="1"/>
    </row>
    <row r="107" spans="1:188" ht="20.25" customHeight="1" thickBot="1" x14ac:dyDescent="0.35">
      <c r="A107" s="1"/>
      <c r="B107" s="21"/>
      <c r="C107" s="93"/>
      <c r="D107" s="94"/>
      <c r="E107" s="102" t="s">
        <v>92</v>
      </c>
      <c r="F107" s="103"/>
      <c r="G107" s="104">
        <v>0</v>
      </c>
      <c r="H107" s="105"/>
      <c r="I107" s="104">
        <v>0</v>
      </c>
      <c r="J107" s="105"/>
      <c r="K107" s="104">
        <v>0</v>
      </c>
      <c r="L107" s="105"/>
      <c r="M107" s="104">
        <v>0</v>
      </c>
      <c r="N107" s="105"/>
      <c r="O107" s="104">
        <v>0</v>
      </c>
      <c r="P107" s="105"/>
      <c r="Q107" s="104">
        <v>0</v>
      </c>
      <c r="R107" s="111">
        <f t="shared" si="188"/>
        <v>0</v>
      </c>
      <c r="S107" s="10"/>
      <c r="T107" s="11"/>
      <c r="U107" s="94"/>
      <c r="V107" s="40"/>
      <c r="W107" s="42"/>
      <c r="X107" s="9"/>
      <c r="Y107" s="9"/>
      <c r="Z107" s="9"/>
      <c r="AA107" s="9"/>
      <c r="AB107" s="42"/>
      <c r="AC107" s="9"/>
      <c r="AD107" s="9"/>
      <c r="AE107" s="9"/>
      <c r="AF107" s="9"/>
      <c r="AG107" s="42"/>
      <c r="AH107" s="9"/>
      <c r="AI107" s="9"/>
      <c r="AJ107" s="9"/>
      <c r="AK107" s="9"/>
      <c r="AL107" s="9"/>
      <c r="AM107" s="9"/>
      <c r="AN107" s="9"/>
      <c r="AO107" s="9"/>
      <c r="AP107" s="9"/>
      <c r="AQ107" s="42"/>
      <c r="AR107" s="9"/>
      <c r="AS107" s="9"/>
      <c r="AT107" s="9"/>
      <c r="AU107" s="9"/>
      <c r="AV107" s="42"/>
      <c r="AW107" s="9"/>
      <c r="AX107" s="9"/>
      <c r="AY107" s="9"/>
      <c r="AZ107" s="99"/>
      <c r="BA107" s="59"/>
      <c r="BE107" s="100"/>
      <c r="BO107" s="101"/>
      <c r="BP107" s="92"/>
      <c r="BQ107" s="21"/>
      <c r="BR107" s="21"/>
      <c r="BS107" s="21"/>
      <c r="BT107" s="68"/>
      <c r="BU107" s="1"/>
    </row>
    <row r="108" spans="1:188" ht="20.25" customHeight="1" thickBot="1" x14ac:dyDescent="0.35">
      <c r="A108" s="1">
        <v>492</v>
      </c>
      <c r="B108" s="21">
        <f>I100</f>
        <v>1</v>
      </c>
      <c r="C108" s="93">
        <f>K109</f>
        <v>19</v>
      </c>
      <c r="D108" s="94">
        <f t="shared" si="187"/>
        <v>-18</v>
      </c>
      <c r="E108" s="102" t="s">
        <v>30</v>
      </c>
      <c r="F108" s="103"/>
      <c r="G108" s="104">
        <v>7</v>
      </c>
      <c r="H108" s="105"/>
      <c r="I108" s="104">
        <v>7</v>
      </c>
      <c r="J108" s="105"/>
      <c r="K108" s="104">
        <v>7</v>
      </c>
      <c r="L108" s="105"/>
      <c r="M108" s="104">
        <v>6</v>
      </c>
      <c r="N108" s="105"/>
      <c r="O108" s="104">
        <v>7</v>
      </c>
      <c r="P108" s="105"/>
      <c r="Q108" s="104">
        <v>7</v>
      </c>
      <c r="R108" s="111">
        <f t="shared" si="188"/>
        <v>6.833333333333333</v>
      </c>
      <c r="S108" s="10"/>
      <c r="T108" s="11"/>
      <c r="U108" s="94"/>
      <c r="V108" s="40"/>
      <c r="W108" s="42"/>
      <c r="X108" s="9"/>
      <c r="Y108" s="9"/>
      <c r="Z108" s="9"/>
      <c r="AA108" s="9"/>
      <c r="AB108" s="42"/>
      <c r="AC108" s="9"/>
      <c r="AD108" s="9"/>
      <c r="AE108" s="9"/>
      <c r="AF108" s="9"/>
      <c r="AG108" s="42"/>
      <c r="AH108" s="9"/>
      <c r="AI108" s="9"/>
      <c r="AJ108" s="9"/>
      <c r="AK108" s="9"/>
      <c r="AL108" s="9"/>
      <c r="AM108" s="9"/>
      <c r="AN108" s="9"/>
      <c r="AO108" s="9"/>
      <c r="AP108" s="9"/>
      <c r="AQ108" s="42"/>
      <c r="AR108" s="9"/>
      <c r="AS108" s="9"/>
      <c r="AT108" s="9"/>
      <c r="AU108" s="9"/>
      <c r="AV108" s="42"/>
      <c r="AW108" s="9"/>
      <c r="AX108" s="9"/>
      <c r="AY108" s="9"/>
      <c r="AZ108" s="99"/>
      <c r="BA108" s="59"/>
      <c r="BE108" s="100"/>
      <c r="BO108" s="101"/>
      <c r="BP108" s="92"/>
      <c r="BQ108" s="21"/>
      <c r="BR108" s="21"/>
      <c r="BS108" s="21"/>
      <c r="BT108" s="68"/>
      <c r="BU108" s="1">
        <v>492</v>
      </c>
    </row>
    <row r="109" spans="1:188" ht="20.25" customHeight="1" thickBot="1" x14ac:dyDescent="0.35">
      <c r="A109" s="1">
        <v>493</v>
      </c>
      <c r="B109" s="21">
        <f>K100</f>
        <v>1</v>
      </c>
      <c r="C109" s="93">
        <f>M109</f>
        <v>18</v>
      </c>
      <c r="D109" s="94">
        <f t="shared" si="187"/>
        <v>-17</v>
      </c>
      <c r="E109" s="108"/>
      <c r="F109" s="109"/>
      <c r="G109" s="110">
        <f>SUM(G105:G108)</f>
        <v>19</v>
      </c>
      <c r="H109" s="110"/>
      <c r="I109" s="110">
        <f>SUM(I105:I108)</f>
        <v>19</v>
      </c>
      <c r="J109" s="110"/>
      <c r="K109" s="110">
        <f>SUM(K105:K108)</f>
        <v>19</v>
      </c>
      <c r="L109" s="110"/>
      <c r="M109" s="110">
        <f>SUM(M105:M108)</f>
        <v>18</v>
      </c>
      <c r="N109" s="110"/>
      <c r="O109" s="110">
        <f>SUM(O105:O108)</f>
        <v>19</v>
      </c>
      <c r="P109" s="110"/>
      <c r="Q109" s="110">
        <f>SUM(Q105:Q108)</f>
        <v>19</v>
      </c>
      <c r="R109" s="111">
        <f>AVERAGE(G109,I109,K109,M109,O109,Q109)</f>
        <v>18.833333333333332</v>
      </c>
      <c r="S109" s="10"/>
      <c r="T109" s="11"/>
      <c r="U109" s="94"/>
      <c r="V109" s="40"/>
      <c r="W109" s="42"/>
      <c r="X109" s="9"/>
      <c r="Y109" s="9"/>
      <c r="Z109" s="9"/>
      <c r="AA109" s="9"/>
      <c r="AB109" s="42"/>
      <c r="AC109" s="9"/>
      <c r="AD109" s="9"/>
      <c r="AE109" s="9"/>
      <c r="AF109" s="9"/>
      <c r="AG109" s="42"/>
      <c r="AH109" s="9"/>
      <c r="AI109" s="9"/>
      <c r="AJ109" s="9"/>
      <c r="AK109" s="9"/>
      <c r="AL109" s="9"/>
      <c r="AM109" s="9"/>
      <c r="AN109" s="9"/>
      <c r="AO109" s="9"/>
      <c r="AP109" s="9"/>
      <c r="AQ109" s="42"/>
      <c r="AR109" s="9"/>
      <c r="AS109" s="9"/>
      <c r="AT109" s="9"/>
      <c r="AU109" s="9"/>
      <c r="AV109" s="42"/>
      <c r="AW109" s="9"/>
      <c r="AX109" s="9"/>
      <c r="AY109" s="9"/>
      <c r="AZ109" s="99"/>
      <c r="BA109" s="59"/>
      <c r="BE109" s="100"/>
      <c r="BO109" s="101"/>
      <c r="BP109" s="92"/>
      <c r="BQ109" s="21"/>
      <c r="BR109" s="21"/>
      <c r="BS109" s="21"/>
      <c r="BT109" s="68"/>
      <c r="BU109" s="1">
        <v>493</v>
      </c>
    </row>
    <row r="110" spans="1:188" ht="20.25" customHeight="1" x14ac:dyDescent="0.3">
      <c r="A110" s="1">
        <v>494</v>
      </c>
      <c r="B110" s="21">
        <f>M100</f>
        <v>1</v>
      </c>
      <c r="C110" s="93">
        <f>O109</f>
        <v>19</v>
      </c>
      <c r="D110" s="94">
        <f t="shared" si="187"/>
        <v>-18</v>
      </c>
      <c r="E110" s="112"/>
      <c r="F110" s="113"/>
      <c r="G110" s="112"/>
      <c r="H110" s="114"/>
      <c r="I110" s="112"/>
      <c r="J110" s="114"/>
      <c r="K110" s="112"/>
      <c r="L110" s="114"/>
      <c r="M110" s="112"/>
      <c r="N110" s="114"/>
      <c r="O110" s="112"/>
      <c r="P110" s="114"/>
      <c r="Q110" s="112"/>
      <c r="R110" s="115"/>
      <c r="S110" s="10"/>
      <c r="T110" s="128">
        <f>SUM(R105:R108)</f>
        <v>18.833333333333332</v>
      </c>
      <c r="U110" s="94"/>
      <c r="V110" s="40"/>
      <c r="W110" s="42"/>
      <c r="X110" s="9"/>
      <c r="Y110" s="9"/>
      <c r="Z110" s="9"/>
      <c r="AA110" s="9"/>
      <c r="AB110" s="42"/>
      <c r="AC110" s="9"/>
      <c r="AD110" s="9"/>
      <c r="AE110" s="9"/>
      <c r="AF110" s="9"/>
      <c r="AG110" s="42"/>
      <c r="AH110" s="9"/>
      <c r="AI110" s="9"/>
      <c r="AJ110" s="9"/>
      <c r="AK110" s="9"/>
      <c r="AL110" s="9"/>
      <c r="AM110" s="9"/>
      <c r="AN110" s="9"/>
      <c r="AO110" s="9"/>
      <c r="AP110" s="9"/>
      <c r="AQ110" s="42"/>
      <c r="AR110" s="9"/>
      <c r="AS110" s="9"/>
      <c r="AT110" s="9"/>
      <c r="AU110" s="9"/>
      <c r="AV110" s="42"/>
      <c r="AW110" s="9"/>
      <c r="AX110" s="9"/>
      <c r="AY110" s="9"/>
      <c r="AZ110" s="99"/>
      <c r="BA110" s="59"/>
      <c r="BE110" s="100"/>
      <c r="BO110" s="101"/>
      <c r="BP110" s="92"/>
      <c r="BQ110" s="21"/>
      <c r="BR110" s="21"/>
      <c r="BS110" s="21"/>
      <c r="BT110" s="68"/>
      <c r="BU110" s="1">
        <v>494</v>
      </c>
    </row>
    <row r="111" spans="1:188" ht="20.25" customHeight="1" x14ac:dyDescent="0.4">
      <c r="A111" s="1">
        <v>495</v>
      </c>
      <c r="B111" s="21">
        <f>O100</f>
        <v>1</v>
      </c>
      <c r="C111" s="93">
        <f>Q109</f>
        <v>19</v>
      </c>
      <c r="D111" s="94">
        <f t="shared" si="187"/>
        <v>-18</v>
      </c>
      <c r="E111" s="8"/>
      <c r="F111" s="85"/>
      <c r="G111" s="8"/>
      <c r="H111" s="22"/>
      <c r="I111" s="8"/>
      <c r="J111" s="22"/>
      <c r="K111" s="8"/>
      <c r="L111" s="22"/>
      <c r="M111" s="8"/>
      <c r="N111" s="22"/>
      <c r="O111" s="8"/>
      <c r="P111" s="22"/>
      <c r="Q111" s="8"/>
      <c r="R111" s="82"/>
      <c r="S111" s="51"/>
      <c r="T111" s="11"/>
      <c r="U111" s="11"/>
      <c r="V111" s="52"/>
      <c r="W111" s="9"/>
      <c r="X111" s="9"/>
      <c r="Y111" s="9"/>
      <c r="Z111" s="9"/>
      <c r="AA111" s="42"/>
      <c r="AB111" s="9"/>
      <c r="AC111" s="9"/>
      <c r="AD111" s="9"/>
      <c r="AE111" s="9"/>
      <c r="AF111" s="42"/>
      <c r="AG111" s="9"/>
      <c r="AH111" s="9"/>
      <c r="AI111" s="9"/>
      <c r="AJ111" s="9"/>
      <c r="AK111" s="9"/>
      <c r="AL111" s="9"/>
      <c r="AM111" s="9"/>
      <c r="AN111" s="9"/>
      <c r="AO111" s="9"/>
      <c r="AP111" s="42"/>
      <c r="AQ111" s="9"/>
      <c r="AR111" s="9"/>
      <c r="AS111" s="9"/>
      <c r="AT111" s="9"/>
      <c r="AU111" s="42"/>
      <c r="AV111" s="9"/>
      <c r="AW111" s="9"/>
      <c r="AX111" s="9"/>
      <c r="AY111" s="9"/>
      <c r="AZ111" s="58"/>
      <c r="BA111" s="59"/>
      <c r="BG111" s="83"/>
      <c r="BO111" s="86"/>
      <c r="BP111" s="87"/>
      <c r="BQ111" s="21"/>
      <c r="BT111" s="68"/>
      <c r="BU111" s="1">
        <v>495</v>
      </c>
    </row>
    <row r="112" spans="1:188" ht="20.25" customHeight="1" x14ac:dyDescent="0.4">
      <c r="A112" s="1">
        <v>498</v>
      </c>
      <c r="D112" s="21"/>
      <c r="E112" s="8"/>
      <c r="F112" s="85"/>
      <c r="G112" s="8"/>
      <c r="H112" s="22"/>
      <c r="I112" s="8"/>
      <c r="J112" s="22"/>
      <c r="K112" s="8"/>
      <c r="L112" s="22"/>
      <c r="M112" s="8"/>
      <c r="N112" s="22"/>
      <c r="O112" s="8"/>
      <c r="P112" s="22"/>
      <c r="Q112" s="8"/>
      <c r="R112" s="82"/>
      <c r="S112" s="51"/>
      <c r="T112" s="22"/>
      <c r="U112" s="133"/>
      <c r="V112" s="52"/>
      <c r="W112" s="9"/>
      <c r="X112" s="9"/>
      <c r="Y112" s="9"/>
      <c r="Z112" s="9"/>
      <c r="AA112" s="42"/>
      <c r="AB112" s="9"/>
      <c r="AC112" s="9"/>
      <c r="AD112" s="9"/>
      <c r="AE112" s="9"/>
      <c r="AF112" s="42"/>
      <c r="AG112" s="9"/>
      <c r="AH112" s="9"/>
      <c r="AI112" s="9"/>
      <c r="AJ112" s="9"/>
      <c r="AK112" s="9"/>
      <c r="AL112" s="9"/>
      <c r="AM112" s="9"/>
      <c r="AN112" s="9"/>
      <c r="AO112" s="9"/>
      <c r="AP112" s="42"/>
      <c r="AQ112" s="9"/>
      <c r="AR112" s="9"/>
      <c r="AS112" s="9"/>
      <c r="AT112" s="9"/>
      <c r="AU112" s="42"/>
      <c r="AV112" s="9"/>
      <c r="AW112" s="9"/>
      <c r="AX112" s="9"/>
      <c r="AY112" s="9"/>
      <c r="AZ112" s="58"/>
      <c r="BA112" s="59"/>
      <c r="BG112" s="83"/>
      <c r="BO112" s="86"/>
      <c r="BP112" s="87"/>
      <c r="BQ112" s="21"/>
      <c r="BT112" s="68"/>
      <c r="BU112" s="1">
        <v>498</v>
      </c>
    </row>
    <row r="113" spans="1:214" ht="20.25" customHeight="1" thickBot="1" x14ac:dyDescent="0.45">
      <c r="A113" s="1">
        <v>498</v>
      </c>
      <c r="D113" s="21"/>
      <c r="E113" s="8"/>
      <c r="F113" s="85"/>
      <c r="G113" s="8"/>
      <c r="H113" s="22"/>
      <c r="I113" s="8"/>
      <c r="J113" s="22"/>
      <c r="K113" s="8"/>
      <c r="L113" s="22"/>
      <c r="M113" s="8"/>
      <c r="N113" s="22"/>
      <c r="O113" s="8"/>
      <c r="P113" s="22"/>
      <c r="Q113" s="8"/>
      <c r="R113" s="82"/>
      <c r="S113" s="51"/>
      <c r="T113" s="22"/>
      <c r="U113" s="133"/>
      <c r="V113" s="52"/>
      <c r="W113" s="9"/>
      <c r="X113" s="9"/>
      <c r="Y113" s="9"/>
      <c r="Z113" s="9"/>
      <c r="AA113" s="42"/>
      <c r="AB113" s="9"/>
      <c r="AC113" s="9"/>
      <c r="AD113" s="9"/>
      <c r="AE113" s="9"/>
      <c r="AF113" s="42"/>
      <c r="AG113" s="9"/>
      <c r="AH113" s="9"/>
      <c r="AI113" s="9"/>
      <c r="AJ113" s="9"/>
      <c r="AK113" s="9"/>
      <c r="AL113" s="9"/>
      <c r="AM113" s="9"/>
      <c r="AN113" s="9"/>
      <c r="AO113" s="9"/>
      <c r="AP113" s="42"/>
      <c r="AQ113" s="9"/>
      <c r="AR113" s="9"/>
      <c r="AS113" s="9"/>
      <c r="AT113" s="9"/>
      <c r="AU113" s="42"/>
      <c r="AV113" s="9"/>
      <c r="AW113" s="9"/>
      <c r="AX113" s="9"/>
      <c r="AY113" s="9"/>
      <c r="AZ113" s="58"/>
      <c r="BA113" s="59"/>
      <c r="BG113" s="83"/>
      <c r="BO113" s="86"/>
      <c r="BP113" s="87"/>
      <c r="BQ113" s="21"/>
      <c r="BT113" s="68"/>
      <c r="BU113" s="1">
        <v>498</v>
      </c>
    </row>
    <row r="114" spans="1:214" ht="28.5" customHeight="1" thickBot="1" x14ac:dyDescent="0.45">
      <c r="A114" s="1">
        <v>499</v>
      </c>
      <c r="B114" s="845" t="s">
        <v>47</v>
      </c>
      <c r="C114" s="846"/>
      <c r="D114" s="846" t="s">
        <v>35</v>
      </c>
      <c r="E114" s="846"/>
      <c r="F114" s="846"/>
      <c r="G114" s="846"/>
      <c r="H114" s="846"/>
      <c r="I114" s="846"/>
      <c r="J114" s="846"/>
      <c r="K114" s="846"/>
      <c r="L114" s="846"/>
      <c r="M114" s="846"/>
      <c r="N114" s="846"/>
      <c r="O114" s="846"/>
      <c r="P114" s="846"/>
      <c r="Q114" s="846"/>
      <c r="R114" s="23" t="str">
        <f>$V2</f>
        <v>DEL 08 AL 14 ENERO 24</v>
      </c>
      <c r="S114" s="51"/>
      <c r="T114" s="11"/>
      <c r="U114" s="11"/>
      <c r="V114" s="52"/>
      <c r="W114" s="53"/>
      <c r="X114" s="53"/>
      <c r="Y114" s="53"/>
      <c r="Z114" s="54"/>
      <c r="AA114" s="55"/>
      <c r="AB114" s="53"/>
      <c r="AC114" s="53"/>
      <c r="AD114" s="53"/>
      <c r="AE114" s="54"/>
      <c r="AF114" s="56"/>
      <c r="AG114" s="53"/>
      <c r="AH114" s="53"/>
      <c r="AI114" s="53"/>
      <c r="AJ114" s="54"/>
      <c r="AK114" s="57"/>
      <c r="AL114" s="53"/>
      <c r="AM114" s="53"/>
      <c r="AN114" s="53"/>
      <c r="AO114" s="54"/>
      <c r="AP114" s="56"/>
      <c r="AQ114" s="53"/>
      <c r="AR114" s="53"/>
      <c r="AS114" s="53"/>
      <c r="AT114" s="54"/>
      <c r="AU114" s="56"/>
      <c r="AV114" s="53"/>
      <c r="AW114" s="53"/>
      <c r="AX114" s="53"/>
      <c r="AY114" s="54"/>
      <c r="AZ114" s="58"/>
      <c r="BA114" s="59"/>
      <c r="BG114" s="83"/>
      <c r="BO114" s="116"/>
      <c r="BP114" s="67"/>
      <c r="BQ114" s="21"/>
      <c r="BR114" s="74"/>
      <c r="BS114" s="74"/>
      <c r="BT114" s="68"/>
      <c r="BU114" s="1">
        <v>499</v>
      </c>
    </row>
    <row r="115" spans="1:214" ht="15.75" customHeight="1" thickBot="1" x14ac:dyDescent="0.35">
      <c r="A115" s="1">
        <v>500</v>
      </c>
      <c r="B115" s="117"/>
      <c r="C115" s="118"/>
      <c r="D115" s="119"/>
      <c r="E115" s="120" t="s">
        <v>8</v>
      </c>
      <c r="F115" s="121"/>
      <c r="G115" s="120" t="s">
        <v>9</v>
      </c>
      <c r="H115" s="122"/>
      <c r="I115" s="120" t="s">
        <v>9</v>
      </c>
      <c r="J115" s="122"/>
      <c r="K115" s="120" t="s">
        <v>10</v>
      </c>
      <c r="L115" s="122"/>
      <c r="M115" s="340" t="s">
        <v>11</v>
      </c>
      <c r="N115" s="273"/>
      <c r="O115" s="340" t="s">
        <v>12</v>
      </c>
      <c r="P115" s="340"/>
      <c r="Q115" s="122"/>
      <c r="R115" s="123"/>
      <c r="S115" s="51"/>
      <c r="T115" s="11"/>
      <c r="U115" s="11"/>
      <c r="V115" s="52"/>
      <c r="W115" s="53"/>
      <c r="X115" s="53"/>
      <c r="Y115" s="53"/>
      <c r="Z115" s="54"/>
      <c r="AA115" s="55"/>
      <c r="AB115" s="53"/>
      <c r="AC115" s="53"/>
      <c r="AD115" s="53"/>
      <c r="AE115" s="54"/>
      <c r="AF115" s="56"/>
      <c r="AG115" s="53"/>
      <c r="AH115" s="53"/>
      <c r="AI115" s="53"/>
      <c r="AJ115" s="54"/>
      <c r="AK115" s="57"/>
      <c r="AL115" s="53"/>
      <c r="AM115" s="53"/>
      <c r="AN115" s="53"/>
      <c r="AO115" s="54"/>
      <c r="AP115" s="56"/>
      <c r="AQ115" s="53"/>
      <c r="AR115" s="53"/>
      <c r="AS115" s="53"/>
      <c r="AT115" s="54"/>
      <c r="AU115" s="56"/>
      <c r="AV115" s="53"/>
      <c r="AW115" s="53"/>
      <c r="AX115" s="53"/>
      <c r="AY115" s="54"/>
      <c r="AZ115" s="58"/>
      <c r="BA115" s="59"/>
      <c r="BB115" s="124"/>
      <c r="BC115" s="124"/>
      <c r="BD115" s="124"/>
      <c r="BE115" s="124"/>
      <c r="BF115" s="124"/>
      <c r="BG115" s="124"/>
      <c r="BH115" s="124"/>
      <c r="BJ115" s="19"/>
      <c r="BK115" s="19"/>
      <c r="BL115" s="19"/>
      <c r="BM115" s="19"/>
      <c r="BN115" s="124"/>
      <c r="BO115" s="125"/>
      <c r="BP115" s="126"/>
      <c r="BQ115" s="21"/>
      <c r="BR115" s="68"/>
      <c r="BS115" s="68"/>
      <c r="BT115" s="68"/>
      <c r="BU115" s="1">
        <v>500</v>
      </c>
    </row>
    <row r="116" spans="1:214" ht="15.75" customHeight="1" thickBot="1" x14ac:dyDescent="0.35">
      <c r="A116" s="1">
        <v>420</v>
      </c>
      <c r="B116" s="275">
        <v>3</v>
      </c>
      <c r="C116" s="34">
        <f t="shared" ref="C116:C123" si="189">C115+1</f>
        <v>1</v>
      </c>
      <c r="D116" s="274" t="s">
        <v>48</v>
      </c>
      <c r="E116" s="233">
        <v>1</v>
      </c>
      <c r="F116" s="233"/>
      <c r="G116" s="233">
        <v>1</v>
      </c>
      <c r="H116" s="233"/>
      <c r="I116" s="233">
        <v>1</v>
      </c>
      <c r="J116" s="233"/>
      <c r="K116" s="233">
        <v>1</v>
      </c>
      <c r="L116" s="233"/>
      <c r="M116" s="233">
        <v>1</v>
      </c>
      <c r="N116" s="233"/>
      <c r="O116" s="233">
        <v>1</v>
      </c>
      <c r="P116" s="233"/>
      <c r="Q116" s="233">
        <v>1</v>
      </c>
      <c r="R116" s="339">
        <v>2000</v>
      </c>
      <c r="S116" s="51">
        <f t="shared" ref="S116:S123" si="190">+BH116</f>
        <v>0</v>
      </c>
      <c r="T116" s="11">
        <f>+BA116</f>
        <v>2150</v>
      </c>
      <c r="U116" s="52">
        <f t="shared" ref="U116:U123" si="191">+BP116</f>
        <v>0</v>
      </c>
      <c r="V116" s="52" t="str">
        <f t="shared" ref="V116:V123" si="192">+BG116</f>
        <v>B ASIS</v>
      </c>
      <c r="W116" s="53">
        <f t="shared" ref="W116:W123" si="193">(R116-86.16)/6*E116</f>
        <v>318.9733333333333</v>
      </c>
      <c r="X116" s="53">
        <f>$Y$2*E116*Q116</f>
        <v>7.18</v>
      </c>
      <c r="Y116" s="53">
        <f>$Y$2*E116*Q116</f>
        <v>7.18</v>
      </c>
      <c r="Z116" s="54">
        <f>Y116+X116+W116</f>
        <v>333.33333333333331</v>
      </c>
      <c r="AA116" s="55"/>
      <c r="AB116" s="53">
        <f t="shared" ref="AB116:AB123" si="194">(R116-86.16)/6*G116</f>
        <v>318.9733333333333</v>
      </c>
      <c r="AC116" s="53">
        <f>$Y$2*G116*Q116</f>
        <v>7.18</v>
      </c>
      <c r="AD116" s="53">
        <f>$Y$2*G116*Q116</f>
        <v>7.18</v>
      </c>
      <c r="AE116" s="54">
        <f>AD116+AC116+AB116</f>
        <v>333.33333333333331</v>
      </c>
      <c r="AF116" s="56"/>
      <c r="AG116" s="53">
        <f t="shared" ref="AG116:AG123" si="195">(R116-86.16)/6*I116</f>
        <v>318.9733333333333</v>
      </c>
      <c r="AH116" s="53">
        <f>$Y$2*I116*Q116</f>
        <v>7.18</v>
      </c>
      <c r="AI116" s="53">
        <f>$Y$2*I116*Q116</f>
        <v>7.18</v>
      </c>
      <c r="AJ116" s="54">
        <f>AI116+AH116+AG116</f>
        <v>333.33333333333331</v>
      </c>
      <c r="AK116" s="57"/>
      <c r="AL116" s="53">
        <f t="shared" ref="AL116:AL123" si="196">(R116-86.16)/6*K116</f>
        <v>318.9733333333333</v>
      </c>
      <c r="AM116" s="53">
        <f>$Y$2*K116*Q116</f>
        <v>7.18</v>
      </c>
      <c r="AN116" s="53">
        <f>$Y$2*K116*Q116</f>
        <v>7.18</v>
      </c>
      <c r="AO116" s="54">
        <f>AN116+AM116+AL116</f>
        <v>333.33333333333331</v>
      </c>
      <c r="AP116" s="56"/>
      <c r="AQ116" s="53">
        <f t="shared" ref="AQ116:AQ123" si="197">(R116-86.16)/6*M116</f>
        <v>318.9733333333333</v>
      </c>
      <c r="AR116" s="53">
        <f>$Y$2*M116*Q116</f>
        <v>7.18</v>
      </c>
      <c r="AS116" s="53">
        <f>$Y$2*M116*Q116</f>
        <v>7.18</v>
      </c>
      <c r="AT116" s="54">
        <f>AS116+AR116+AQ116</f>
        <v>333.33333333333331</v>
      </c>
      <c r="AU116" s="56"/>
      <c r="AV116" s="53">
        <f t="shared" ref="AV116:AV123" si="198">(R116-86.16)/6*O116</f>
        <v>318.9733333333333</v>
      </c>
      <c r="AW116" s="53">
        <f>$Y$2*O116*Q116</f>
        <v>7.18</v>
      </c>
      <c r="AX116" s="53">
        <f>$Y$2*O116*Q116</f>
        <v>7.18</v>
      </c>
      <c r="AY116" s="54">
        <f>AX116+AW116+AV116</f>
        <v>333.33333333333331</v>
      </c>
      <c r="AZ116" s="58">
        <f>+AY116+AT116+AO116++AJ116+AE116+Z116</f>
        <v>1999.9999999999998</v>
      </c>
      <c r="BA116" s="59">
        <f t="shared" ref="BA116:BA123" si="199">((AZ116-BB116-BC116-BD116-BE116-BF116)+BI116+BJ116+BK116+BL116+BM116+BN116+BO116)</f>
        <v>2150</v>
      </c>
      <c r="BB116" s="60"/>
      <c r="BC116" s="60"/>
      <c r="BD116" s="60"/>
      <c r="BE116" s="60"/>
      <c r="BF116" s="60"/>
      <c r="BG116" s="131" t="s">
        <v>175</v>
      </c>
      <c r="BH116" s="62"/>
      <c r="BI116" s="63"/>
      <c r="BJ116" s="63">
        <v>150</v>
      </c>
      <c r="BK116" s="64"/>
      <c r="BL116" s="63"/>
      <c r="BM116" s="65"/>
      <c r="BN116" s="65"/>
      <c r="BO116" s="66"/>
      <c r="BP116" s="67"/>
      <c r="BQ116" s="21"/>
      <c r="BR116" s="48"/>
      <c r="BS116" s="48"/>
      <c r="BT116" s="68"/>
      <c r="BU116" s="1">
        <v>420</v>
      </c>
      <c r="GG116" s="69"/>
      <c r="GH116" s="69"/>
      <c r="GI116" s="69"/>
      <c r="GJ116" s="69"/>
      <c r="GK116" s="69"/>
      <c r="GL116" s="69"/>
      <c r="GM116" s="69"/>
      <c r="GN116" s="69"/>
      <c r="GO116" s="69"/>
      <c r="GP116" s="69"/>
      <c r="GQ116" s="69"/>
      <c r="GR116" s="69"/>
      <c r="GS116" s="69"/>
      <c r="GT116" s="69"/>
      <c r="GU116" s="69"/>
      <c r="GV116" s="69"/>
      <c r="GW116" s="69"/>
      <c r="GX116" s="69"/>
      <c r="GY116" s="69"/>
      <c r="GZ116" s="69"/>
      <c r="HA116" s="69"/>
      <c r="HB116" s="69"/>
      <c r="HC116" s="69"/>
      <c r="HD116" s="69"/>
      <c r="HE116" s="69"/>
      <c r="HF116" s="69"/>
    </row>
    <row r="117" spans="1:214" ht="15.75" customHeight="1" thickBot="1" x14ac:dyDescent="0.35">
      <c r="A117" s="1"/>
      <c r="B117" s="275">
        <v>158</v>
      </c>
      <c r="C117" s="34">
        <f t="shared" si="189"/>
        <v>2</v>
      </c>
      <c r="D117" s="274" t="s">
        <v>138</v>
      </c>
      <c r="E117" s="233">
        <v>1</v>
      </c>
      <c r="F117" s="233"/>
      <c r="G117" s="233">
        <v>1</v>
      </c>
      <c r="H117" s="233"/>
      <c r="I117" s="233">
        <v>1</v>
      </c>
      <c r="J117" s="233"/>
      <c r="K117" s="233">
        <v>1</v>
      </c>
      <c r="L117" s="233"/>
      <c r="M117" s="233">
        <v>1</v>
      </c>
      <c r="N117" s="233"/>
      <c r="O117" s="233">
        <v>1</v>
      </c>
      <c r="P117" s="233"/>
      <c r="Q117" s="233">
        <v>1</v>
      </c>
      <c r="R117" s="339">
        <v>6000</v>
      </c>
      <c r="S117" s="51">
        <f t="shared" si="190"/>
        <v>0</v>
      </c>
      <c r="T117" s="11">
        <f t="shared" ref="T117:T123" si="200">+BA117</f>
        <v>6000</v>
      </c>
      <c r="U117" s="52">
        <f t="shared" si="191"/>
        <v>0</v>
      </c>
      <c r="V117" s="52">
        <f t="shared" si="192"/>
        <v>0</v>
      </c>
      <c r="W117" s="53">
        <f t="shared" si="193"/>
        <v>985.64</v>
      </c>
      <c r="X117" s="53">
        <f t="shared" ref="X117:X123" si="201">$Y$2*E117*Q117</f>
        <v>7.18</v>
      </c>
      <c r="Y117" s="53">
        <f t="shared" ref="Y117:Y123" si="202">$Y$2*E117*Q117</f>
        <v>7.18</v>
      </c>
      <c r="Z117" s="54">
        <f t="shared" ref="Z117:Z123" si="203">Y117+X117+W117</f>
        <v>1000</v>
      </c>
      <c r="AA117" s="55"/>
      <c r="AB117" s="53">
        <f t="shared" si="194"/>
        <v>985.64</v>
      </c>
      <c r="AC117" s="53">
        <f t="shared" ref="AC117:AC123" si="204">$Y$2*G117*Q117</f>
        <v>7.18</v>
      </c>
      <c r="AD117" s="53">
        <f t="shared" ref="AD117:AD123" si="205">$Y$2*G117*Q117</f>
        <v>7.18</v>
      </c>
      <c r="AE117" s="54">
        <f t="shared" ref="AE117:AE123" si="206">AD117+AC117+AB117</f>
        <v>1000</v>
      </c>
      <c r="AF117" s="56"/>
      <c r="AG117" s="53">
        <f t="shared" si="195"/>
        <v>985.64</v>
      </c>
      <c r="AH117" s="53">
        <f t="shared" ref="AH117:AH123" si="207">$Y$2*I117*Q117</f>
        <v>7.18</v>
      </c>
      <c r="AI117" s="53">
        <f t="shared" ref="AI117:AI123" si="208">$Y$2*I117*Q117</f>
        <v>7.18</v>
      </c>
      <c r="AJ117" s="54">
        <f t="shared" ref="AJ117:AJ123" si="209">AI117+AH117+AG117</f>
        <v>1000</v>
      </c>
      <c r="AK117" s="57"/>
      <c r="AL117" s="53">
        <f t="shared" si="196"/>
        <v>985.64</v>
      </c>
      <c r="AM117" s="53">
        <f t="shared" ref="AM117:AM123" si="210">$Y$2*K117*Q117</f>
        <v>7.18</v>
      </c>
      <c r="AN117" s="53">
        <f t="shared" ref="AN117:AN123" si="211">$Y$2*K117*Q117</f>
        <v>7.18</v>
      </c>
      <c r="AO117" s="54">
        <f t="shared" ref="AO117:AO123" si="212">AN117+AM117+AL117</f>
        <v>1000</v>
      </c>
      <c r="AP117" s="56"/>
      <c r="AQ117" s="53">
        <f t="shared" si="197"/>
        <v>985.64</v>
      </c>
      <c r="AR117" s="53">
        <f t="shared" ref="AR117:AR123" si="213">$Y$2*M117*Q117</f>
        <v>7.18</v>
      </c>
      <c r="AS117" s="53">
        <f t="shared" ref="AS117:AS123" si="214">$Y$2*M117*Q117</f>
        <v>7.18</v>
      </c>
      <c r="AT117" s="54">
        <f t="shared" ref="AT117:AT123" si="215">AS117+AR117+AQ117</f>
        <v>1000</v>
      </c>
      <c r="AU117" s="56"/>
      <c r="AV117" s="53">
        <f t="shared" si="198"/>
        <v>985.64</v>
      </c>
      <c r="AW117" s="53">
        <f t="shared" ref="AW117:AW123" si="216">$Y$2*O117*Q117</f>
        <v>7.18</v>
      </c>
      <c r="AX117" s="53">
        <f t="shared" ref="AX117:AX123" si="217">$Y$2*O117*Q117</f>
        <v>7.18</v>
      </c>
      <c r="AY117" s="54">
        <f t="shared" ref="AY117:AY123" si="218">AX117+AW117+AV117</f>
        <v>1000</v>
      </c>
      <c r="AZ117" s="58">
        <f t="shared" ref="AZ117:AZ123" si="219">+AY117+AT117+AO117++AJ117+AE117+Z117</f>
        <v>6000</v>
      </c>
      <c r="BA117" s="59">
        <f t="shared" si="199"/>
        <v>6000</v>
      </c>
      <c r="BB117" s="60"/>
      <c r="BC117" s="60"/>
      <c r="BD117" s="60"/>
      <c r="BE117" s="60"/>
      <c r="BF117" s="60"/>
      <c r="BG117" s="131"/>
      <c r="BH117" s="62"/>
      <c r="BI117" s="63"/>
      <c r="BJ117" s="63"/>
      <c r="BK117" s="64"/>
      <c r="BL117" s="63"/>
      <c r="BM117" s="65"/>
      <c r="BN117" s="65"/>
      <c r="BO117" s="66"/>
      <c r="BP117" s="67"/>
      <c r="BQ117" s="21"/>
      <c r="BR117" s="48"/>
      <c r="BS117" s="48"/>
      <c r="BT117" s="68"/>
      <c r="BU117" s="1"/>
      <c r="GG117" s="69"/>
      <c r="GH117" s="69"/>
      <c r="GI117" s="69"/>
      <c r="GJ117" s="69"/>
      <c r="GK117" s="69"/>
      <c r="GL117" s="69"/>
      <c r="GM117" s="69"/>
      <c r="GN117" s="69"/>
      <c r="GO117" s="69"/>
      <c r="GP117" s="69"/>
      <c r="GQ117" s="69"/>
      <c r="GR117" s="69"/>
      <c r="GS117" s="69"/>
      <c r="GT117" s="69"/>
      <c r="GU117" s="69"/>
      <c r="GV117" s="69"/>
      <c r="GW117" s="69"/>
      <c r="GX117" s="69"/>
      <c r="GY117" s="69"/>
      <c r="GZ117" s="69"/>
      <c r="HA117" s="69"/>
      <c r="HB117" s="69"/>
      <c r="HC117" s="69"/>
      <c r="HD117" s="69"/>
      <c r="HE117" s="69"/>
      <c r="HF117" s="69"/>
    </row>
    <row r="118" spans="1:214" ht="15.75" customHeight="1" thickBot="1" x14ac:dyDescent="0.35">
      <c r="A118" s="1"/>
      <c r="B118" s="375">
        <v>166</v>
      </c>
      <c r="C118" s="34">
        <f t="shared" si="189"/>
        <v>3</v>
      </c>
      <c r="D118" s="376" t="s">
        <v>152</v>
      </c>
      <c r="E118" s="233">
        <v>1</v>
      </c>
      <c r="F118" s="233"/>
      <c r="G118" s="233">
        <v>1</v>
      </c>
      <c r="H118" s="233"/>
      <c r="I118" s="233">
        <v>1</v>
      </c>
      <c r="J118" s="233"/>
      <c r="K118" s="233">
        <v>1</v>
      </c>
      <c r="L118" s="233"/>
      <c r="M118" s="233">
        <v>1</v>
      </c>
      <c r="N118" s="233"/>
      <c r="O118" s="233">
        <v>1</v>
      </c>
      <c r="P118" s="233"/>
      <c r="Q118" s="233">
        <v>1</v>
      </c>
      <c r="R118" s="50">
        <f t="shared" ref="R118:R123" si="220">IF(Q118=1,1550,850)</f>
        <v>1550</v>
      </c>
      <c r="S118" s="51">
        <f t="shared" ref="S118" si="221">+BH118</f>
        <v>0</v>
      </c>
      <c r="T118" s="11">
        <f t="shared" si="200"/>
        <v>1799.9999999999998</v>
      </c>
      <c r="U118" s="52">
        <f t="shared" ref="U118" si="222">+BP118</f>
        <v>0</v>
      </c>
      <c r="V118" s="52" t="str">
        <f t="shared" ref="V118" si="223">+BG118</f>
        <v>B ASIS</v>
      </c>
      <c r="W118" s="53">
        <f t="shared" si="193"/>
        <v>243.97333333333333</v>
      </c>
      <c r="X118" s="53">
        <f t="shared" si="201"/>
        <v>7.18</v>
      </c>
      <c r="Y118" s="53">
        <f t="shared" si="202"/>
        <v>7.18</v>
      </c>
      <c r="Z118" s="54">
        <f t="shared" si="203"/>
        <v>258.33333333333331</v>
      </c>
      <c r="AA118" s="55"/>
      <c r="AB118" s="53">
        <f t="shared" si="194"/>
        <v>243.97333333333333</v>
      </c>
      <c r="AC118" s="53">
        <f t="shared" si="204"/>
        <v>7.18</v>
      </c>
      <c r="AD118" s="53">
        <f t="shared" si="205"/>
        <v>7.18</v>
      </c>
      <c r="AE118" s="54">
        <f t="shared" si="206"/>
        <v>258.33333333333331</v>
      </c>
      <c r="AF118" s="56"/>
      <c r="AG118" s="53">
        <f t="shared" si="195"/>
        <v>243.97333333333333</v>
      </c>
      <c r="AH118" s="53">
        <f t="shared" si="207"/>
        <v>7.18</v>
      </c>
      <c r="AI118" s="53">
        <f t="shared" si="208"/>
        <v>7.18</v>
      </c>
      <c r="AJ118" s="54">
        <f t="shared" si="209"/>
        <v>258.33333333333331</v>
      </c>
      <c r="AK118" s="57"/>
      <c r="AL118" s="53">
        <f t="shared" si="196"/>
        <v>243.97333333333333</v>
      </c>
      <c r="AM118" s="53">
        <f t="shared" si="210"/>
        <v>7.18</v>
      </c>
      <c r="AN118" s="53">
        <f t="shared" si="211"/>
        <v>7.18</v>
      </c>
      <c r="AO118" s="54">
        <f t="shared" si="212"/>
        <v>258.33333333333331</v>
      </c>
      <c r="AP118" s="56"/>
      <c r="AQ118" s="53">
        <f t="shared" si="197"/>
        <v>243.97333333333333</v>
      </c>
      <c r="AR118" s="53">
        <f t="shared" si="213"/>
        <v>7.18</v>
      </c>
      <c r="AS118" s="53">
        <f t="shared" si="214"/>
        <v>7.18</v>
      </c>
      <c r="AT118" s="54">
        <f t="shared" si="215"/>
        <v>258.33333333333331</v>
      </c>
      <c r="AU118" s="56"/>
      <c r="AV118" s="53">
        <f t="shared" si="198"/>
        <v>243.97333333333333</v>
      </c>
      <c r="AW118" s="53">
        <f t="shared" si="216"/>
        <v>7.18</v>
      </c>
      <c r="AX118" s="53">
        <f t="shared" si="217"/>
        <v>7.18</v>
      </c>
      <c r="AY118" s="54">
        <f t="shared" si="218"/>
        <v>258.33333333333331</v>
      </c>
      <c r="AZ118" s="58">
        <f t="shared" si="219"/>
        <v>1549.9999999999998</v>
      </c>
      <c r="BA118" s="59">
        <f t="shared" si="199"/>
        <v>1799.9999999999998</v>
      </c>
      <c r="BB118" s="60"/>
      <c r="BC118" s="60"/>
      <c r="BD118" s="60"/>
      <c r="BE118" s="60"/>
      <c r="BF118" s="60"/>
      <c r="BG118" s="131" t="s">
        <v>175</v>
      </c>
      <c r="BH118" s="62"/>
      <c r="BI118" s="63">
        <v>100</v>
      </c>
      <c r="BJ118" s="63">
        <v>150</v>
      </c>
      <c r="BK118" s="64"/>
      <c r="BL118" s="63"/>
      <c r="BM118" s="65"/>
      <c r="BN118" s="65"/>
      <c r="BO118" s="66"/>
      <c r="BP118" s="67"/>
      <c r="BQ118" s="21"/>
      <c r="BR118" s="48"/>
      <c r="BS118" s="48"/>
      <c r="BT118" s="68"/>
      <c r="BU118" s="1"/>
      <c r="GG118" s="69"/>
      <c r="GH118" s="69"/>
      <c r="GI118" s="69"/>
      <c r="GJ118" s="69"/>
      <c r="GK118" s="69"/>
      <c r="GL118" s="69"/>
      <c r="GM118" s="69"/>
      <c r="GN118" s="69"/>
      <c r="GO118" s="69"/>
      <c r="GP118" s="69"/>
      <c r="GQ118" s="69"/>
      <c r="GR118" s="69"/>
      <c r="GS118" s="69"/>
      <c r="GT118" s="69"/>
      <c r="GU118" s="69"/>
      <c r="GV118" s="69"/>
      <c r="GW118" s="69"/>
      <c r="GX118" s="69"/>
      <c r="GY118" s="69"/>
      <c r="GZ118" s="69"/>
      <c r="HA118" s="69"/>
      <c r="HB118" s="69"/>
      <c r="HC118" s="69"/>
      <c r="HD118" s="69"/>
      <c r="HE118" s="69"/>
      <c r="HF118" s="69"/>
    </row>
    <row r="119" spans="1:214" s="69" customFormat="1" ht="15.75" customHeight="1" thickBot="1" x14ac:dyDescent="0.35">
      <c r="A119" s="1">
        <v>426</v>
      </c>
      <c r="B119" s="375">
        <v>19</v>
      </c>
      <c r="C119" s="34">
        <f t="shared" si="189"/>
        <v>4</v>
      </c>
      <c r="D119" s="376" t="s">
        <v>49</v>
      </c>
      <c r="E119" s="233">
        <v>1</v>
      </c>
      <c r="F119" s="233"/>
      <c r="G119" s="233">
        <v>1</v>
      </c>
      <c r="H119" s="233"/>
      <c r="I119" s="233">
        <v>1</v>
      </c>
      <c r="J119" s="233"/>
      <c r="K119" s="233">
        <v>1</v>
      </c>
      <c r="L119" s="233"/>
      <c r="M119" s="233">
        <v>1</v>
      </c>
      <c r="N119" s="233"/>
      <c r="O119" s="233">
        <v>1</v>
      </c>
      <c r="P119" s="233"/>
      <c r="Q119" s="233">
        <v>1</v>
      </c>
      <c r="R119" s="50">
        <f t="shared" si="220"/>
        <v>1550</v>
      </c>
      <c r="S119" s="51">
        <f t="shared" si="190"/>
        <v>0</v>
      </c>
      <c r="T119" s="11">
        <f t="shared" si="200"/>
        <v>1999.9999999999998</v>
      </c>
      <c r="U119" s="52">
        <f t="shared" si="191"/>
        <v>0</v>
      </c>
      <c r="V119" s="52" t="str">
        <f t="shared" si="192"/>
        <v>BONO+B ASIS</v>
      </c>
      <c r="W119" s="53">
        <f t="shared" si="193"/>
        <v>243.97333333333333</v>
      </c>
      <c r="X119" s="53">
        <f t="shared" si="201"/>
        <v>7.18</v>
      </c>
      <c r="Y119" s="53">
        <f t="shared" si="202"/>
        <v>7.18</v>
      </c>
      <c r="Z119" s="54">
        <f t="shared" si="203"/>
        <v>258.33333333333331</v>
      </c>
      <c r="AA119" s="55"/>
      <c r="AB119" s="53">
        <f t="shared" si="194"/>
        <v>243.97333333333333</v>
      </c>
      <c r="AC119" s="53">
        <f t="shared" si="204"/>
        <v>7.18</v>
      </c>
      <c r="AD119" s="53">
        <f t="shared" si="205"/>
        <v>7.18</v>
      </c>
      <c r="AE119" s="54">
        <f t="shared" si="206"/>
        <v>258.33333333333331</v>
      </c>
      <c r="AF119" s="56"/>
      <c r="AG119" s="53">
        <f t="shared" si="195"/>
        <v>243.97333333333333</v>
      </c>
      <c r="AH119" s="53">
        <f t="shared" si="207"/>
        <v>7.18</v>
      </c>
      <c r="AI119" s="53">
        <f t="shared" si="208"/>
        <v>7.18</v>
      </c>
      <c r="AJ119" s="54">
        <f t="shared" si="209"/>
        <v>258.33333333333331</v>
      </c>
      <c r="AK119" s="57"/>
      <c r="AL119" s="53">
        <f t="shared" si="196"/>
        <v>243.97333333333333</v>
      </c>
      <c r="AM119" s="53">
        <f t="shared" si="210"/>
        <v>7.18</v>
      </c>
      <c r="AN119" s="53">
        <f t="shared" si="211"/>
        <v>7.18</v>
      </c>
      <c r="AO119" s="54">
        <f t="shared" si="212"/>
        <v>258.33333333333331</v>
      </c>
      <c r="AP119" s="56"/>
      <c r="AQ119" s="53">
        <f t="shared" si="197"/>
        <v>243.97333333333333</v>
      </c>
      <c r="AR119" s="53">
        <f t="shared" si="213"/>
        <v>7.18</v>
      </c>
      <c r="AS119" s="53">
        <f t="shared" si="214"/>
        <v>7.18</v>
      </c>
      <c r="AT119" s="54">
        <f t="shared" si="215"/>
        <v>258.33333333333331</v>
      </c>
      <c r="AU119" s="56"/>
      <c r="AV119" s="53">
        <f t="shared" si="198"/>
        <v>243.97333333333333</v>
      </c>
      <c r="AW119" s="53">
        <f t="shared" si="216"/>
        <v>7.18</v>
      </c>
      <c r="AX119" s="53">
        <f t="shared" si="217"/>
        <v>7.18</v>
      </c>
      <c r="AY119" s="54">
        <f t="shared" si="218"/>
        <v>258.33333333333331</v>
      </c>
      <c r="AZ119" s="58">
        <f t="shared" si="219"/>
        <v>1549.9999999999998</v>
      </c>
      <c r="BA119" s="59">
        <f t="shared" si="199"/>
        <v>1999.9999999999998</v>
      </c>
      <c r="BB119" s="60"/>
      <c r="BC119" s="60"/>
      <c r="BD119" s="60"/>
      <c r="BE119" s="60"/>
      <c r="BF119" s="60"/>
      <c r="BG119" s="61" t="s">
        <v>133</v>
      </c>
      <c r="BH119" s="62"/>
      <c r="BI119" s="63">
        <v>300</v>
      </c>
      <c r="BJ119" s="63">
        <v>150</v>
      </c>
      <c r="BK119" s="64"/>
      <c r="BL119" s="63"/>
      <c r="BM119" s="65"/>
      <c r="BN119" s="65"/>
      <c r="BO119" s="66"/>
      <c r="BP119" s="67"/>
      <c r="BQ119" s="21"/>
      <c r="BR119" s="48"/>
      <c r="BS119" s="48"/>
      <c r="BT119" s="68"/>
      <c r="BU119" s="1">
        <v>426</v>
      </c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</row>
    <row r="120" spans="1:214" s="287" customFormat="1" ht="15.75" customHeight="1" thickBot="1" x14ac:dyDescent="0.35">
      <c r="A120" s="1"/>
      <c r="B120" s="375">
        <v>100</v>
      </c>
      <c r="C120" s="34">
        <f t="shared" si="189"/>
        <v>5</v>
      </c>
      <c r="D120" s="376" t="s">
        <v>100</v>
      </c>
      <c r="E120" s="346">
        <v>0</v>
      </c>
      <c r="F120" s="347" t="s">
        <v>18</v>
      </c>
      <c r="G120" s="346">
        <v>0</v>
      </c>
      <c r="H120" s="347" t="s">
        <v>18</v>
      </c>
      <c r="I120" s="346">
        <v>0</v>
      </c>
      <c r="J120" s="347" t="s">
        <v>18</v>
      </c>
      <c r="K120" s="346">
        <v>0</v>
      </c>
      <c r="L120" s="347" t="s">
        <v>18</v>
      </c>
      <c r="M120" s="346">
        <v>0</v>
      </c>
      <c r="N120" s="347" t="s">
        <v>18</v>
      </c>
      <c r="O120" s="346">
        <v>0</v>
      </c>
      <c r="P120" s="347" t="s">
        <v>18</v>
      </c>
      <c r="Q120" s="49">
        <v>0</v>
      </c>
      <c r="R120" s="50">
        <f t="shared" si="220"/>
        <v>850</v>
      </c>
      <c r="S120" s="51">
        <f t="shared" si="190"/>
        <v>0</v>
      </c>
      <c r="T120" s="11">
        <f t="shared" si="200"/>
        <v>0</v>
      </c>
      <c r="U120" s="52">
        <f t="shared" si="191"/>
        <v>0</v>
      </c>
      <c r="V120" s="52">
        <f t="shared" si="192"/>
        <v>0</v>
      </c>
      <c r="W120" s="53">
        <f t="shared" si="193"/>
        <v>0</v>
      </c>
      <c r="X120" s="53">
        <f t="shared" si="201"/>
        <v>0</v>
      </c>
      <c r="Y120" s="53">
        <f t="shared" si="202"/>
        <v>0</v>
      </c>
      <c r="Z120" s="54">
        <f t="shared" si="203"/>
        <v>0</v>
      </c>
      <c r="AA120" s="55"/>
      <c r="AB120" s="53">
        <f t="shared" si="194"/>
        <v>0</v>
      </c>
      <c r="AC120" s="53">
        <f t="shared" si="204"/>
        <v>0</v>
      </c>
      <c r="AD120" s="53">
        <f t="shared" si="205"/>
        <v>0</v>
      </c>
      <c r="AE120" s="54">
        <f t="shared" si="206"/>
        <v>0</v>
      </c>
      <c r="AF120" s="56"/>
      <c r="AG120" s="53">
        <f t="shared" si="195"/>
        <v>0</v>
      </c>
      <c r="AH120" s="53">
        <f t="shared" si="207"/>
        <v>0</v>
      </c>
      <c r="AI120" s="53">
        <f t="shared" si="208"/>
        <v>0</v>
      </c>
      <c r="AJ120" s="54">
        <f t="shared" si="209"/>
        <v>0</v>
      </c>
      <c r="AK120" s="57"/>
      <c r="AL120" s="53">
        <f t="shared" si="196"/>
        <v>0</v>
      </c>
      <c r="AM120" s="53">
        <f t="shared" si="210"/>
        <v>0</v>
      </c>
      <c r="AN120" s="53">
        <f t="shared" si="211"/>
        <v>0</v>
      </c>
      <c r="AO120" s="54">
        <f t="shared" si="212"/>
        <v>0</v>
      </c>
      <c r="AP120" s="56"/>
      <c r="AQ120" s="53">
        <f t="shared" si="197"/>
        <v>0</v>
      </c>
      <c r="AR120" s="53">
        <f t="shared" si="213"/>
        <v>0</v>
      </c>
      <c r="AS120" s="53">
        <f t="shared" si="214"/>
        <v>0</v>
      </c>
      <c r="AT120" s="54">
        <f t="shared" si="215"/>
        <v>0</v>
      </c>
      <c r="AU120" s="56"/>
      <c r="AV120" s="53">
        <f t="shared" si="198"/>
        <v>0</v>
      </c>
      <c r="AW120" s="53">
        <f t="shared" si="216"/>
        <v>0</v>
      </c>
      <c r="AX120" s="53">
        <f t="shared" si="217"/>
        <v>0</v>
      </c>
      <c r="AY120" s="54">
        <f t="shared" si="218"/>
        <v>0</v>
      </c>
      <c r="AZ120" s="58">
        <f t="shared" si="219"/>
        <v>0</v>
      </c>
      <c r="BA120" s="59">
        <f t="shared" si="199"/>
        <v>0</v>
      </c>
      <c r="BB120" s="60"/>
      <c r="BC120" s="60"/>
      <c r="BD120" s="60"/>
      <c r="BE120" s="60"/>
      <c r="BF120" s="60"/>
      <c r="BG120" s="61"/>
      <c r="BH120" s="62"/>
      <c r="BI120" s="63"/>
      <c r="BJ120" s="63"/>
      <c r="BK120" s="64"/>
      <c r="BL120" s="63"/>
      <c r="BM120" s="65"/>
      <c r="BN120" s="65"/>
      <c r="BO120" s="66"/>
      <c r="BP120" s="67"/>
      <c r="BQ120" s="21"/>
      <c r="BR120" s="48"/>
      <c r="BS120" s="48"/>
      <c r="BT120" s="68"/>
      <c r="BU120" s="1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</row>
    <row r="121" spans="1:214" s="69" customFormat="1" ht="15.75" customHeight="1" thickBot="1" x14ac:dyDescent="0.35">
      <c r="A121" s="1">
        <v>426</v>
      </c>
      <c r="B121" s="381">
        <v>39</v>
      </c>
      <c r="C121" s="34">
        <f t="shared" si="189"/>
        <v>6</v>
      </c>
      <c r="D121" s="259" t="s">
        <v>50</v>
      </c>
      <c r="E121" s="233">
        <v>1</v>
      </c>
      <c r="F121" s="233"/>
      <c r="G121" s="233">
        <v>1</v>
      </c>
      <c r="H121" s="233"/>
      <c r="I121" s="233">
        <v>1</v>
      </c>
      <c r="J121" s="233"/>
      <c r="K121" s="233">
        <v>1</v>
      </c>
      <c r="L121" s="233"/>
      <c r="M121" s="233">
        <v>1</v>
      </c>
      <c r="N121" s="233"/>
      <c r="O121" s="233">
        <v>1</v>
      </c>
      <c r="P121" s="233"/>
      <c r="Q121" s="233">
        <v>1</v>
      </c>
      <c r="R121" s="366">
        <f>IF(Q121=1,1600,850)</f>
        <v>1600</v>
      </c>
      <c r="S121" s="51">
        <f t="shared" si="190"/>
        <v>0</v>
      </c>
      <c r="T121" s="11">
        <f t="shared" si="200"/>
        <v>1999.9999999999995</v>
      </c>
      <c r="U121" s="52">
        <f t="shared" si="191"/>
        <v>0</v>
      </c>
      <c r="V121" s="52" t="str">
        <f t="shared" si="192"/>
        <v xml:space="preserve">BONO </v>
      </c>
      <c r="W121" s="53">
        <f t="shared" si="193"/>
        <v>252.30666666666664</v>
      </c>
      <c r="X121" s="53">
        <f t="shared" si="201"/>
        <v>7.18</v>
      </c>
      <c r="Y121" s="53">
        <f t="shared" si="202"/>
        <v>7.18</v>
      </c>
      <c r="Z121" s="54">
        <f t="shared" si="203"/>
        <v>266.66666666666663</v>
      </c>
      <c r="AA121" s="55"/>
      <c r="AB121" s="53">
        <f t="shared" si="194"/>
        <v>252.30666666666664</v>
      </c>
      <c r="AC121" s="53">
        <f t="shared" si="204"/>
        <v>7.18</v>
      </c>
      <c r="AD121" s="53">
        <f t="shared" si="205"/>
        <v>7.18</v>
      </c>
      <c r="AE121" s="54">
        <f t="shared" si="206"/>
        <v>266.66666666666663</v>
      </c>
      <c r="AF121" s="56"/>
      <c r="AG121" s="53">
        <f t="shared" si="195"/>
        <v>252.30666666666664</v>
      </c>
      <c r="AH121" s="53">
        <f t="shared" si="207"/>
        <v>7.18</v>
      </c>
      <c r="AI121" s="53">
        <f t="shared" si="208"/>
        <v>7.18</v>
      </c>
      <c r="AJ121" s="54">
        <f t="shared" si="209"/>
        <v>266.66666666666663</v>
      </c>
      <c r="AK121" s="57"/>
      <c r="AL121" s="53">
        <f t="shared" si="196"/>
        <v>252.30666666666664</v>
      </c>
      <c r="AM121" s="53">
        <f t="shared" si="210"/>
        <v>7.18</v>
      </c>
      <c r="AN121" s="53">
        <f t="shared" si="211"/>
        <v>7.18</v>
      </c>
      <c r="AO121" s="54">
        <f t="shared" si="212"/>
        <v>266.66666666666663</v>
      </c>
      <c r="AP121" s="56"/>
      <c r="AQ121" s="53">
        <f t="shared" si="197"/>
        <v>252.30666666666664</v>
      </c>
      <c r="AR121" s="53">
        <f t="shared" si="213"/>
        <v>7.18</v>
      </c>
      <c r="AS121" s="53">
        <f t="shared" si="214"/>
        <v>7.18</v>
      </c>
      <c r="AT121" s="54">
        <f t="shared" si="215"/>
        <v>266.66666666666663</v>
      </c>
      <c r="AU121" s="56"/>
      <c r="AV121" s="53">
        <f t="shared" si="198"/>
        <v>252.30666666666664</v>
      </c>
      <c r="AW121" s="53">
        <f t="shared" si="216"/>
        <v>7.18</v>
      </c>
      <c r="AX121" s="53">
        <f t="shared" si="217"/>
        <v>7.18</v>
      </c>
      <c r="AY121" s="54">
        <f t="shared" si="218"/>
        <v>266.66666666666663</v>
      </c>
      <c r="AZ121" s="58">
        <f t="shared" si="219"/>
        <v>1599.9999999999995</v>
      </c>
      <c r="BA121" s="59">
        <f t="shared" si="199"/>
        <v>1999.9999999999995</v>
      </c>
      <c r="BB121" s="60"/>
      <c r="BC121" s="60"/>
      <c r="BD121" s="60"/>
      <c r="BE121" s="60"/>
      <c r="BF121" s="60"/>
      <c r="BG121" s="131" t="s">
        <v>178</v>
      </c>
      <c r="BH121" s="62"/>
      <c r="BI121" s="63">
        <v>250</v>
      </c>
      <c r="BJ121" s="63">
        <v>150</v>
      </c>
      <c r="BK121" s="64"/>
      <c r="BL121" s="63"/>
      <c r="BM121" s="65"/>
      <c r="BN121" s="65"/>
      <c r="BO121" s="66"/>
      <c r="BP121" s="67"/>
      <c r="BQ121" s="21"/>
      <c r="BR121" s="48"/>
      <c r="BS121" s="48"/>
      <c r="BT121" s="68"/>
      <c r="BU121" s="1">
        <v>426</v>
      </c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</row>
    <row r="122" spans="1:214" s="69" customFormat="1" ht="15.75" customHeight="1" thickBot="1" x14ac:dyDescent="0.35">
      <c r="A122" s="1"/>
      <c r="B122" s="375">
        <v>64</v>
      </c>
      <c r="C122" s="34">
        <f t="shared" si="189"/>
        <v>7</v>
      </c>
      <c r="D122" s="376" t="s">
        <v>90</v>
      </c>
      <c r="E122" s="233">
        <v>1</v>
      </c>
      <c r="F122" s="233"/>
      <c r="G122" s="233">
        <v>1</v>
      </c>
      <c r="H122" s="233"/>
      <c r="I122" s="233">
        <v>1</v>
      </c>
      <c r="J122" s="233"/>
      <c r="K122" s="233">
        <v>1</v>
      </c>
      <c r="L122" s="233"/>
      <c r="M122" s="233">
        <v>1</v>
      </c>
      <c r="N122" s="233"/>
      <c r="O122" s="233">
        <v>1</v>
      </c>
      <c r="P122" s="233"/>
      <c r="Q122" s="233">
        <v>1</v>
      </c>
      <c r="R122" s="50">
        <f t="shared" si="220"/>
        <v>1550</v>
      </c>
      <c r="S122" s="51">
        <f t="shared" ref="S122" si="224">+BH122</f>
        <v>0</v>
      </c>
      <c r="T122" s="11">
        <f t="shared" si="200"/>
        <v>1799.9999999999998</v>
      </c>
      <c r="U122" s="52">
        <f t="shared" ref="U122" si="225">+BP122</f>
        <v>0</v>
      </c>
      <c r="V122" s="52" t="str">
        <f t="shared" ref="V122" si="226">+BG122</f>
        <v xml:space="preserve">BONO </v>
      </c>
      <c r="W122" s="53">
        <f t="shared" si="193"/>
        <v>243.97333333333333</v>
      </c>
      <c r="X122" s="53">
        <f t="shared" si="201"/>
        <v>7.18</v>
      </c>
      <c r="Y122" s="53">
        <f t="shared" si="202"/>
        <v>7.18</v>
      </c>
      <c r="Z122" s="54">
        <f t="shared" si="203"/>
        <v>258.33333333333331</v>
      </c>
      <c r="AA122" s="55"/>
      <c r="AB122" s="53">
        <f t="shared" si="194"/>
        <v>243.97333333333333</v>
      </c>
      <c r="AC122" s="53">
        <f t="shared" si="204"/>
        <v>7.18</v>
      </c>
      <c r="AD122" s="53">
        <f t="shared" si="205"/>
        <v>7.18</v>
      </c>
      <c r="AE122" s="54">
        <f t="shared" si="206"/>
        <v>258.33333333333331</v>
      </c>
      <c r="AF122" s="56"/>
      <c r="AG122" s="53">
        <f t="shared" si="195"/>
        <v>243.97333333333333</v>
      </c>
      <c r="AH122" s="53">
        <f t="shared" si="207"/>
        <v>7.18</v>
      </c>
      <c r="AI122" s="53">
        <f t="shared" si="208"/>
        <v>7.18</v>
      </c>
      <c r="AJ122" s="54">
        <f t="shared" si="209"/>
        <v>258.33333333333331</v>
      </c>
      <c r="AK122" s="57"/>
      <c r="AL122" s="53">
        <f t="shared" si="196"/>
        <v>243.97333333333333</v>
      </c>
      <c r="AM122" s="53">
        <f t="shared" si="210"/>
        <v>7.18</v>
      </c>
      <c r="AN122" s="53">
        <f t="shared" si="211"/>
        <v>7.18</v>
      </c>
      <c r="AO122" s="54">
        <f t="shared" si="212"/>
        <v>258.33333333333331</v>
      </c>
      <c r="AP122" s="56"/>
      <c r="AQ122" s="53">
        <f t="shared" si="197"/>
        <v>243.97333333333333</v>
      </c>
      <c r="AR122" s="53">
        <f t="shared" si="213"/>
        <v>7.18</v>
      </c>
      <c r="AS122" s="53">
        <f t="shared" si="214"/>
        <v>7.18</v>
      </c>
      <c r="AT122" s="54">
        <f t="shared" si="215"/>
        <v>258.33333333333331</v>
      </c>
      <c r="AU122" s="56"/>
      <c r="AV122" s="53">
        <f t="shared" si="198"/>
        <v>243.97333333333333</v>
      </c>
      <c r="AW122" s="53">
        <f t="shared" si="216"/>
        <v>7.18</v>
      </c>
      <c r="AX122" s="53">
        <f t="shared" si="217"/>
        <v>7.18</v>
      </c>
      <c r="AY122" s="54">
        <f t="shared" si="218"/>
        <v>258.33333333333331</v>
      </c>
      <c r="AZ122" s="58">
        <f t="shared" si="219"/>
        <v>1549.9999999999998</v>
      </c>
      <c r="BA122" s="59">
        <f t="shared" si="199"/>
        <v>1799.9999999999998</v>
      </c>
      <c r="BB122" s="60"/>
      <c r="BC122" s="60"/>
      <c r="BD122" s="60"/>
      <c r="BE122" s="60"/>
      <c r="BF122" s="60"/>
      <c r="BG122" s="61" t="s">
        <v>178</v>
      </c>
      <c r="BH122" s="62"/>
      <c r="BI122" s="63">
        <v>250</v>
      </c>
      <c r="BJ122" s="63"/>
      <c r="BK122" s="64"/>
      <c r="BL122" s="63"/>
      <c r="BM122" s="65"/>
      <c r="BN122" s="65"/>
      <c r="BO122" s="66"/>
      <c r="BP122" s="67"/>
      <c r="BQ122" s="21"/>
      <c r="BR122" s="48"/>
      <c r="BS122" s="48"/>
      <c r="BT122" s="68"/>
      <c r="BU122" s="1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</row>
    <row r="123" spans="1:214" s="69" customFormat="1" ht="15.75" customHeight="1" thickBot="1" x14ac:dyDescent="0.35">
      <c r="A123" s="1"/>
      <c r="B123" s="380">
        <v>141</v>
      </c>
      <c r="C123" s="34">
        <f t="shared" si="189"/>
        <v>8</v>
      </c>
      <c r="D123" s="379" t="s">
        <v>120</v>
      </c>
      <c r="E123" s="233">
        <v>1</v>
      </c>
      <c r="F123" s="233"/>
      <c r="G123" s="233">
        <v>1</v>
      </c>
      <c r="H123" s="233"/>
      <c r="I123" s="233">
        <v>1</v>
      </c>
      <c r="J123" s="233"/>
      <c r="K123" s="233">
        <v>1</v>
      </c>
      <c r="L123" s="233"/>
      <c r="M123" s="233">
        <v>1</v>
      </c>
      <c r="N123" s="233"/>
      <c r="O123" s="233">
        <v>1</v>
      </c>
      <c r="P123" s="233"/>
      <c r="Q123" s="233">
        <v>1</v>
      </c>
      <c r="R123" s="50">
        <f t="shared" si="220"/>
        <v>1550</v>
      </c>
      <c r="S123" s="51">
        <f t="shared" si="190"/>
        <v>0</v>
      </c>
      <c r="T123" s="11">
        <f t="shared" si="200"/>
        <v>1949.9999999999998</v>
      </c>
      <c r="U123" s="52">
        <f t="shared" si="191"/>
        <v>0</v>
      </c>
      <c r="V123" s="52" t="str">
        <f t="shared" si="192"/>
        <v>BONO+B ASIS</v>
      </c>
      <c r="W123" s="53">
        <f t="shared" si="193"/>
        <v>243.97333333333333</v>
      </c>
      <c r="X123" s="53">
        <f t="shared" si="201"/>
        <v>7.18</v>
      </c>
      <c r="Y123" s="53">
        <f t="shared" si="202"/>
        <v>7.18</v>
      </c>
      <c r="Z123" s="54">
        <f t="shared" si="203"/>
        <v>258.33333333333331</v>
      </c>
      <c r="AA123" s="55"/>
      <c r="AB123" s="53">
        <f t="shared" si="194"/>
        <v>243.97333333333333</v>
      </c>
      <c r="AC123" s="53">
        <f t="shared" si="204"/>
        <v>7.18</v>
      </c>
      <c r="AD123" s="53">
        <f t="shared" si="205"/>
        <v>7.18</v>
      </c>
      <c r="AE123" s="54">
        <f t="shared" si="206"/>
        <v>258.33333333333331</v>
      </c>
      <c r="AF123" s="56"/>
      <c r="AG123" s="53">
        <f t="shared" si="195"/>
        <v>243.97333333333333</v>
      </c>
      <c r="AH123" s="53">
        <f t="shared" si="207"/>
        <v>7.18</v>
      </c>
      <c r="AI123" s="53">
        <f t="shared" si="208"/>
        <v>7.18</v>
      </c>
      <c r="AJ123" s="54">
        <f t="shared" si="209"/>
        <v>258.33333333333331</v>
      </c>
      <c r="AK123" s="57"/>
      <c r="AL123" s="53">
        <f t="shared" si="196"/>
        <v>243.97333333333333</v>
      </c>
      <c r="AM123" s="53">
        <f t="shared" si="210"/>
        <v>7.18</v>
      </c>
      <c r="AN123" s="53">
        <f t="shared" si="211"/>
        <v>7.18</v>
      </c>
      <c r="AO123" s="54">
        <f t="shared" si="212"/>
        <v>258.33333333333331</v>
      </c>
      <c r="AP123" s="56"/>
      <c r="AQ123" s="53">
        <f t="shared" si="197"/>
        <v>243.97333333333333</v>
      </c>
      <c r="AR123" s="53">
        <f t="shared" si="213"/>
        <v>7.18</v>
      </c>
      <c r="AS123" s="53">
        <f t="shared" si="214"/>
        <v>7.18</v>
      </c>
      <c r="AT123" s="54">
        <f t="shared" si="215"/>
        <v>258.33333333333331</v>
      </c>
      <c r="AU123" s="56"/>
      <c r="AV123" s="53">
        <f t="shared" si="198"/>
        <v>243.97333333333333</v>
      </c>
      <c r="AW123" s="53">
        <f t="shared" si="216"/>
        <v>7.18</v>
      </c>
      <c r="AX123" s="53">
        <f t="shared" si="217"/>
        <v>7.18</v>
      </c>
      <c r="AY123" s="54">
        <f t="shared" si="218"/>
        <v>258.33333333333331</v>
      </c>
      <c r="AZ123" s="58">
        <f t="shared" si="219"/>
        <v>1549.9999999999998</v>
      </c>
      <c r="BA123" s="59">
        <f t="shared" si="199"/>
        <v>1949.9999999999998</v>
      </c>
      <c r="BB123" s="70"/>
      <c r="BC123" s="70"/>
      <c r="BD123" s="70"/>
      <c r="BE123" s="70"/>
      <c r="BF123" s="70"/>
      <c r="BG123" s="61" t="s">
        <v>133</v>
      </c>
      <c r="BH123" s="71"/>
      <c r="BI123" s="63">
        <v>250</v>
      </c>
      <c r="BJ123" s="63">
        <v>150</v>
      </c>
      <c r="BK123" s="63"/>
      <c r="BL123" s="64"/>
      <c r="BM123" s="18"/>
      <c r="BN123" s="64"/>
      <c r="BO123" s="66"/>
      <c r="BP123" s="72"/>
      <c r="BQ123" s="73"/>
      <c r="BR123" s="74"/>
      <c r="BS123" s="75"/>
      <c r="BU123" s="1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</row>
    <row r="124" spans="1:214" ht="21" customHeight="1" thickBot="1" x14ac:dyDescent="0.35">
      <c r="A124" s="1">
        <v>504</v>
      </c>
      <c r="B124" s="78"/>
      <c r="C124" s="79"/>
      <c r="D124" s="21"/>
      <c r="E124" s="80">
        <f>SUM(E116:E123)</f>
        <v>7</v>
      </c>
      <c r="F124" s="80"/>
      <c r="G124" s="80">
        <f>SUM(G116:G123)</f>
        <v>7</v>
      </c>
      <c r="H124" s="80"/>
      <c r="I124" s="80">
        <f>SUM(I116:I123)</f>
        <v>7</v>
      </c>
      <c r="J124" s="81"/>
      <c r="K124" s="80">
        <f>SUM(K116:K123)</f>
        <v>7</v>
      </c>
      <c r="L124" s="81"/>
      <c r="M124" s="80">
        <f>SUM(M116:M123)</f>
        <v>7</v>
      </c>
      <c r="N124" s="80"/>
      <c r="O124" s="80">
        <f>SUM(O116:O123)</f>
        <v>7</v>
      </c>
      <c r="P124" s="80"/>
      <c r="Q124" s="8"/>
      <c r="R124" s="82"/>
      <c r="S124" s="51"/>
      <c r="T124" s="11"/>
      <c r="U124" s="52"/>
      <c r="V124" s="52"/>
      <c r="W124" s="53"/>
      <c r="X124" s="53"/>
      <c r="Y124" s="53"/>
      <c r="Z124" s="54"/>
      <c r="AA124" s="55"/>
      <c r="AB124" s="53"/>
      <c r="AC124" s="53"/>
      <c r="AD124" s="53"/>
      <c r="AE124" s="54"/>
      <c r="AF124" s="56"/>
      <c r="AG124" s="53"/>
      <c r="AH124" s="53"/>
      <c r="AI124" s="53"/>
      <c r="AJ124" s="54"/>
      <c r="AK124" s="57"/>
      <c r="AL124" s="53"/>
      <c r="AM124" s="53"/>
      <c r="AN124" s="53"/>
      <c r="AO124" s="54"/>
      <c r="AP124" s="56"/>
      <c r="AQ124" s="53"/>
      <c r="AR124" s="53"/>
      <c r="AS124" s="53"/>
      <c r="AT124" s="54"/>
      <c r="AU124" s="56"/>
      <c r="AV124" s="53"/>
      <c r="AW124" s="53"/>
      <c r="AX124" s="53"/>
      <c r="AY124" s="54"/>
      <c r="AZ124" s="58"/>
      <c r="BA124" s="59"/>
      <c r="BG124" s="83"/>
      <c r="BO124" s="67"/>
      <c r="BP124" s="67"/>
      <c r="BQ124" s="21"/>
      <c r="BR124" s="84"/>
      <c r="BS124" s="84"/>
      <c r="BU124" s="1">
        <v>504</v>
      </c>
    </row>
    <row r="125" spans="1:214" ht="15.75" customHeight="1" thickBot="1" x14ac:dyDescent="0.45">
      <c r="A125" s="1">
        <v>505</v>
      </c>
      <c r="C125" s="79"/>
      <c r="D125" s="21"/>
      <c r="E125" s="8"/>
      <c r="F125" s="85"/>
      <c r="G125" s="8"/>
      <c r="H125" s="22"/>
      <c r="I125" s="8"/>
      <c r="J125" s="22"/>
      <c r="K125" s="8"/>
      <c r="L125" s="22"/>
      <c r="M125" s="8"/>
      <c r="N125" s="22"/>
      <c r="O125" s="8"/>
      <c r="P125" s="22"/>
      <c r="Q125" s="8"/>
      <c r="R125" s="82"/>
      <c r="S125" s="51"/>
      <c r="T125" s="11"/>
      <c r="U125" s="52"/>
      <c r="V125" s="52"/>
      <c r="W125" s="53"/>
      <c r="X125" s="53"/>
      <c r="Y125" s="53"/>
      <c r="Z125" s="54"/>
      <c r="AA125" s="55"/>
      <c r="AB125" s="53"/>
      <c r="AC125" s="53"/>
      <c r="AD125" s="53"/>
      <c r="AE125" s="54"/>
      <c r="AF125" s="56"/>
      <c r="AG125" s="53"/>
      <c r="AH125" s="53"/>
      <c r="AI125" s="53"/>
      <c r="AJ125" s="54"/>
      <c r="AK125" s="57"/>
      <c r="AL125" s="53"/>
      <c r="AM125" s="53"/>
      <c r="AN125" s="53"/>
      <c r="AO125" s="54"/>
      <c r="AP125" s="56"/>
      <c r="AQ125" s="53"/>
      <c r="AR125" s="53"/>
      <c r="AS125" s="53"/>
      <c r="AT125" s="54"/>
      <c r="AU125" s="56"/>
      <c r="AV125" s="53"/>
      <c r="AW125" s="53"/>
      <c r="AX125" s="53"/>
      <c r="AY125" s="54"/>
      <c r="AZ125" s="58"/>
      <c r="BA125" s="59"/>
      <c r="BG125" s="83"/>
      <c r="BO125" s="86"/>
      <c r="BP125" s="87"/>
      <c r="BQ125" s="21"/>
      <c r="BT125" s="68"/>
      <c r="BU125" s="1">
        <v>505</v>
      </c>
    </row>
    <row r="126" spans="1:214" ht="15.75" customHeight="1" thickBot="1" x14ac:dyDescent="0.35">
      <c r="A126" s="1">
        <v>506</v>
      </c>
      <c r="B126" s="88" t="s">
        <v>26</v>
      </c>
      <c r="C126" s="89" t="s">
        <v>27</v>
      </c>
      <c r="D126" s="90"/>
      <c r="E126" s="8"/>
      <c r="F126" s="91"/>
      <c r="G126" s="42" t="s">
        <v>8</v>
      </c>
      <c r="H126" s="42"/>
      <c r="I126" s="42" t="s">
        <v>9</v>
      </c>
      <c r="J126" s="42"/>
      <c r="K126" s="42" t="s">
        <v>9</v>
      </c>
      <c r="L126" s="42"/>
      <c r="M126" s="42" t="s">
        <v>10</v>
      </c>
      <c r="N126" s="42"/>
      <c r="O126" s="42" t="s">
        <v>11</v>
      </c>
      <c r="P126" s="42"/>
      <c r="Q126" s="42" t="s">
        <v>12</v>
      </c>
      <c r="R126" s="42"/>
      <c r="S126" s="9"/>
      <c r="T126" s="11"/>
      <c r="U126" s="11"/>
      <c r="V126" s="11"/>
      <c r="W126" s="12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59"/>
      <c r="BO126" s="92"/>
      <c r="BP126" s="92"/>
      <c r="BQ126" s="21"/>
      <c r="BR126" s="21"/>
      <c r="BS126" s="21"/>
      <c r="BT126" s="68"/>
      <c r="BU126" s="1">
        <v>506</v>
      </c>
    </row>
    <row r="127" spans="1:214" ht="20.25" customHeight="1" thickBot="1" x14ac:dyDescent="0.35">
      <c r="A127" s="1">
        <v>507</v>
      </c>
      <c r="B127" s="21">
        <f>E124</f>
        <v>7</v>
      </c>
      <c r="C127" s="93">
        <f>G131</f>
        <v>7</v>
      </c>
      <c r="D127" s="94">
        <f t="shared" ref="D127:D132" si="227">+B127-C127</f>
        <v>0</v>
      </c>
      <c r="E127" s="95"/>
      <c r="F127" s="96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8" t="s">
        <v>28</v>
      </c>
      <c r="S127" s="10"/>
      <c r="T127" s="10"/>
      <c r="U127" s="94"/>
      <c r="V127" s="40"/>
      <c r="W127" s="42"/>
      <c r="X127" s="9"/>
      <c r="Y127" s="9"/>
      <c r="Z127" s="9"/>
      <c r="AA127" s="9"/>
      <c r="AB127" s="42"/>
      <c r="AC127" s="9"/>
      <c r="AD127" s="9"/>
      <c r="AE127" s="9"/>
      <c r="AF127" s="9"/>
      <c r="AG127" s="42"/>
      <c r="AH127" s="9"/>
      <c r="AI127" s="9"/>
      <c r="AJ127" s="9"/>
      <c r="AK127" s="9"/>
      <c r="AL127" s="9"/>
      <c r="AM127" s="9"/>
      <c r="AN127" s="9"/>
      <c r="AO127" s="9"/>
      <c r="AP127" s="9"/>
      <c r="AQ127" s="42"/>
      <c r="AR127" s="9"/>
      <c r="AS127" s="9"/>
      <c r="AT127" s="9"/>
      <c r="AU127" s="9"/>
      <c r="AV127" s="42"/>
      <c r="AW127" s="9"/>
      <c r="AX127" s="9"/>
      <c r="AY127" s="9"/>
      <c r="AZ127" s="99"/>
      <c r="BA127" s="59"/>
      <c r="BE127" s="100"/>
      <c r="BO127" s="101"/>
      <c r="BP127" s="92"/>
      <c r="BQ127" s="21"/>
      <c r="BR127" s="21"/>
      <c r="BS127" s="21"/>
      <c r="BT127" s="68"/>
      <c r="BU127" s="1">
        <v>507</v>
      </c>
    </row>
    <row r="128" spans="1:214" ht="20.25" customHeight="1" thickBot="1" x14ac:dyDescent="0.35">
      <c r="A128" s="1">
        <v>508</v>
      </c>
      <c r="B128" s="21">
        <f>G124</f>
        <v>7</v>
      </c>
      <c r="C128" s="93">
        <f>I131</f>
        <v>7</v>
      </c>
      <c r="D128" s="94">
        <f t="shared" si="227"/>
        <v>0</v>
      </c>
      <c r="E128" s="102" t="s">
        <v>30</v>
      </c>
      <c r="F128" s="103"/>
      <c r="G128" s="104">
        <v>2</v>
      </c>
      <c r="H128" s="105"/>
      <c r="I128" s="104">
        <v>2</v>
      </c>
      <c r="J128" s="105"/>
      <c r="K128" s="104">
        <v>2</v>
      </c>
      <c r="L128" s="105"/>
      <c r="M128" s="104">
        <v>2</v>
      </c>
      <c r="N128" s="105"/>
      <c r="O128" s="104">
        <v>2</v>
      </c>
      <c r="P128" s="105"/>
      <c r="Q128" s="104">
        <v>2</v>
      </c>
      <c r="R128" s="111">
        <f t="shared" ref="R128:R130" si="228">AVERAGE(G128,I128,K128,M128,O128,Q128)</f>
        <v>2</v>
      </c>
      <c r="S128" s="10"/>
      <c r="T128" s="11"/>
      <c r="U128" s="94"/>
      <c r="V128" s="40"/>
      <c r="W128" s="42"/>
      <c r="X128" s="9"/>
      <c r="Y128" s="9"/>
      <c r="Z128" s="9"/>
      <c r="AA128" s="9"/>
      <c r="AB128" s="42"/>
      <c r="AC128" s="9"/>
      <c r="AD128" s="9"/>
      <c r="AE128" s="9"/>
      <c r="AF128" s="9"/>
      <c r="AG128" s="42"/>
      <c r="AH128" s="9"/>
      <c r="AI128" s="9"/>
      <c r="AJ128" s="9"/>
      <c r="AK128" s="9"/>
      <c r="AL128" s="9"/>
      <c r="AM128" s="9"/>
      <c r="AN128" s="9"/>
      <c r="AO128" s="9"/>
      <c r="AP128" s="9"/>
      <c r="AQ128" s="42"/>
      <c r="AR128" s="9"/>
      <c r="AS128" s="9"/>
      <c r="AT128" s="9"/>
      <c r="AU128" s="9"/>
      <c r="AV128" s="42"/>
      <c r="AW128" s="9"/>
      <c r="AX128" s="9"/>
      <c r="AY128" s="9"/>
      <c r="AZ128" s="99"/>
      <c r="BA128" s="59"/>
      <c r="BE128" s="100"/>
      <c r="BO128" s="101"/>
      <c r="BP128" s="92"/>
      <c r="BQ128" s="21"/>
      <c r="BR128" s="21"/>
      <c r="BS128" s="21"/>
      <c r="BT128" s="68"/>
      <c r="BU128" s="1">
        <v>508</v>
      </c>
    </row>
    <row r="129" spans="1:214" ht="20.25" customHeight="1" thickBot="1" x14ac:dyDescent="0.35">
      <c r="A129" s="1"/>
      <c r="B129" s="21">
        <f>I124</f>
        <v>7</v>
      </c>
      <c r="C129" s="93">
        <f>K131</f>
        <v>7</v>
      </c>
      <c r="D129" s="94">
        <f t="shared" si="227"/>
        <v>0</v>
      </c>
      <c r="E129" s="102" t="s">
        <v>32</v>
      </c>
      <c r="F129" s="103"/>
      <c r="G129" s="104">
        <v>4</v>
      </c>
      <c r="H129" s="105"/>
      <c r="I129" s="104">
        <v>4</v>
      </c>
      <c r="J129" s="105"/>
      <c r="K129" s="104">
        <v>4</v>
      </c>
      <c r="L129" s="105"/>
      <c r="M129" s="104">
        <v>4</v>
      </c>
      <c r="N129" s="105"/>
      <c r="O129" s="104">
        <v>4</v>
      </c>
      <c r="P129" s="105"/>
      <c r="Q129" s="104">
        <v>4</v>
      </c>
      <c r="R129" s="111">
        <f t="shared" si="228"/>
        <v>4</v>
      </c>
      <c r="S129" s="10"/>
      <c r="T129" s="11"/>
      <c r="U129" s="94"/>
      <c r="V129" s="40"/>
      <c r="W129" s="42"/>
      <c r="X129" s="9"/>
      <c r="Y129" s="9"/>
      <c r="Z129" s="9"/>
      <c r="AA129" s="9"/>
      <c r="AB129" s="42"/>
      <c r="AC129" s="9"/>
      <c r="AD129" s="9"/>
      <c r="AE129" s="9"/>
      <c r="AF129" s="9"/>
      <c r="AG129" s="42"/>
      <c r="AH129" s="9"/>
      <c r="AI129" s="9"/>
      <c r="AJ129" s="9"/>
      <c r="AK129" s="9"/>
      <c r="AL129" s="9"/>
      <c r="AM129" s="9"/>
      <c r="AN129" s="9"/>
      <c r="AO129" s="9"/>
      <c r="AP129" s="9"/>
      <c r="AQ129" s="42"/>
      <c r="AR129" s="9"/>
      <c r="AS129" s="9"/>
      <c r="AT129" s="9"/>
      <c r="AU129" s="9"/>
      <c r="AV129" s="42"/>
      <c r="AW129" s="9"/>
      <c r="AX129" s="9"/>
      <c r="AY129" s="9"/>
      <c r="AZ129" s="99"/>
      <c r="BA129" s="59"/>
      <c r="BE129" s="100"/>
      <c r="BO129" s="101"/>
      <c r="BP129" s="92"/>
      <c r="BQ129" s="21"/>
      <c r="BR129" s="21"/>
      <c r="BS129" s="21"/>
      <c r="BT129" s="68"/>
      <c r="BU129" s="1"/>
    </row>
    <row r="130" spans="1:214" ht="20.25" customHeight="1" thickBot="1" x14ac:dyDescent="0.35">
      <c r="A130" s="1"/>
      <c r="B130" s="21">
        <f>K124</f>
        <v>7</v>
      </c>
      <c r="C130" s="93">
        <f>M131</f>
        <v>7</v>
      </c>
      <c r="D130" s="94">
        <f t="shared" si="227"/>
        <v>0</v>
      </c>
      <c r="E130" s="135" t="s">
        <v>29</v>
      </c>
      <c r="F130" s="136"/>
      <c r="G130" s="137">
        <v>1</v>
      </c>
      <c r="H130" s="138"/>
      <c r="I130" s="137">
        <v>1</v>
      </c>
      <c r="J130" s="138"/>
      <c r="K130" s="137">
        <v>1</v>
      </c>
      <c r="L130" s="138"/>
      <c r="M130" s="137">
        <v>1</v>
      </c>
      <c r="N130" s="138"/>
      <c r="O130" s="137">
        <v>1</v>
      </c>
      <c r="P130" s="138"/>
      <c r="Q130" s="137">
        <v>1</v>
      </c>
      <c r="R130" s="111">
        <f t="shared" si="228"/>
        <v>1</v>
      </c>
      <c r="S130" s="10"/>
      <c r="T130" s="11"/>
      <c r="U130" s="94"/>
      <c r="V130" s="40"/>
      <c r="W130" s="42"/>
      <c r="X130" s="9"/>
      <c r="Y130" s="9"/>
      <c r="Z130" s="9"/>
      <c r="AA130" s="9"/>
      <c r="AB130" s="42"/>
      <c r="AC130" s="9"/>
      <c r="AD130" s="9"/>
      <c r="AE130" s="9"/>
      <c r="AF130" s="9"/>
      <c r="AG130" s="42"/>
      <c r="AH130" s="9"/>
      <c r="AI130" s="9"/>
      <c r="AJ130" s="9"/>
      <c r="AK130" s="9"/>
      <c r="AL130" s="9"/>
      <c r="AM130" s="9"/>
      <c r="AN130" s="9"/>
      <c r="AO130" s="9"/>
      <c r="AP130" s="9"/>
      <c r="AQ130" s="42"/>
      <c r="AR130" s="9"/>
      <c r="AS130" s="9"/>
      <c r="AT130" s="9"/>
      <c r="AU130" s="9"/>
      <c r="AV130" s="42"/>
      <c r="AW130" s="9"/>
      <c r="AX130" s="9"/>
      <c r="AY130" s="9"/>
      <c r="AZ130" s="99"/>
      <c r="BA130" s="59"/>
      <c r="BE130" s="100"/>
      <c r="BO130" s="101"/>
      <c r="BP130" s="92"/>
      <c r="BQ130" s="21"/>
      <c r="BR130" s="21"/>
      <c r="BS130" s="21"/>
      <c r="BT130" s="68"/>
      <c r="BU130" s="1"/>
    </row>
    <row r="131" spans="1:214" ht="20.25" customHeight="1" thickBot="1" x14ac:dyDescent="0.35">
      <c r="A131" s="1">
        <v>509</v>
      </c>
      <c r="B131" s="21">
        <f>M124</f>
        <v>7</v>
      </c>
      <c r="C131" s="93">
        <f>O131</f>
        <v>7</v>
      </c>
      <c r="D131" s="94">
        <f t="shared" si="227"/>
        <v>0</v>
      </c>
      <c r="E131" s="108"/>
      <c r="F131" s="109"/>
      <c r="G131" s="110">
        <f>SUM(G128:G130)</f>
        <v>7</v>
      </c>
      <c r="H131" s="110"/>
      <c r="I131" s="110">
        <f>SUM(I128:I130)</f>
        <v>7</v>
      </c>
      <c r="J131" s="110"/>
      <c r="K131" s="110">
        <f>SUM(K128:K130)</f>
        <v>7</v>
      </c>
      <c r="L131" s="110"/>
      <c r="M131" s="110">
        <f>SUM(M128:M130)</f>
        <v>7</v>
      </c>
      <c r="N131" s="110"/>
      <c r="O131" s="110">
        <f>SUM(O128:O130)</f>
        <v>7</v>
      </c>
      <c r="P131" s="110"/>
      <c r="Q131" s="110">
        <f>SUM(Q128:Q130)</f>
        <v>7</v>
      </c>
      <c r="R131" s="111">
        <f>AVERAGE(G131,I131,K131,M131,O131,Q131)</f>
        <v>7</v>
      </c>
      <c r="S131" s="10"/>
      <c r="T131" s="11"/>
      <c r="U131" s="94"/>
      <c r="V131" s="40"/>
      <c r="W131" s="42"/>
      <c r="X131" s="9"/>
      <c r="Y131" s="9"/>
      <c r="Z131" s="9"/>
      <c r="AA131" s="9"/>
      <c r="AB131" s="42"/>
      <c r="AC131" s="9"/>
      <c r="AD131" s="9"/>
      <c r="AE131" s="9"/>
      <c r="AF131" s="9"/>
      <c r="AG131" s="42"/>
      <c r="AH131" s="9"/>
      <c r="AI131" s="9"/>
      <c r="AJ131" s="9"/>
      <c r="AK131" s="9"/>
      <c r="AL131" s="9"/>
      <c r="AM131" s="9"/>
      <c r="AN131" s="9"/>
      <c r="AO131" s="9"/>
      <c r="AP131" s="9"/>
      <c r="AQ131" s="42"/>
      <c r="AR131" s="9"/>
      <c r="AS131" s="9"/>
      <c r="AT131" s="9"/>
      <c r="AU131" s="9"/>
      <c r="AV131" s="42"/>
      <c r="AW131" s="9"/>
      <c r="AX131" s="9"/>
      <c r="AY131" s="9"/>
      <c r="AZ131" s="99"/>
      <c r="BA131" s="59"/>
      <c r="BE131" s="100"/>
      <c r="BO131" s="101"/>
      <c r="BP131" s="92"/>
      <c r="BQ131" s="21"/>
      <c r="BR131" s="21"/>
      <c r="BS131" s="21"/>
      <c r="BT131" s="68"/>
      <c r="BU131" s="1">
        <v>509</v>
      </c>
    </row>
    <row r="132" spans="1:214" ht="20.25" customHeight="1" x14ac:dyDescent="0.3">
      <c r="A132" s="1">
        <v>510</v>
      </c>
      <c r="B132" s="21">
        <f>O124</f>
        <v>7</v>
      </c>
      <c r="C132" s="93">
        <f>Q131</f>
        <v>7</v>
      </c>
      <c r="D132" s="94">
        <f t="shared" si="227"/>
        <v>0</v>
      </c>
      <c r="E132" s="112"/>
      <c r="F132" s="113"/>
      <c r="G132" s="112"/>
      <c r="H132" s="114"/>
      <c r="I132" s="112"/>
      <c r="J132" s="114"/>
      <c r="K132" s="112"/>
      <c r="L132" s="114"/>
      <c r="M132" s="112"/>
      <c r="N132" s="114"/>
      <c r="O132" s="112"/>
      <c r="P132" s="114"/>
      <c r="Q132" s="112"/>
      <c r="R132" s="115"/>
      <c r="S132" s="10"/>
      <c r="T132" s="128">
        <f>SUM(R128:R130)</f>
        <v>7</v>
      </c>
      <c r="U132" s="94"/>
      <c r="V132" s="40"/>
      <c r="W132" s="42"/>
      <c r="X132" s="9"/>
      <c r="Y132" s="9"/>
      <c r="Z132" s="9"/>
      <c r="AA132" s="9"/>
      <c r="AB132" s="42"/>
      <c r="AC132" s="9"/>
      <c r="AD132" s="9"/>
      <c r="AE132" s="9"/>
      <c r="AF132" s="9"/>
      <c r="AG132" s="42"/>
      <c r="AH132" s="9"/>
      <c r="AI132" s="9"/>
      <c r="AJ132" s="9"/>
      <c r="AK132" s="9"/>
      <c r="AL132" s="9"/>
      <c r="AM132" s="9"/>
      <c r="AN132" s="9"/>
      <c r="AO132" s="9"/>
      <c r="AP132" s="9"/>
      <c r="AQ132" s="42"/>
      <c r="AR132" s="9"/>
      <c r="AS132" s="9"/>
      <c r="AT132" s="9"/>
      <c r="AU132" s="9"/>
      <c r="AV132" s="42"/>
      <c r="AW132" s="9"/>
      <c r="AX132" s="9"/>
      <c r="AY132" s="9"/>
      <c r="AZ132" s="99"/>
      <c r="BA132" s="59"/>
      <c r="BE132" s="100"/>
      <c r="BO132" s="101"/>
      <c r="BP132" s="92"/>
      <c r="BQ132" s="21"/>
      <c r="BR132" s="21"/>
      <c r="BS132" s="21"/>
      <c r="BT132" s="68"/>
      <c r="BU132" s="1">
        <v>510</v>
      </c>
    </row>
    <row r="133" spans="1:214" ht="20.25" customHeight="1" x14ac:dyDescent="0.4">
      <c r="A133" s="1">
        <v>511</v>
      </c>
      <c r="B133" s="22"/>
      <c r="C133" s="22"/>
      <c r="D133" s="22"/>
      <c r="E133" s="8"/>
      <c r="F133" s="85"/>
      <c r="G133" s="8"/>
      <c r="H133" s="22"/>
      <c r="I133" s="8"/>
      <c r="J133" s="22"/>
      <c r="K133" s="8"/>
      <c r="L133" s="22"/>
      <c r="M133" s="8"/>
      <c r="N133" s="22"/>
      <c r="O133" s="8"/>
      <c r="P133" s="22"/>
      <c r="Q133" s="8"/>
      <c r="R133" s="82"/>
      <c r="S133" s="51"/>
      <c r="T133" s="11"/>
      <c r="U133" s="11"/>
      <c r="V133" s="52"/>
      <c r="W133" s="9"/>
      <c r="X133" s="9"/>
      <c r="Y133" s="9"/>
      <c r="Z133" s="9"/>
      <c r="AA133" s="42"/>
      <c r="AB133" s="9"/>
      <c r="AC133" s="9"/>
      <c r="AD133" s="9"/>
      <c r="AE133" s="9"/>
      <c r="AF133" s="42"/>
      <c r="AG133" s="9"/>
      <c r="AH133" s="9"/>
      <c r="AI133" s="9"/>
      <c r="AJ133" s="9"/>
      <c r="AK133" s="9"/>
      <c r="AL133" s="9"/>
      <c r="AM133" s="9"/>
      <c r="AN133" s="9"/>
      <c r="AO133" s="9"/>
      <c r="AP133" s="42"/>
      <c r="AQ133" s="9"/>
      <c r="AR133" s="9"/>
      <c r="AS133" s="9"/>
      <c r="AT133" s="9"/>
      <c r="AU133" s="42"/>
      <c r="AV133" s="9"/>
      <c r="AW133" s="9"/>
      <c r="AX133" s="9"/>
      <c r="AY133" s="9"/>
      <c r="AZ133" s="58"/>
      <c r="BA133" s="59"/>
      <c r="BG133" s="83"/>
      <c r="BO133" s="86"/>
      <c r="BP133" s="87"/>
      <c r="BQ133" s="21"/>
      <c r="BT133" s="68"/>
      <c r="BU133" s="1">
        <v>511</v>
      </c>
    </row>
    <row r="134" spans="1:214" ht="20.25" customHeight="1" thickBot="1" x14ac:dyDescent="0.45">
      <c r="A134" s="1">
        <v>512</v>
      </c>
      <c r="B134" s="22"/>
      <c r="C134" s="22"/>
      <c r="D134" s="22"/>
      <c r="E134" s="8"/>
      <c r="F134" s="85"/>
      <c r="G134" s="8"/>
      <c r="H134" s="22"/>
      <c r="I134" s="8"/>
      <c r="J134" s="22"/>
      <c r="K134" s="8"/>
      <c r="L134" s="22"/>
      <c r="M134" s="8"/>
      <c r="N134" s="22"/>
      <c r="O134" s="8"/>
      <c r="P134" s="22"/>
      <c r="Q134" s="8"/>
      <c r="R134" s="82"/>
      <c r="S134" s="51"/>
      <c r="T134" s="11"/>
      <c r="U134" s="11"/>
      <c r="V134" s="52"/>
      <c r="W134" s="9"/>
      <c r="X134" s="9"/>
      <c r="Y134" s="9"/>
      <c r="Z134" s="9"/>
      <c r="AA134" s="42"/>
      <c r="AB134" s="9"/>
      <c r="AC134" s="9"/>
      <c r="AD134" s="9"/>
      <c r="AE134" s="9"/>
      <c r="AF134" s="42"/>
      <c r="AG134" s="9"/>
      <c r="AH134" s="9"/>
      <c r="AI134" s="9"/>
      <c r="AJ134" s="9"/>
      <c r="AK134" s="9"/>
      <c r="AL134" s="9"/>
      <c r="AM134" s="9"/>
      <c r="AN134" s="9"/>
      <c r="AO134" s="9"/>
      <c r="AP134" s="42"/>
      <c r="AQ134" s="9"/>
      <c r="AR134" s="9"/>
      <c r="AS134" s="9"/>
      <c r="AT134" s="9"/>
      <c r="AU134" s="42"/>
      <c r="AV134" s="9"/>
      <c r="AW134" s="9"/>
      <c r="AX134" s="9"/>
      <c r="AY134" s="9"/>
      <c r="AZ134" s="58"/>
      <c r="BA134" s="59"/>
      <c r="BG134" s="83"/>
      <c r="BO134" s="86"/>
      <c r="BP134" s="87"/>
      <c r="BQ134" s="21"/>
      <c r="BT134" s="68"/>
      <c r="BU134" s="1">
        <v>512</v>
      </c>
    </row>
    <row r="135" spans="1:214" ht="28.5" customHeight="1" thickBot="1" x14ac:dyDescent="0.45">
      <c r="A135" s="1">
        <v>499</v>
      </c>
      <c r="B135" s="845" t="s">
        <v>51</v>
      </c>
      <c r="C135" s="846"/>
      <c r="D135" s="846" t="s">
        <v>35</v>
      </c>
      <c r="E135" s="846"/>
      <c r="F135" s="846"/>
      <c r="G135" s="846"/>
      <c r="H135" s="846"/>
      <c r="I135" s="846"/>
      <c r="J135" s="846"/>
      <c r="K135" s="846"/>
      <c r="L135" s="846"/>
      <c r="M135" s="846"/>
      <c r="N135" s="846"/>
      <c r="O135" s="846"/>
      <c r="P135" s="846"/>
      <c r="Q135" s="846"/>
      <c r="R135" s="23" t="str">
        <f>$V2</f>
        <v>DEL 08 AL 14 ENERO 24</v>
      </c>
      <c r="S135" s="51"/>
      <c r="T135" s="11"/>
      <c r="U135" s="11"/>
      <c r="V135" s="52"/>
      <c r="W135" s="53"/>
      <c r="X135" s="53"/>
      <c r="Y135" s="53"/>
      <c r="Z135" s="54"/>
      <c r="AA135" s="55"/>
      <c r="AB135" s="53"/>
      <c r="AC135" s="53"/>
      <c r="AD135" s="53"/>
      <c r="AE135" s="54"/>
      <c r="AF135" s="56"/>
      <c r="AG135" s="53"/>
      <c r="AH135" s="53"/>
      <c r="AI135" s="53"/>
      <c r="AJ135" s="54"/>
      <c r="AK135" s="57"/>
      <c r="AL135" s="53"/>
      <c r="AM135" s="53"/>
      <c r="AN135" s="53"/>
      <c r="AO135" s="54"/>
      <c r="AP135" s="56"/>
      <c r="AQ135" s="53"/>
      <c r="AR135" s="53"/>
      <c r="AS135" s="53"/>
      <c r="AT135" s="54"/>
      <c r="AU135" s="56"/>
      <c r="AV135" s="53"/>
      <c r="AW135" s="53"/>
      <c r="AX135" s="53"/>
      <c r="AY135" s="54"/>
      <c r="AZ135" s="58"/>
      <c r="BA135" s="59"/>
      <c r="BG135" s="83"/>
      <c r="BO135" s="116"/>
      <c r="BP135" s="67"/>
      <c r="BQ135" s="21"/>
      <c r="BR135" s="74"/>
      <c r="BS135" s="74"/>
      <c r="BT135" s="68"/>
      <c r="BU135" s="1">
        <v>499</v>
      </c>
    </row>
    <row r="136" spans="1:214" ht="14.25" customHeight="1" thickBot="1" x14ac:dyDescent="0.35">
      <c r="A136" s="1">
        <v>500</v>
      </c>
      <c r="B136" s="117"/>
      <c r="C136" s="118"/>
      <c r="D136" s="119"/>
      <c r="E136" s="120" t="s">
        <v>8</v>
      </c>
      <c r="F136" s="121"/>
      <c r="G136" s="120" t="s">
        <v>9</v>
      </c>
      <c r="H136" s="122"/>
      <c r="I136" s="120" t="s">
        <v>9</v>
      </c>
      <c r="J136" s="122"/>
      <c r="K136" s="120" t="s">
        <v>10</v>
      </c>
      <c r="L136" s="122"/>
      <c r="M136" s="120" t="s">
        <v>11</v>
      </c>
      <c r="N136" s="122"/>
      <c r="O136" s="120" t="s">
        <v>12</v>
      </c>
      <c r="P136" s="120"/>
      <c r="Q136" s="122"/>
      <c r="R136" s="123"/>
      <c r="S136" s="51"/>
      <c r="T136" s="11"/>
      <c r="U136" s="11"/>
      <c r="V136" s="52"/>
      <c r="W136" s="53"/>
      <c r="X136" s="53"/>
      <c r="Y136" s="53"/>
      <c r="Z136" s="54"/>
      <c r="AA136" s="55"/>
      <c r="AB136" s="53"/>
      <c r="AC136" s="53"/>
      <c r="AD136" s="53"/>
      <c r="AE136" s="54"/>
      <c r="AF136" s="56"/>
      <c r="AG136" s="53"/>
      <c r="AH136" s="53"/>
      <c r="AI136" s="53"/>
      <c r="AJ136" s="54"/>
      <c r="AK136" s="57"/>
      <c r="AL136" s="53"/>
      <c r="AM136" s="53"/>
      <c r="AN136" s="53"/>
      <c r="AO136" s="54"/>
      <c r="AP136" s="56"/>
      <c r="AQ136" s="53"/>
      <c r="AR136" s="53"/>
      <c r="AS136" s="53"/>
      <c r="AT136" s="54"/>
      <c r="AU136" s="56"/>
      <c r="AV136" s="53"/>
      <c r="AW136" s="53"/>
      <c r="AX136" s="53"/>
      <c r="AY136" s="54"/>
      <c r="AZ136" s="58"/>
      <c r="BA136" s="59"/>
      <c r="BB136" s="124"/>
      <c r="BC136" s="124"/>
      <c r="BD136" s="124"/>
      <c r="BE136" s="124"/>
      <c r="BF136" s="124"/>
      <c r="BG136" s="124"/>
      <c r="BH136" s="124"/>
      <c r="BJ136" s="19"/>
      <c r="BK136" s="19"/>
      <c r="BL136" s="19"/>
      <c r="BM136" s="19"/>
      <c r="BN136" s="124"/>
      <c r="BO136" s="125"/>
      <c r="BP136" s="126"/>
      <c r="BQ136" s="21"/>
      <c r="BR136" s="68"/>
      <c r="BS136" s="68"/>
      <c r="BT136" s="68"/>
      <c r="BU136" s="1">
        <v>500</v>
      </c>
    </row>
    <row r="137" spans="1:214" ht="14.25" customHeight="1" thickBot="1" x14ac:dyDescent="0.35">
      <c r="A137" s="1"/>
      <c r="B137" s="359">
        <v>177</v>
      </c>
      <c r="C137" s="34">
        <v>1</v>
      </c>
      <c r="D137" s="358" t="s">
        <v>164</v>
      </c>
      <c r="E137" s="49">
        <v>1</v>
      </c>
      <c r="F137" s="49"/>
      <c r="G137" s="49">
        <v>1</v>
      </c>
      <c r="H137" s="49"/>
      <c r="I137" s="49">
        <v>1</v>
      </c>
      <c r="J137" s="49"/>
      <c r="K137" s="49">
        <v>1</v>
      </c>
      <c r="L137" s="49"/>
      <c r="M137" s="49">
        <v>1</v>
      </c>
      <c r="N137" s="49"/>
      <c r="O137" s="49">
        <v>1</v>
      </c>
      <c r="P137" s="49"/>
      <c r="Q137" s="49">
        <v>1</v>
      </c>
      <c r="R137" s="50">
        <f t="shared" ref="R137:R140" si="229">IF(Q137=1,1550,850)</f>
        <v>1550</v>
      </c>
      <c r="S137" s="51">
        <f t="shared" ref="S137" si="230">+BH137</f>
        <v>0</v>
      </c>
      <c r="T137" s="11">
        <f t="shared" ref="T137:T144" si="231">+BA137</f>
        <v>1699.9999999999998</v>
      </c>
      <c r="U137" s="52">
        <f t="shared" ref="U137" si="232">+BP137</f>
        <v>0</v>
      </c>
      <c r="V137" s="52" t="str">
        <f t="shared" ref="V137" si="233">+BG137</f>
        <v>B ASIS</v>
      </c>
      <c r="W137" s="53">
        <f t="shared" ref="W137:W144" si="234">(R137-86.16)/6*E137</f>
        <v>243.97333333333333</v>
      </c>
      <c r="X137" s="53">
        <f t="shared" ref="X137:X144" si="235">$Y$2*E137*Q137</f>
        <v>7.18</v>
      </c>
      <c r="Y137" s="53">
        <f t="shared" ref="Y137:Y144" si="236">$Y$2*E137*Q137</f>
        <v>7.18</v>
      </c>
      <c r="Z137" s="54">
        <f t="shared" ref="Z137:Z144" si="237">Y137+X137+W137</f>
        <v>258.33333333333331</v>
      </c>
      <c r="AA137" s="55"/>
      <c r="AB137" s="53">
        <f t="shared" ref="AB137" si="238">(R137-86.16)/6*G137</f>
        <v>243.97333333333333</v>
      </c>
      <c r="AC137" s="53">
        <f t="shared" ref="AC137" si="239">$Y$2*G137*Q137</f>
        <v>7.18</v>
      </c>
      <c r="AD137" s="53">
        <f t="shared" ref="AD137" si="240">$Y$2*G137*Q137</f>
        <v>7.18</v>
      </c>
      <c r="AE137" s="54">
        <f t="shared" ref="AE137" si="241">AD137+AC137+AB137</f>
        <v>258.33333333333331</v>
      </c>
      <c r="AF137" s="56"/>
      <c r="AG137" s="53">
        <f t="shared" ref="AG137" si="242">(R137-86.16)/6*I137</f>
        <v>243.97333333333333</v>
      </c>
      <c r="AH137" s="53">
        <f t="shared" ref="AH137" si="243">$Y$2*I137*Q137</f>
        <v>7.18</v>
      </c>
      <c r="AI137" s="53">
        <f t="shared" ref="AI137" si="244">$Y$2*I137*Q137</f>
        <v>7.18</v>
      </c>
      <c r="AJ137" s="54">
        <f t="shared" ref="AJ137" si="245">AI137+AH137+AG137</f>
        <v>258.33333333333331</v>
      </c>
      <c r="AK137" s="57"/>
      <c r="AL137" s="53">
        <f t="shared" ref="AL137" si="246">(R137-86.16)/6*K137</f>
        <v>243.97333333333333</v>
      </c>
      <c r="AM137" s="53">
        <f t="shared" ref="AM137" si="247">$Y$2*K137*Q137</f>
        <v>7.18</v>
      </c>
      <c r="AN137" s="53">
        <f t="shared" ref="AN137" si="248">$Y$2*K137*Q137</f>
        <v>7.18</v>
      </c>
      <c r="AO137" s="54">
        <f t="shared" ref="AO137" si="249">AN137+AM137+AL137</f>
        <v>258.33333333333331</v>
      </c>
      <c r="AP137" s="56"/>
      <c r="AQ137" s="53">
        <f t="shared" ref="AQ137" si="250">(R137-86.16)/6*M137</f>
        <v>243.97333333333333</v>
      </c>
      <c r="AR137" s="53">
        <f t="shared" ref="AR137" si="251">$Y$2*M137*Q137</f>
        <v>7.18</v>
      </c>
      <c r="AS137" s="53">
        <f t="shared" ref="AS137" si="252">$Y$2*M137*Q137</f>
        <v>7.18</v>
      </c>
      <c r="AT137" s="54">
        <f t="shared" ref="AT137" si="253">AS137+AR137+AQ137</f>
        <v>258.33333333333331</v>
      </c>
      <c r="AU137" s="56"/>
      <c r="AV137" s="53">
        <f t="shared" ref="AV137" si="254">(R137-86.16)/6*O137</f>
        <v>243.97333333333333</v>
      </c>
      <c r="AW137" s="53">
        <f t="shared" ref="AW137" si="255">$Y$2*O137*Q137</f>
        <v>7.18</v>
      </c>
      <c r="AX137" s="53">
        <f t="shared" ref="AX137" si="256">$Y$2*O137*Q137</f>
        <v>7.18</v>
      </c>
      <c r="AY137" s="54">
        <f t="shared" ref="AY137" si="257">AX137+AW137+AV137</f>
        <v>258.33333333333331</v>
      </c>
      <c r="AZ137" s="58">
        <f t="shared" ref="AZ137:AZ143" si="258">+AY137+AT137+AO137++AJ137+AE137+Z137</f>
        <v>1549.9999999999998</v>
      </c>
      <c r="BA137" s="59">
        <f t="shared" ref="BA137:BA144" si="259">((AZ137-BB137-BC137-BD137-BE137-BF137)+BI137+BJ137+BK137+BL137+BM137+BN137+BO137)</f>
        <v>1699.9999999999998</v>
      </c>
      <c r="BB137" s="139"/>
      <c r="BC137" s="139"/>
      <c r="BD137" s="139"/>
      <c r="BE137" s="139"/>
      <c r="BF137" s="139"/>
      <c r="BG137" s="61" t="s">
        <v>175</v>
      </c>
      <c r="BJ137" s="63">
        <v>150</v>
      </c>
      <c r="BK137" s="19"/>
      <c r="BL137" s="19"/>
      <c r="BM137" s="19"/>
      <c r="BN137" s="124"/>
      <c r="BO137" s="125"/>
      <c r="BP137" s="126"/>
      <c r="BQ137" s="21"/>
      <c r="BR137" s="68"/>
      <c r="BS137" s="68"/>
      <c r="BT137" s="68"/>
      <c r="BU137" s="1"/>
    </row>
    <row r="138" spans="1:214" s="69" customFormat="1" ht="15.75" customHeight="1" thickBot="1" x14ac:dyDescent="0.35">
      <c r="A138" s="1">
        <v>501</v>
      </c>
      <c r="B138" s="275">
        <v>4</v>
      </c>
      <c r="C138" s="34">
        <v>2</v>
      </c>
      <c r="D138" s="274" t="s">
        <v>52</v>
      </c>
      <c r="E138" s="49">
        <v>1</v>
      </c>
      <c r="F138" s="49"/>
      <c r="G138" s="49">
        <v>1</v>
      </c>
      <c r="H138" s="49"/>
      <c r="I138" s="49">
        <v>1</v>
      </c>
      <c r="J138" s="49"/>
      <c r="K138" s="49">
        <v>1</v>
      </c>
      <c r="L138" s="49"/>
      <c r="M138" s="49">
        <v>1</v>
      </c>
      <c r="N138" s="49"/>
      <c r="O138" s="49">
        <v>1</v>
      </c>
      <c r="P138" s="49"/>
      <c r="Q138" s="49">
        <v>1</v>
      </c>
      <c r="R138" s="339">
        <f>IF(Q138=1,8000,850)</f>
        <v>8000</v>
      </c>
      <c r="S138" s="51">
        <f t="shared" ref="S138:S144" si="260">+BH138</f>
        <v>0</v>
      </c>
      <c r="T138" s="11">
        <f t="shared" si="231"/>
        <v>7999.9999999999991</v>
      </c>
      <c r="U138" s="52">
        <f t="shared" ref="U138:U144" si="261">+BP138</f>
        <v>0</v>
      </c>
      <c r="V138" s="52">
        <f t="shared" ref="V138:V144" si="262">+BG138</f>
        <v>0</v>
      </c>
      <c r="W138" s="53">
        <f t="shared" si="234"/>
        <v>1318.9733333333334</v>
      </c>
      <c r="X138" s="53">
        <f t="shared" si="235"/>
        <v>7.18</v>
      </c>
      <c r="Y138" s="53">
        <f t="shared" si="236"/>
        <v>7.18</v>
      </c>
      <c r="Z138" s="54">
        <f t="shared" si="237"/>
        <v>1333.3333333333333</v>
      </c>
      <c r="AA138" s="55"/>
      <c r="AB138" s="53">
        <f t="shared" ref="AB138:AB144" si="263">(R138-86.16)/6*G138</f>
        <v>1318.9733333333334</v>
      </c>
      <c r="AC138" s="53">
        <f t="shared" ref="AC138:AC144" si="264">$Y$2*G138*Q138</f>
        <v>7.18</v>
      </c>
      <c r="AD138" s="53">
        <f t="shared" ref="AD138:AD144" si="265">$Y$2*G138*Q138</f>
        <v>7.18</v>
      </c>
      <c r="AE138" s="54">
        <f t="shared" ref="AE138:AE144" si="266">AD138+AC138+AB138</f>
        <v>1333.3333333333333</v>
      </c>
      <c r="AF138" s="56"/>
      <c r="AG138" s="53">
        <f t="shared" ref="AG138:AG144" si="267">(R138-86.16)/6*I138</f>
        <v>1318.9733333333334</v>
      </c>
      <c r="AH138" s="53">
        <f t="shared" ref="AH138:AH144" si="268">$Y$2*I138*Q138</f>
        <v>7.18</v>
      </c>
      <c r="AI138" s="53">
        <f t="shared" ref="AI138:AI144" si="269">$Y$2*I138*Q138</f>
        <v>7.18</v>
      </c>
      <c r="AJ138" s="54">
        <f t="shared" ref="AJ138:AJ144" si="270">AI138+AH138+AG138</f>
        <v>1333.3333333333333</v>
      </c>
      <c r="AK138" s="57"/>
      <c r="AL138" s="53">
        <f t="shared" ref="AL138:AL144" si="271">(R138-86.16)/6*K138</f>
        <v>1318.9733333333334</v>
      </c>
      <c r="AM138" s="53">
        <f t="shared" ref="AM138:AM144" si="272">$Y$2*K138*Q138</f>
        <v>7.18</v>
      </c>
      <c r="AN138" s="53">
        <f t="shared" ref="AN138:AN144" si="273">$Y$2*K138*Q138</f>
        <v>7.18</v>
      </c>
      <c r="AO138" s="54">
        <f t="shared" ref="AO138:AO144" si="274">AN138+AM138+AL138</f>
        <v>1333.3333333333333</v>
      </c>
      <c r="AP138" s="56"/>
      <c r="AQ138" s="53">
        <f t="shared" ref="AQ138:AQ144" si="275">(R138-86.16)/6*M138</f>
        <v>1318.9733333333334</v>
      </c>
      <c r="AR138" s="53">
        <f t="shared" ref="AR138:AR144" si="276">$Y$2*M138*Q138</f>
        <v>7.18</v>
      </c>
      <c r="AS138" s="53">
        <f t="shared" ref="AS138:AS144" si="277">$Y$2*M138*Q138</f>
        <v>7.18</v>
      </c>
      <c r="AT138" s="54">
        <f t="shared" ref="AT138:AT144" si="278">AS138+AR138+AQ138</f>
        <v>1333.3333333333333</v>
      </c>
      <c r="AU138" s="56"/>
      <c r="AV138" s="53">
        <f t="shared" ref="AV138:AV144" si="279">(R138-86.16)/6*O138</f>
        <v>1318.9733333333334</v>
      </c>
      <c r="AW138" s="53">
        <f t="shared" ref="AW138:AW144" si="280">$Y$2*O138*Q138</f>
        <v>7.18</v>
      </c>
      <c r="AX138" s="53">
        <f t="shared" ref="AX138:AX144" si="281">$Y$2*O138*Q138</f>
        <v>7.18</v>
      </c>
      <c r="AY138" s="54">
        <f t="shared" ref="AY138:AY144" si="282">AX138+AW138+AV138</f>
        <v>1333.3333333333333</v>
      </c>
      <c r="AZ138" s="58">
        <f t="shared" si="258"/>
        <v>7999.9999999999991</v>
      </c>
      <c r="BA138" s="59">
        <f t="shared" si="259"/>
        <v>7999.9999999999991</v>
      </c>
      <c r="BB138" s="139"/>
      <c r="BC138" s="139"/>
      <c r="BD138" s="139"/>
      <c r="BE138" s="139"/>
      <c r="BF138" s="139"/>
      <c r="BG138" s="61"/>
      <c r="BH138" s="17"/>
      <c r="BI138" s="18"/>
      <c r="BJ138" s="63"/>
      <c r="BK138" s="18"/>
      <c r="BL138" s="64"/>
      <c r="BM138" s="18"/>
      <c r="BN138" s="18"/>
      <c r="BO138" s="66"/>
      <c r="BP138" s="66"/>
      <c r="BQ138" s="21"/>
      <c r="BR138" s="74"/>
      <c r="BS138" s="74"/>
      <c r="BT138" s="22"/>
      <c r="BU138" s="1">
        <v>501</v>
      </c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</row>
    <row r="139" spans="1:214" s="69" customFormat="1" ht="15.75" customHeight="1" thickBot="1" x14ac:dyDescent="0.35">
      <c r="A139" s="1"/>
      <c r="B139" s="375">
        <v>72</v>
      </c>
      <c r="C139" s="34">
        <v>3</v>
      </c>
      <c r="D139" s="376" t="s">
        <v>86</v>
      </c>
      <c r="E139" s="49">
        <v>1</v>
      </c>
      <c r="F139" s="49"/>
      <c r="G139" s="49">
        <v>1</v>
      </c>
      <c r="H139" s="49"/>
      <c r="I139" s="49">
        <v>1</v>
      </c>
      <c r="J139" s="49"/>
      <c r="K139" s="49">
        <v>1</v>
      </c>
      <c r="L139" s="49"/>
      <c r="M139" s="49">
        <v>1</v>
      </c>
      <c r="N139" s="49"/>
      <c r="O139" s="49">
        <v>1</v>
      </c>
      <c r="P139" s="49"/>
      <c r="Q139" s="49">
        <v>1</v>
      </c>
      <c r="R139" s="50">
        <f t="shared" si="229"/>
        <v>1550</v>
      </c>
      <c r="S139" s="51">
        <f t="shared" ref="S139" si="283">+BH139</f>
        <v>0</v>
      </c>
      <c r="T139" s="11">
        <f t="shared" ref="T139" si="284">+BA139</f>
        <v>1949.9999999999998</v>
      </c>
      <c r="U139" s="52">
        <f t="shared" ref="U139" si="285">+BP139</f>
        <v>0</v>
      </c>
      <c r="V139" s="52" t="str">
        <f t="shared" ref="V139" si="286">+BG139</f>
        <v>BONO+B ASIS</v>
      </c>
      <c r="W139" s="53">
        <f t="shared" si="234"/>
        <v>243.97333333333333</v>
      </c>
      <c r="X139" s="53">
        <f t="shared" si="235"/>
        <v>7.18</v>
      </c>
      <c r="Y139" s="53">
        <f t="shared" si="236"/>
        <v>7.18</v>
      </c>
      <c r="Z139" s="54">
        <f t="shared" si="237"/>
        <v>258.33333333333331</v>
      </c>
      <c r="AA139" s="55"/>
      <c r="AB139" s="53">
        <f t="shared" ref="AB139" si="287">(R139-86.16)/6*G139</f>
        <v>243.97333333333333</v>
      </c>
      <c r="AC139" s="53">
        <f t="shared" ref="AC139" si="288">$Y$2*G139*Q139</f>
        <v>7.18</v>
      </c>
      <c r="AD139" s="53">
        <f t="shared" ref="AD139" si="289">$Y$2*G139*Q139</f>
        <v>7.18</v>
      </c>
      <c r="AE139" s="54">
        <f t="shared" ref="AE139" si="290">AD139+AC139+AB139</f>
        <v>258.33333333333331</v>
      </c>
      <c r="AF139" s="56"/>
      <c r="AG139" s="53">
        <f t="shared" ref="AG139" si="291">(R139-86.16)/6*I139</f>
        <v>243.97333333333333</v>
      </c>
      <c r="AH139" s="53">
        <f t="shared" ref="AH139" si="292">$Y$2*I139*Q139</f>
        <v>7.18</v>
      </c>
      <c r="AI139" s="53">
        <f t="shared" ref="AI139" si="293">$Y$2*I139*Q139</f>
        <v>7.18</v>
      </c>
      <c r="AJ139" s="54">
        <f t="shared" ref="AJ139" si="294">AI139+AH139+AG139</f>
        <v>258.33333333333331</v>
      </c>
      <c r="AK139" s="57"/>
      <c r="AL139" s="53">
        <f t="shared" ref="AL139" si="295">(R139-86.16)/6*K139</f>
        <v>243.97333333333333</v>
      </c>
      <c r="AM139" s="53">
        <f t="shared" ref="AM139" si="296">$Y$2*K139*Q139</f>
        <v>7.18</v>
      </c>
      <c r="AN139" s="53">
        <f t="shared" ref="AN139" si="297">$Y$2*K139*Q139</f>
        <v>7.18</v>
      </c>
      <c r="AO139" s="54">
        <f t="shared" ref="AO139" si="298">AN139+AM139+AL139</f>
        <v>258.33333333333331</v>
      </c>
      <c r="AP139" s="56"/>
      <c r="AQ139" s="53">
        <f t="shared" ref="AQ139" si="299">(R139-86.16)/6*M139</f>
        <v>243.97333333333333</v>
      </c>
      <c r="AR139" s="53">
        <f t="shared" ref="AR139" si="300">$Y$2*M139*Q139</f>
        <v>7.18</v>
      </c>
      <c r="AS139" s="53">
        <f t="shared" ref="AS139" si="301">$Y$2*M139*Q139</f>
        <v>7.18</v>
      </c>
      <c r="AT139" s="54">
        <f t="shared" ref="AT139" si="302">AS139+AR139+AQ139</f>
        <v>258.33333333333331</v>
      </c>
      <c r="AU139" s="56"/>
      <c r="AV139" s="53">
        <f t="shared" ref="AV139" si="303">(R139-86.16)/6*O139</f>
        <v>243.97333333333333</v>
      </c>
      <c r="AW139" s="53">
        <f t="shared" ref="AW139" si="304">$Y$2*O139*Q139</f>
        <v>7.18</v>
      </c>
      <c r="AX139" s="53">
        <f t="shared" ref="AX139" si="305">$Y$2*O139*Q139</f>
        <v>7.18</v>
      </c>
      <c r="AY139" s="54">
        <f t="shared" ref="AY139" si="306">AX139+AW139+AV139</f>
        <v>258.33333333333331</v>
      </c>
      <c r="AZ139" s="58">
        <f t="shared" si="258"/>
        <v>1549.9999999999998</v>
      </c>
      <c r="BA139" s="59">
        <f t="shared" si="259"/>
        <v>1949.9999999999998</v>
      </c>
      <c r="BB139" s="60"/>
      <c r="BC139" s="60"/>
      <c r="BD139" s="60"/>
      <c r="BE139" s="60"/>
      <c r="BF139" s="60"/>
      <c r="BG139" s="61" t="s">
        <v>133</v>
      </c>
      <c r="BH139" s="62"/>
      <c r="BI139" s="63">
        <v>250</v>
      </c>
      <c r="BJ139" s="63">
        <v>150</v>
      </c>
      <c r="BK139" s="64"/>
      <c r="BL139" s="63"/>
      <c r="BM139" s="65"/>
      <c r="BN139" s="65"/>
      <c r="BO139" s="66"/>
      <c r="BP139" s="67"/>
      <c r="BQ139" s="21"/>
      <c r="BR139" s="48"/>
      <c r="BS139" s="48"/>
      <c r="BT139" s="68"/>
      <c r="BU139" s="1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</row>
    <row r="140" spans="1:214" s="69" customFormat="1" ht="15.75" customHeight="1" thickBot="1" x14ac:dyDescent="0.35">
      <c r="A140" s="1"/>
      <c r="B140" s="375">
        <v>75</v>
      </c>
      <c r="C140" s="34">
        <v>5</v>
      </c>
      <c r="D140" s="376" t="s">
        <v>91</v>
      </c>
      <c r="E140" s="49">
        <v>1</v>
      </c>
      <c r="F140" s="49"/>
      <c r="G140" s="49">
        <v>1</v>
      </c>
      <c r="H140" s="49"/>
      <c r="I140" s="49">
        <v>1</v>
      </c>
      <c r="J140" s="49"/>
      <c r="K140" s="49">
        <v>1</v>
      </c>
      <c r="L140" s="49"/>
      <c r="M140" s="49">
        <v>1</v>
      </c>
      <c r="N140" s="49"/>
      <c r="O140" s="49">
        <v>1</v>
      </c>
      <c r="P140" s="49"/>
      <c r="Q140" s="49">
        <v>1</v>
      </c>
      <c r="R140" s="50">
        <f t="shared" si="229"/>
        <v>1550</v>
      </c>
      <c r="S140" s="51">
        <f t="shared" si="260"/>
        <v>0</v>
      </c>
      <c r="T140" s="11">
        <f t="shared" si="231"/>
        <v>1949.9999999999998</v>
      </c>
      <c r="U140" s="52">
        <f t="shared" si="261"/>
        <v>0</v>
      </c>
      <c r="V140" s="52" t="str">
        <f t="shared" si="262"/>
        <v>BONO+B ASIS</v>
      </c>
      <c r="W140" s="53">
        <f t="shared" si="234"/>
        <v>243.97333333333333</v>
      </c>
      <c r="X140" s="53">
        <f t="shared" si="235"/>
        <v>7.18</v>
      </c>
      <c r="Y140" s="53">
        <f t="shared" si="236"/>
        <v>7.18</v>
      </c>
      <c r="Z140" s="54">
        <f t="shared" si="237"/>
        <v>258.33333333333331</v>
      </c>
      <c r="AA140" s="55"/>
      <c r="AB140" s="53">
        <f t="shared" si="263"/>
        <v>243.97333333333333</v>
      </c>
      <c r="AC140" s="53">
        <f t="shared" si="264"/>
        <v>7.18</v>
      </c>
      <c r="AD140" s="53">
        <f t="shared" si="265"/>
        <v>7.18</v>
      </c>
      <c r="AE140" s="54">
        <f t="shared" si="266"/>
        <v>258.33333333333331</v>
      </c>
      <c r="AF140" s="56"/>
      <c r="AG140" s="53">
        <f t="shared" si="267"/>
        <v>243.97333333333333</v>
      </c>
      <c r="AH140" s="53">
        <f t="shared" si="268"/>
        <v>7.18</v>
      </c>
      <c r="AI140" s="53">
        <f t="shared" si="269"/>
        <v>7.18</v>
      </c>
      <c r="AJ140" s="54">
        <f t="shared" si="270"/>
        <v>258.33333333333331</v>
      </c>
      <c r="AK140" s="57"/>
      <c r="AL140" s="53">
        <f t="shared" si="271"/>
        <v>243.97333333333333</v>
      </c>
      <c r="AM140" s="53">
        <f t="shared" si="272"/>
        <v>7.18</v>
      </c>
      <c r="AN140" s="53">
        <f t="shared" si="273"/>
        <v>7.18</v>
      </c>
      <c r="AO140" s="54">
        <f t="shared" si="274"/>
        <v>258.33333333333331</v>
      </c>
      <c r="AP140" s="56"/>
      <c r="AQ140" s="53">
        <f t="shared" si="275"/>
        <v>243.97333333333333</v>
      </c>
      <c r="AR140" s="53">
        <f t="shared" si="276"/>
        <v>7.18</v>
      </c>
      <c r="AS140" s="53">
        <f t="shared" si="277"/>
        <v>7.18</v>
      </c>
      <c r="AT140" s="54">
        <f t="shared" si="278"/>
        <v>258.33333333333331</v>
      </c>
      <c r="AU140" s="56"/>
      <c r="AV140" s="53">
        <f t="shared" si="279"/>
        <v>243.97333333333333</v>
      </c>
      <c r="AW140" s="53">
        <f t="shared" si="280"/>
        <v>7.18</v>
      </c>
      <c r="AX140" s="53">
        <f t="shared" si="281"/>
        <v>7.18</v>
      </c>
      <c r="AY140" s="54">
        <f t="shared" si="282"/>
        <v>258.33333333333331</v>
      </c>
      <c r="AZ140" s="58">
        <f t="shared" si="258"/>
        <v>1549.9999999999998</v>
      </c>
      <c r="BA140" s="59">
        <f t="shared" si="259"/>
        <v>1949.9999999999998</v>
      </c>
      <c r="BB140" s="139"/>
      <c r="BC140" s="139"/>
      <c r="BD140" s="139"/>
      <c r="BE140" s="139"/>
      <c r="BF140" s="139"/>
      <c r="BG140" s="61" t="s">
        <v>133</v>
      </c>
      <c r="BH140" s="17"/>
      <c r="BI140" s="18">
        <v>250</v>
      </c>
      <c r="BJ140" s="63">
        <v>150</v>
      </c>
      <c r="BK140" s="18"/>
      <c r="BL140" s="64"/>
      <c r="BM140" s="18"/>
      <c r="BN140" s="18"/>
      <c r="BO140" s="66"/>
      <c r="BP140" s="66"/>
      <c r="BQ140" s="21"/>
      <c r="BR140" s="74"/>
      <c r="BS140" s="74"/>
      <c r="BT140" s="22"/>
      <c r="BU140" s="1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</row>
    <row r="141" spans="1:214" s="69" customFormat="1" ht="15.75" customHeight="1" thickBot="1" x14ac:dyDescent="0.35">
      <c r="A141" s="1"/>
      <c r="B141" s="275">
        <v>159</v>
      </c>
      <c r="C141" s="34">
        <v>6</v>
      </c>
      <c r="D141" s="274" t="s">
        <v>139</v>
      </c>
      <c r="E141" s="49">
        <v>1</v>
      </c>
      <c r="F141" s="49"/>
      <c r="G141" s="49">
        <v>1</v>
      </c>
      <c r="H141" s="49"/>
      <c r="I141" s="49">
        <v>1</v>
      </c>
      <c r="J141" s="49"/>
      <c r="K141" s="49">
        <v>1</v>
      </c>
      <c r="L141" s="49"/>
      <c r="M141" s="49">
        <v>1</v>
      </c>
      <c r="N141" s="49"/>
      <c r="O141" s="49">
        <v>1</v>
      </c>
      <c r="P141" s="49"/>
      <c r="Q141" s="49">
        <v>1</v>
      </c>
      <c r="R141" s="339">
        <v>6000</v>
      </c>
      <c r="S141" s="51">
        <f t="shared" si="260"/>
        <v>0</v>
      </c>
      <c r="T141" s="11">
        <f t="shared" si="231"/>
        <v>6000</v>
      </c>
      <c r="U141" s="52">
        <f t="shared" si="261"/>
        <v>0</v>
      </c>
      <c r="V141" s="52">
        <f t="shared" si="262"/>
        <v>0</v>
      </c>
      <c r="W141" s="53">
        <f t="shared" si="234"/>
        <v>985.64</v>
      </c>
      <c r="X141" s="53">
        <f t="shared" si="235"/>
        <v>7.18</v>
      </c>
      <c r="Y141" s="53">
        <f t="shared" si="236"/>
        <v>7.18</v>
      </c>
      <c r="Z141" s="54">
        <f t="shared" si="237"/>
        <v>1000</v>
      </c>
      <c r="AA141" s="55"/>
      <c r="AB141" s="53">
        <f t="shared" si="263"/>
        <v>985.64</v>
      </c>
      <c r="AC141" s="53">
        <f t="shared" si="264"/>
        <v>7.18</v>
      </c>
      <c r="AD141" s="53">
        <f t="shared" si="265"/>
        <v>7.18</v>
      </c>
      <c r="AE141" s="54">
        <f t="shared" si="266"/>
        <v>1000</v>
      </c>
      <c r="AF141" s="56"/>
      <c r="AG141" s="53">
        <f t="shared" si="267"/>
        <v>985.64</v>
      </c>
      <c r="AH141" s="53">
        <f t="shared" si="268"/>
        <v>7.18</v>
      </c>
      <c r="AI141" s="53">
        <f t="shared" si="269"/>
        <v>7.18</v>
      </c>
      <c r="AJ141" s="54">
        <f t="shared" si="270"/>
        <v>1000</v>
      </c>
      <c r="AK141" s="57"/>
      <c r="AL141" s="53">
        <f t="shared" si="271"/>
        <v>985.64</v>
      </c>
      <c r="AM141" s="53">
        <f t="shared" si="272"/>
        <v>7.18</v>
      </c>
      <c r="AN141" s="53">
        <f t="shared" si="273"/>
        <v>7.18</v>
      </c>
      <c r="AO141" s="54">
        <f t="shared" si="274"/>
        <v>1000</v>
      </c>
      <c r="AP141" s="56"/>
      <c r="AQ141" s="53">
        <f t="shared" si="275"/>
        <v>985.64</v>
      </c>
      <c r="AR141" s="53">
        <f t="shared" si="276"/>
        <v>7.18</v>
      </c>
      <c r="AS141" s="53">
        <f t="shared" si="277"/>
        <v>7.18</v>
      </c>
      <c r="AT141" s="54">
        <f t="shared" si="278"/>
        <v>1000</v>
      </c>
      <c r="AU141" s="56"/>
      <c r="AV141" s="53">
        <f t="shared" si="279"/>
        <v>985.64</v>
      </c>
      <c r="AW141" s="53">
        <f t="shared" si="280"/>
        <v>7.18</v>
      </c>
      <c r="AX141" s="53">
        <f t="shared" si="281"/>
        <v>7.18</v>
      </c>
      <c r="AY141" s="54">
        <f t="shared" si="282"/>
        <v>1000</v>
      </c>
      <c r="AZ141" s="58">
        <f t="shared" si="258"/>
        <v>6000</v>
      </c>
      <c r="BA141" s="59">
        <f t="shared" si="259"/>
        <v>6000</v>
      </c>
      <c r="BB141" s="139"/>
      <c r="BC141" s="139"/>
      <c r="BD141" s="139"/>
      <c r="BE141" s="139"/>
      <c r="BF141" s="139"/>
      <c r="BG141" s="61"/>
      <c r="BH141" s="17"/>
      <c r="BI141" s="18"/>
      <c r="BJ141" s="63"/>
      <c r="BK141" s="18"/>
      <c r="BL141" s="64"/>
      <c r="BM141" s="18"/>
      <c r="BN141" s="18"/>
      <c r="BO141" s="66"/>
      <c r="BP141" s="66"/>
      <c r="BQ141" s="21"/>
      <c r="BR141" s="74"/>
      <c r="BS141" s="74"/>
      <c r="BT141" s="22"/>
      <c r="BU141" s="1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</row>
    <row r="142" spans="1:214" ht="17.25" customHeight="1" thickBot="1" x14ac:dyDescent="0.35">
      <c r="A142" s="1">
        <v>487</v>
      </c>
      <c r="B142" s="275">
        <v>37</v>
      </c>
      <c r="C142" s="34">
        <v>7</v>
      </c>
      <c r="D142" s="274" t="s">
        <v>55</v>
      </c>
      <c r="E142" s="49">
        <v>1</v>
      </c>
      <c r="F142" s="49"/>
      <c r="G142" s="49">
        <v>1</v>
      </c>
      <c r="H142" s="49"/>
      <c r="I142" s="49">
        <v>1</v>
      </c>
      <c r="J142" s="49"/>
      <c r="K142" s="49">
        <v>1</v>
      </c>
      <c r="L142" s="49"/>
      <c r="M142" s="49">
        <v>1</v>
      </c>
      <c r="N142" s="49"/>
      <c r="O142" s="49">
        <v>1</v>
      </c>
      <c r="P142" s="49"/>
      <c r="Q142" s="49">
        <v>1</v>
      </c>
      <c r="R142" s="339">
        <v>1700</v>
      </c>
      <c r="S142" s="51">
        <f t="shared" si="260"/>
        <v>0</v>
      </c>
      <c r="T142" s="11">
        <f t="shared" si="231"/>
        <v>2150</v>
      </c>
      <c r="U142" s="52">
        <f t="shared" si="261"/>
        <v>0</v>
      </c>
      <c r="V142" s="52" t="str">
        <f t="shared" si="262"/>
        <v>BONO+B ASIS</v>
      </c>
      <c r="W142" s="53">
        <f t="shared" si="234"/>
        <v>268.9733333333333</v>
      </c>
      <c r="X142" s="53">
        <f t="shared" si="235"/>
        <v>7.18</v>
      </c>
      <c r="Y142" s="53">
        <f t="shared" si="236"/>
        <v>7.18</v>
      </c>
      <c r="Z142" s="54">
        <f t="shared" si="237"/>
        <v>283.33333333333331</v>
      </c>
      <c r="AA142" s="55"/>
      <c r="AB142" s="53">
        <f t="shared" si="263"/>
        <v>268.9733333333333</v>
      </c>
      <c r="AC142" s="53">
        <f t="shared" si="264"/>
        <v>7.18</v>
      </c>
      <c r="AD142" s="53">
        <f t="shared" si="265"/>
        <v>7.18</v>
      </c>
      <c r="AE142" s="54">
        <f t="shared" si="266"/>
        <v>283.33333333333331</v>
      </c>
      <c r="AF142" s="56"/>
      <c r="AG142" s="53">
        <f t="shared" si="267"/>
        <v>268.9733333333333</v>
      </c>
      <c r="AH142" s="53">
        <f t="shared" si="268"/>
        <v>7.18</v>
      </c>
      <c r="AI142" s="53">
        <f t="shared" si="269"/>
        <v>7.18</v>
      </c>
      <c r="AJ142" s="54">
        <f t="shared" si="270"/>
        <v>283.33333333333331</v>
      </c>
      <c r="AK142" s="57"/>
      <c r="AL142" s="53">
        <f t="shared" si="271"/>
        <v>268.9733333333333</v>
      </c>
      <c r="AM142" s="53">
        <f t="shared" si="272"/>
        <v>7.18</v>
      </c>
      <c r="AN142" s="53">
        <f t="shared" si="273"/>
        <v>7.18</v>
      </c>
      <c r="AO142" s="54">
        <f t="shared" si="274"/>
        <v>283.33333333333331</v>
      </c>
      <c r="AP142" s="56"/>
      <c r="AQ142" s="53">
        <f t="shared" si="275"/>
        <v>268.9733333333333</v>
      </c>
      <c r="AR142" s="53">
        <f t="shared" si="276"/>
        <v>7.18</v>
      </c>
      <c r="AS142" s="53">
        <f t="shared" si="277"/>
        <v>7.18</v>
      </c>
      <c r="AT142" s="54">
        <f t="shared" si="278"/>
        <v>283.33333333333331</v>
      </c>
      <c r="AU142" s="56"/>
      <c r="AV142" s="53">
        <f t="shared" si="279"/>
        <v>268.9733333333333</v>
      </c>
      <c r="AW142" s="53">
        <f t="shared" si="280"/>
        <v>7.18</v>
      </c>
      <c r="AX142" s="53">
        <f t="shared" si="281"/>
        <v>7.18</v>
      </c>
      <c r="AY142" s="54">
        <f t="shared" si="282"/>
        <v>283.33333333333331</v>
      </c>
      <c r="AZ142" s="58">
        <f t="shared" si="258"/>
        <v>1699.9999999999998</v>
      </c>
      <c r="BA142" s="59">
        <f t="shared" si="259"/>
        <v>2150</v>
      </c>
      <c r="BB142" s="60"/>
      <c r="BC142" s="60"/>
      <c r="BD142" s="60"/>
      <c r="BE142" s="60"/>
      <c r="BF142" s="60"/>
      <c r="BG142" s="61" t="s">
        <v>133</v>
      </c>
      <c r="BH142" s="62"/>
      <c r="BI142" s="63">
        <v>300</v>
      </c>
      <c r="BJ142" s="63">
        <v>150</v>
      </c>
      <c r="BK142" s="64"/>
      <c r="BL142" s="63"/>
      <c r="BM142" s="65"/>
      <c r="BN142" s="65"/>
      <c r="BO142" s="66"/>
      <c r="BP142" s="67"/>
      <c r="BQ142" s="21"/>
      <c r="BR142" s="48"/>
      <c r="BS142" s="48"/>
      <c r="BT142" s="68"/>
      <c r="BU142" s="1">
        <v>487</v>
      </c>
      <c r="GG142" s="69"/>
      <c r="GH142" s="69"/>
      <c r="GI142" s="69"/>
      <c r="GJ142" s="69"/>
      <c r="GK142" s="69"/>
      <c r="GL142" s="69"/>
      <c r="GM142" s="69"/>
      <c r="GN142" s="69"/>
      <c r="GO142" s="69"/>
      <c r="GP142" s="69"/>
      <c r="GQ142" s="69"/>
      <c r="GR142" s="69"/>
      <c r="GS142" s="69"/>
      <c r="GT142" s="69"/>
      <c r="GU142" s="69"/>
      <c r="GV142" s="69"/>
      <c r="GW142" s="69"/>
      <c r="GX142" s="69"/>
      <c r="GY142" s="69"/>
      <c r="GZ142" s="69"/>
      <c r="HA142" s="69"/>
      <c r="HB142" s="69"/>
      <c r="HC142" s="69"/>
      <c r="HD142" s="69"/>
      <c r="HE142" s="69"/>
      <c r="HF142" s="69"/>
    </row>
    <row r="143" spans="1:214" s="69" customFormat="1" ht="15.75" customHeight="1" thickBot="1" x14ac:dyDescent="0.35">
      <c r="A143" s="1"/>
      <c r="B143" s="375">
        <v>81</v>
      </c>
      <c r="C143" s="34">
        <v>8</v>
      </c>
      <c r="D143" s="376" t="s">
        <v>93</v>
      </c>
      <c r="E143" s="49">
        <v>1</v>
      </c>
      <c r="F143" s="49"/>
      <c r="G143" s="49">
        <v>1</v>
      </c>
      <c r="H143" s="49"/>
      <c r="I143" s="49">
        <v>1</v>
      </c>
      <c r="J143" s="49"/>
      <c r="K143" s="49">
        <v>1</v>
      </c>
      <c r="L143" s="49"/>
      <c r="M143" s="49">
        <v>1</v>
      </c>
      <c r="N143" s="49"/>
      <c r="O143" s="49">
        <v>1</v>
      </c>
      <c r="P143" s="49"/>
      <c r="Q143" s="49">
        <v>1</v>
      </c>
      <c r="R143" s="50">
        <f t="shared" ref="R143" si="307">IF(Q143=1,1550,850)</f>
        <v>1550</v>
      </c>
      <c r="S143" s="51">
        <f t="shared" ref="S143" si="308">+BH143</f>
        <v>0</v>
      </c>
      <c r="T143" s="11">
        <f t="shared" si="231"/>
        <v>1949.9999999999998</v>
      </c>
      <c r="U143" s="52">
        <f t="shared" ref="U143" si="309">+BP143</f>
        <v>0</v>
      </c>
      <c r="V143" s="52" t="str">
        <f t="shared" ref="V143" si="310">+BG143</f>
        <v>BONO+B ASIS</v>
      </c>
      <c r="W143" s="53">
        <f t="shared" si="234"/>
        <v>243.97333333333333</v>
      </c>
      <c r="X143" s="53">
        <f t="shared" si="235"/>
        <v>7.18</v>
      </c>
      <c r="Y143" s="53">
        <f t="shared" si="236"/>
        <v>7.18</v>
      </c>
      <c r="Z143" s="54">
        <f t="shared" si="237"/>
        <v>258.33333333333331</v>
      </c>
      <c r="AA143" s="55"/>
      <c r="AB143" s="53">
        <f t="shared" ref="AB143" si="311">(R143-86.16)/6*G143</f>
        <v>243.97333333333333</v>
      </c>
      <c r="AC143" s="53">
        <f t="shared" ref="AC143" si="312">$Y$2*G143*Q143</f>
        <v>7.18</v>
      </c>
      <c r="AD143" s="53">
        <f t="shared" ref="AD143" si="313">$Y$2*G143*Q143</f>
        <v>7.18</v>
      </c>
      <c r="AE143" s="54">
        <f t="shared" ref="AE143" si="314">AD143+AC143+AB143</f>
        <v>258.33333333333331</v>
      </c>
      <c r="AF143" s="56"/>
      <c r="AG143" s="53">
        <f t="shared" ref="AG143" si="315">(R143-86.16)/6*I143</f>
        <v>243.97333333333333</v>
      </c>
      <c r="AH143" s="53">
        <f t="shared" ref="AH143" si="316">$Y$2*I143*Q143</f>
        <v>7.18</v>
      </c>
      <c r="AI143" s="53">
        <f t="shared" ref="AI143" si="317">$Y$2*I143*Q143</f>
        <v>7.18</v>
      </c>
      <c r="AJ143" s="54">
        <f t="shared" ref="AJ143" si="318">AI143+AH143+AG143</f>
        <v>258.33333333333331</v>
      </c>
      <c r="AK143" s="57"/>
      <c r="AL143" s="53">
        <f t="shared" ref="AL143" si="319">(R143-86.16)/6*K143</f>
        <v>243.97333333333333</v>
      </c>
      <c r="AM143" s="53">
        <f t="shared" ref="AM143" si="320">$Y$2*K143*Q143</f>
        <v>7.18</v>
      </c>
      <c r="AN143" s="53">
        <f t="shared" ref="AN143" si="321">$Y$2*K143*Q143</f>
        <v>7.18</v>
      </c>
      <c r="AO143" s="54">
        <f t="shared" ref="AO143" si="322">AN143+AM143+AL143</f>
        <v>258.33333333333331</v>
      </c>
      <c r="AP143" s="56"/>
      <c r="AQ143" s="53">
        <f t="shared" ref="AQ143" si="323">(R143-86.16)/6*M143</f>
        <v>243.97333333333333</v>
      </c>
      <c r="AR143" s="53">
        <f t="shared" ref="AR143" si="324">$Y$2*M143*Q143</f>
        <v>7.18</v>
      </c>
      <c r="AS143" s="53">
        <f t="shared" ref="AS143" si="325">$Y$2*M143*Q143</f>
        <v>7.18</v>
      </c>
      <c r="AT143" s="54">
        <f t="shared" ref="AT143" si="326">AS143+AR143+AQ143</f>
        <v>258.33333333333331</v>
      </c>
      <c r="AU143" s="56"/>
      <c r="AV143" s="53">
        <f t="shared" ref="AV143" si="327">(R143-86.16)/6*O143</f>
        <v>243.97333333333333</v>
      </c>
      <c r="AW143" s="53">
        <f t="shared" ref="AW143" si="328">$Y$2*O143*Q143</f>
        <v>7.18</v>
      </c>
      <c r="AX143" s="53">
        <f t="shared" ref="AX143" si="329">$Y$2*O143*Q143</f>
        <v>7.18</v>
      </c>
      <c r="AY143" s="54">
        <f t="shared" ref="AY143" si="330">AX143+AW143+AV143</f>
        <v>258.33333333333331</v>
      </c>
      <c r="AZ143" s="58">
        <f t="shared" si="258"/>
        <v>1549.9999999999998</v>
      </c>
      <c r="BA143" s="59">
        <f t="shared" si="259"/>
        <v>1949.9999999999998</v>
      </c>
      <c r="BB143" s="60"/>
      <c r="BC143" s="60"/>
      <c r="BD143" s="60"/>
      <c r="BE143" s="60"/>
      <c r="BF143" s="60"/>
      <c r="BG143" s="61" t="s">
        <v>133</v>
      </c>
      <c r="BH143" s="62"/>
      <c r="BI143" s="63">
        <v>250</v>
      </c>
      <c r="BJ143" s="63">
        <v>150</v>
      </c>
      <c r="BK143" s="64"/>
      <c r="BL143" s="63"/>
      <c r="BM143" s="65"/>
      <c r="BN143" s="65"/>
      <c r="BO143" s="66"/>
      <c r="BP143" s="67"/>
      <c r="BQ143" s="21"/>
      <c r="BR143" s="48"/>
      <c r="BS143" s="48"/>
      <c r="BT143" s="68"/>
      <c r="BU143" s="1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</row>
    <row r="144" spans="1:214" s="69" customFormat="1" ht="15.75" customHeight="1" thickBot="1" x14ac:dyDescent="0.35">
      <c r="A144" s="1"/>
      <c r="B144" s="371">
        <v>0</v>
      </c>
      <c r="C144" s="34">
        <v>9</v>
      </c>
      <c r="D144" s="370" t="s">
        <v>150</v>
      </c>
      <c r="E144" s="367">
        <v>0</v>
      </c>
      <c r="F144" s="373" t="s">
        <v>167</v>
      </c>
      <c r="G144" s="367">
        <v>0</v>
      </c>
      <c r="H144" s="373" t="s">
        <v>167</v>
      </c>
      <c r="I144" s="367">
        <v>0</v>
      </c>
      <c r="J144" s="373" t="s">
        <v>167</v>
      </c>
      <c r="K144" s="367">
        <v>0</v>
      </c>
      <c r="L144" s="373" t="s">
        <v>167</v>
      </c>
      <c r="M144" s="367">
        <v>0</v>
      </c>
      <c r="N144" s="373" t="s">
        <v>167</v>
      </c>
      <c r="O144" s="367">
        <v>0</v>
      </c>
      <c r="P144" s="373" t="s">
        <v>167</v>
      </c>
      <c r="Q144" s="367">
        <v>0</v>
      </c>
      <c r="R144" s="369">
        <v>0</v>
      </c>
      <c r="S144" s="51">
        <f t="shared" si="260"/>
        <v>0</v>
      </c>
      <c r="T144" s="11">
        <f t="shared" si="231"/>
        <v>0</v>
      </c>
      <c r="U144" s="52">
        <f t="shared" si="261"/>
        <v>0</v>
      </c>
      <c r="V144" s="52">
        <f t="shared" si="262"/>
        <v>0</v>
      </c>
      <c r="W144" s="53">
        <f t="shared" si="234"/>
        <v>0</v>
      </c>
      <c r="X144" s="53">
        <f t="shared" si="235"/>
        <v>0</v>
      </c>
      <c r="Y144" s="53">
        <f t="shared" si="236"/>
        <v>0</v>
      </c>
      <c r="Z144" s="54">
        <f t="shared" si="237"/>
        <v>0</v>
      </c>
      <c r="AA144" s="55"/>
      <c r="AB144" s="53">
        <f t="shared" si="263"/>
        <v>0</v>
      </c>
      <c r="AC144" s="53">
        <f t="shared" si="264"/>
        <v>0</v>
      </c>
      <c r="AD144" s="53">
        <f t="shared" si="265"/>
        <v>0</v>
      </c>
      <c r="AE144" s="54">
        <f t="shared" si="266"/>
        <v>0</v>
      </c>
      <c r="AF144" s="56"/>
      <c r="AG144" s="53">
        <f t="shared" si="267"/>
        <v>0</v>
      </c>
      <c r="AH144" s="53">
        <f t="shared" si="268"/>
        <v>0</v>
      </c>
      <c r="AI144" s="53">
        <f t="shared" si="269"/>
        <v>0</v>
      </c>
      <c r="AJ144" s="54">
        <f t="shared" si="270"/>
        <v>0</v>
      </c>
      <c r="AK144" s="57"/>
      <c r="AL144" s="53">
        <f t="shared" si="271"/>
        <v>0</v>
      </c>
      <c r="AM144" s="53">
        <f t="shared" si="272"/>
        <v>0</v>
      </c>
      <c r="AN144" s="53">
        <f t="shared" si="273"/>
        <v>0</v>
      </c>
      <c r="AO144" s="54">
        <f t="shared" si="274"/>
        <v>0</v>
      </c>
      <c r="AP144" s="56"/>
      <c r="AQ144" s="53">
        <f t="shared" si="275"/>
        <v>0</v>
      </c>
      <c r="AR144" s="53">
        <f t="shared" si="276"/>
        <v>0</v>
      </c>
      <c r="AS144" s="53">
        <f t="shared" si="277"/>
        <v>0</v>
      </c>
      <c r="AT144" s="54">
        <f t="shared" si="278"/>
        <v>0</v>
      </c>
      <c r="AU144" s="56"/>
      <c r="AV144" s="53">
        <f t="shared" si="279"/>
        <v>0</v>
      </c>
      <c r="AW144" s="53">
        <f t="shared" si="280"/>
        <v>0</v>
      </c>
      <c r="AX144" s="53">
        <f t="shared" si="281"/>
        <v>0</v>
      </c>
      <c r="AY144" s="54">
        <f t="shared" si="282"/>
        <v>0</v>
      </c>
      <c r="AZ144" s="58">
        <f t="shared" ref="AZ144" si="331">+AY144+AT144+AO144++AJ144+AE144+Z144</f>
        <v>0</v>
      </c>
      <c r="BA144" s="59">
        <f t="shared" si="259"/>
        <v>0</v>
      </c>
      <c r="BB144" s="60"/>
      <c r="BC144" s="60"/>
      <c r="BD144" s="60"/>
      <c r="BE144" s="60"/>
      <c r="BF144" s="60"/>
      <c r="BG144" s="61"/>
      <c r="BH144" s="62"/>
      <c r="BI144" s="63"/>
      <c r="BJ144" s="63"/>
      <c r="BK144" s="64"/>
      <c r="BL144" s="63"/>
      <c r="BM144" s="65"/>
      <c r="BN144" s="65"/>
      <c r="BO144" s="66"/>
      <c r="BP144" s="67"/>
      <c r="BQ144" s="21"/>
      <c r="BR144" s="48"/>
      <c r="BS144" s="48"/>
      <c r="BT144" s="68"/>
      <c r="BU144" s="1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</row>
    <row r="145" spans="1:214" ht="15.75" customHeight="1" thickBot="1" x14ac:dyDescent="0.35">
      <c r="A145" s="1">
        <v>504</v>
      </c>
      <c r="B145" s="78"/>
      <c r="C145" s="79"/>
      <c r="D145" s="21"/>
      <c r="E145" s="80">
        <f>SUM(E137:E144)</f>
        <v>7</v>
      </c>
      <c r="F145" s="80"/>
      <c r="G145" s="80">
        <f>SUM(G137:G144)</f>
        <v>7</v>
      </c>
      <c r="H145" s="80"/>
      <c r="I145" s="80">
        <f>SUM(I137:I144)</f>
        <v>7</v>
      </c>
      <c r="J145" s="80"/>
      <c r="K145" s="80">
        <f>SUM(K137:K144)</f>
        <v>7</v>
      </c>
      <c r="L145" s="80"/>
      <c r="M145" s="80">
        <f>SUM(M137:M144)</f>
        <v>7</v>
      </c>
      <c r="N145" s="80"/>
      <c r="O145" s="80">
        <f>SUM(O137:O144)</f>
        <v>7</v>
      </c>
      <c r="P145" s="80"/>
      <c r="Q145" s="8"/>
      <c r="R145" s="82"/>
      <c r="S145" s="51"/>
      <c r="T145" s="11"/>
      <c r="U145" s="52"/>
      <c r="V145" s="52"/>
      <c r="W145" s="53"/>
      <c r="X145" s="53"/>
      <c r="Y145" s="53"/>
      <c r="Z145" s="54"/>
      <c r="AA145" s="55"/>
      <c r="AB145" s="53"/>
      <c r="AC145" s="53"/>
      <c r="AD145" s="53"/>
      <c r="AE145" s="54"/>
      <c r="AF145" s="56"/>
      <c r="AG145" s="53"/>
      <c r="AH145" s="53"/>
      <c r="AI145" s="53"/>
      <c r="AJ145" s="54"/>
      <c r="AK145" s="57"/>
      <c r="AL145" s="53"/>
      <c r="AM145" s="53"/>
      <c r="AN145" s="53"/>
      <c r="AO145" s="54"/>
      <c r="AP145" s="56"/>
      <c r="AQ145" s="53"/>
      <c r="AR145" s="53"/>
      <c r="AS145" s="53"/>
      <c r="AT145" s="54"/>
      <c r="AU145" s="56"/>
      <c r="AV145" s="53"/>
      <c r="AW145" s="53"/>
      <c r="AX145" s="53"/>
      <c r="AY145" s="54"/>
      <c r="AZ145" s="58"/>
      <c r="BA145" s="59"/>
      <c r="BG145" s="83"/>
      <c r="BO145" s="67"/>
      <c r="BP145" s="67"/>
      <c r="BQ145" s="21"/>
      <c r="BR145" s="84"/>
      <c r="BS145" s="84"/>
      <c r="BU145" s="1">
        <v>504</v>
      </c>
    </row>
    <row r="146" spans="1:214" ht="15.75" customHeight="1" thickBot="1" x14ac:dyDescent="0.45">
      <c r="A146" s="1">
        <v>505</v>
      </c>
      <c r="C146" s="79"/>
      <c r="D146" s="21"/>
      <c r="E146" s="8"/>
      <c r="F146" s="85"/>
      <c r="G146" s="8"/>
      <c r="H146" s="22"/>
      <c r="I146" s="8"/>
      <c r="J146" s="22"/>
      <c r="K146" s="8"/>
      <c r="L146" s="22"/>
      <c r="M146" s="8"/>
      <c r="N146" s="22"/>
      <c r="O146" s="8"/>
      <c r="P146" s="22"/>
      <c r="Q146" s="8"/>
      <c r="R146" s="82"/>
      <c r="S146" s="51"/>
      <c r="T146" s="11"/>
      <c r="U146" s="52"/>
      <c r="V146" s="52"/>
      <c r="W146" s="53"/>
      <c r="X146" s="53"/>
      <c r="Y146" s="53"/>
      <c r="Z146" s="54"/>
      <c r="AA146" s="55"/>
      <c r="AB146" s="53"/>
      <c r="AC146" s="53"/>
      <c r="AD146" s="53"/>
      <c r="AE146" s="54"/>
      <c r="AF146" s="56"/>
      <c r="AG146" s="53"/>
      <c r="AH146" s="53"/>
      <c r="AI146" s="53"/>
      <c r="AJ146" s="54"/>
      <c r="AK146" s="57"/>
      <c r="AL146" s="53"/>
      <c r="AM146" s="53"/>
      <c r="AN146" s="53"/>
      <c r="AO146" s="54"/>
      <c r="AP146" s="56"/>
      <c r="AQ146" s="53"/>
      <c r="AR146" s="53"/>
      <c r="AS146" s="53"/>
      <c r="AT146" s="54"/>
      <c r="AU146" s="56"/>
      <c r="AV146" s="53"/>
      <c r="AW146" s="53"/>
      <c r="AX146" s="53"/>
      <c r="AY146" s="54"/>
      <c r="AZ146" s="58"/>
      <c r="BA146" s="59"/>
      <c r="BG146" s="83"/>
      <c r="BO146" s="86"/>
      <c r="BP146" s="87"/>
      <c r="BQ146" s="21"/>
      <c r="BT146" s="68"/>
      <c r="BU146" s="1">
        <v>505</v>
      </c>
    </row>
    <row r="147" spans="1:214" ht="15.75" customHeight="1" thickBot="1" x14ac:dyDescent="0.35">
      <c r="A147" s="1">
        <v>506</v>
      </c>
      <c r="B147" s="88" t="s">
        <v>26</v>
      </c>
      <c r="C147" s="89" t="s">
        <v>27</v>
      </c>
      <c r="D147" s="90"/>
      <c r="E147" s="8"/>
      <c r="F147" s="91"/>
      <c r="G147" s="42" t="s">
        <v>8</v>
      </c>
      <c r="H147" s="42"/>
      <c r="I147" s="42" t="s">
        <v>9</v>
      </c>
      <c r="J147" s="42"/>
      <c r="K147" s="42" t="s">
        <v>9</v>
      </c>
      <c r="L147" s="42"/>
      <c r="M147" s="42" t="s">
        <v>10</v>
      </c>
      <c r="N147" s="42"/>
      <c r="O147" s="42" t="s">
        <v>11</v>
      </c>
      <c r="P147" s="42"/>
      <c r="Q147" s="42" t="s">
        <v>12</v>
      </c>
      <c r="R147" s="42"/>
      <c r="S147" s="9"/>
      <c r="T147" s="11"/>
      <c r="U147" s="11"/>
      <c r="V147" s="11"/>
      <c r="W147" s="12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59"/>
      <c r="BO147" s="92"/>
      <c r="BP147" s="92"/>
      <c r="BQ147" s="21"/>
      <c r="BR147" s="21"/>
      <c r="BS147" s="21"/>
      <c r="BT147" s="68"/>
      <c r="BU147" s="1">
        <v>506</v>
      </c>
    </row>
    <row r="148" spans="1:214" ht="20.25" customHeight="1" thickBot="1" x14ac:dyDescent="0.35">
      <c r="A148" s="1">
        <v>507</v>
      </c>
      <c r="B148" s="21">
        <f>E145</f>
        <v>7</v>
      </c>
      <c r="C148" s="93">
        <f>G152</f>
        <v>7</v>
      </c>
      <c r="D148" s="94">
        <f t="shared" ref="D148:D153" si="332">+B148-C148</f>
        <v>0</v>
      </c>
      <c r="E148" s="95"/>
      <c r="F148" s="96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8" t="s">
        <v>28</v>
      </c>
      <c r="S148" s="10"/>
      <c r="T148" s="10"/>
      <c r="U148" s="94"/>
      <c r="V148" s="40"/>
      <c r="W148" s="42"/>
      <c r="X148" s="9"/>
      <c r="Y148" s="9"/>
      <c r="Z148" s="9"/>
      <c r="AA148" s="9"/>
      <c r="AB148" s="42"/>
      <c r="AC148" s="9"/>
      <c r="AD148" s="9"/>
      <c r="AE148" s="9"/>
      <c r="AF148" s="9"/>
      <c r="AG148" s="42"/>
      <c r="AH148" s="9"/>
      <c r="AI148" s="9"/>
      <c r="AJ148" s="9"/>
      <c r="AK148" s="9"/>
      <c r="AL148" s="9"/>
      <c r="AM148" s="9"/>
      <c r="AN148" s="9"/>
      <c r="AO148" s="9"/>
      <c r="AP148" s="9"/>
      <c r="AQ148" s="42"/>
      <c r="AR148" s="9"/>
      <c r="AS148" s="9"/>
      <c r="AT148" s="9"/>
      <c r="AU148" s="9"/>
      <c r="AV148" s="42"/>
      <c r="AW148" s="9"/>
      <c r="AX148" s="9"/>
      <c r="AY148" s="9"/>
      <c r="AZ148" s="99"/>
      <c r="BA148" s="59"/>
      <c r="BE148" s="100"/>
      <c r="BO148" s="101"/>
      <c r="BP148" s="92"/>
      <c r="BQ148" s="21"/>
      <c r="BR148" s="21"/>
      <c r="BS148" s="21"/>
      <c r="BT148" s="68"/>
      <c r="BU148" s="1">
        <v>507</v>
      </c>
    </row>
    <row r="149" spans="1:214" ht="20.25" customHeight="1" thickBot="1" x14ac:dyDescent="0.35">
      <c r="A149" s="1">
        <v>508</v>
      </c>
      <c r="B149" s="21">
        <f>G145</f>
        <v>7</v>
      </c>
      <c r="C149" s="93">
        <f>I152</f>
        <v>7</v>
      </c>
      <c r="D149" s="94">
        <f t="shared" si="332"/>
        <v>0</v>
      </c>
      <c r="E149" s="102" t="s">
        <v>30</v>
      </c>
      <c r="F149" s="103"/>
      <c r="G149" s="104">
        <v>3</v>
      </c>
      <c r="H149" s="105"/>
      <c r="I149" s="104">
        <v>3</v>
      </c>
      <c r="J149" s="105"/>
      <c r="K149" s="104">
        <v>3</v>
      </c>
      <c r="L149" s="105"/>
      <c r="M149" s="104">
        <v>3</v>
      </c>
      <c r="N149" s="105"/>
      <c r="O149" s="104">
        <v>3</v>
      </c>
      <c r="P149" s="105"/>
      <c r="Q149" s="104">
        <v>3</v>
      </c>
      <c r="R149" s="111">
        <f t="shared" ref="R149:R151" si="333">AVERAGE(G149,I149,K149,M149,O149,Q149)</f>
        <v>3</v>
      </c>
      <c r="S149" s="10"/>
      <c r="T149" s="11"/>
      <c r="U149" s="94"/>
      <c r="V149" s="40"/>
      <c r="W149" s="42"/>
      <c r="X149" s="9"/>
      <c r="Y149" s="9"/>
      <c r="Z149" s="9"/>
      <c r="AA149" s="9"/>
      <c r="AB149" s="42"/>
      <c r="AC149" s="9"/>
      <c r="AD149" s="9"/>
      <c r="AE149" s="9"/>
      <c r="AF149" s="9"/>
      <c r="AG149" s="42"/>
      <c r="AH149" s="9"/>
      <c r="AI149" s="9"/>
      <c r="AJ149" s="9"/>
      <c r="AK149" s="9"/>
      <c r="AL149" s="9"/>
      <c r="AM149" s="9"/>
      <c r="AN149" s="9"/>
      <c r="AO149" s="9"/>
      <c r="AP149" s="9"/>
      <c r="AQ149" s="42"/>
      <c r="AR149" s="9"/>
      <c r="AS149" s="9"/>
      <c r="AT149" s="9"/>
      <c r="AU149" s="9"/>
      <c r="AV149" s="42"/>
      <c r="AW149" s="9"/>
      <c r="AX149" s="9"/>
      <c r="AY149" s="9"/>
      <c r="AZ149" s="99"/>
      <c r="BA149" s="59"/>
      <c r="BE149" s="100"/>
      <c r="BO149" s="101"/>
      <c r="BP149" s="92"/>
      <c r="BQ149" s="21"/>
      <c r="BR149" s="21"/>
      <c r="BS149" s="21"/>
      <c r="BT149" s="68"/>
      <c r="BU149" s="1">
        <v>508</v>
      </c>
    </row>
    <row r="150" spans="1:214" ht="20.25" customHeight="1" thickBot="1" x14ac:dyDescent="0.35">
      <c r="A150" s="1"/>
      <c r="B150" s="21">
        <f>I145</f>
        <v>7</v>
      </c>
      <c r="C150" s="93">
        <f>K152</f>
        <v>7</v>
      </c>
      <c r="D150" s="94">
        <f t="shared" si="332"/>
        <v>0</v>
      </c>
      <c r="E150" s="102" t="s">
        <v>32</v>
      </c>
      <c r="F150" s="103"/>
      <c r="G150" s="104">
        <v>4</v>
      </c>
      <c r="H150" s="105"/>
      <c r="I150" s="104">
        <v>4</v>
      </c>
      <c r="J150" s="105"/>
      <c r="K150" s="104">
        <v>4</v>
      </c>
      <c r="L150" s="105"/>
      <c r="M150" s="104">
        <v>4</v>
      </c>
      <c r="N150" s="105"/>
      <c r="O150" s="104">
        <v>4</v>
      </c>
      <c r="P150" s="105"/>
      <c r="Q150" s="104">
        <v>4</v>
      </c>
      <c r="R150" s="111">
        <f t="shared" si="333"/>
        <v>4</v>
      </c>
      <c r="S150" s="10"/>
      <c r="T150" s="11"/>
      <c r="U150" s="94"/>
      <c r="V150" s="40"/>
      <c r="W150" s="42"/>
      <c r="X150" s="9"/>
      <c r="Y150" s="9"/>
      <c r="Z150" s="9"/>
      <c r="AA150" s="9"/>
      <c r="AB150" s="42"/>
      <c r="AC150" s="9"/>
      <c r="AD150" s="9"/>
      <c r="AE150" s="9"/>
      <c r="AF150" s="9"/>
      <c r="AG150" s="42"/>
      <c r="AH150" s="9"/>
      <c r="AI150" s="9"/>
      <c r="AJ150" s="9"/>
      <c r="AK150" s="9"/>
      <c r="AL150" s="9"/>
      <c r="AM150" s="9"/>
      <c r="AN150" s="9"/>
      <c r="AO150" s="9"/>
      <c r="AP150" s="9"/>
      <c r="AQ150" s="42"/>
      <c r="AR150" s="9"/>
      <c r="AS150" s="9"/>
      <c r="AT150" s="9"/>
      <c r="AU150" s="9"/>
      <c r="AV150" s="42"/>
      <c r="AW150" s="9"/>
      <c r="AX150" s="9"/>
      <c r="AY150" s="9"/>
      <c r="AZ150" s="99"/>
      <c r="BA150" s="59"/>
      <c r="BE150" s="100"/>
      <c r="BO150" s="101"/>
      <c r="BP150" s="92"/>
      <c r="BQ150" s="21"/>
      <c r="BR150" s="21"/>
      <c r="BS150" s="21"/>
      <c r="BT150" s="68"/>
      <c r="BU150" s="1"/>
    </row>
    <row r="151" spans="1:214" ht="20.25" customHeight="1" thickBot="1" x14ac:dyDescent="0.35">
      <c r="A151" s="1"/>
      <c r="B151" s="21">
        <f>K145</f>
        <v>7</v>
      </c>
      <c r="C151" s="93">
        <f>M152</f>
        <v>7</v>
      </c>
      <c r="D151" s="94">
        <f t="shared" si="332"/>
        <v>0</v>
      </c>
      <c r="E151" s="135" t="s">
        <v>29</v>
      </c>
      <c r="F151" s="136"/>
      <c r="G151" s="137">
        <v>0</v>
      </c>
      <c r="H151" s="138"/>
      <c r="I151" s="137">
        <v>0</v>
      </c>
      <c r="J151" s="138"/>
      <c r="K151" s="137">
        <v>0</v>
      </c>
      <c r="L151" s="138"/>
      <c r="M151" s="137">
        <v>0</v>
      </c>
      <c r="N151" s="138"/>
      <c r="O151" s="137">
        <v>0</v>
      </c>
      <c r="P151" s="138"/>
      <c r="Q151" s="137">
        <v>0</v>
      </c>
      <c r="R151" s="111">
        <f t="shared" si="333"/>
        <v>0</v>
      </c>
      <c r="S151" s="10"/>
      <c r="T151" s="11"/>
      <c r="U151" s="94"/>
      <c r="V151" s="40"/>
      <c r="W151" s="42"/>
      <c r="X151" s="9"/>
      <c r="Y151" s="9"/>
      <c r="Z151" s="9"/>
      <c r="AA151" s="9"/>
      <c r="AB151" s="42"/>
      <c r="AC151" s="9"/>
      <c r="AD151" s="9"/>
      <c r="AE151" s="9"/>
      <c r="AF151" s="9"/>
      <c r="AG151" s="42"/>
      <c r="AH151" s="9"/>
      <c r="AI151" s="9"/>
      <c r="AJ151" s="9"/>
      <c r="AK151" s="9"/>
      <c r="AL151" s="9"/>
      <c r="AM151" s="9"/>
      <c r="AN151" s="9"/>
      <c r="AO151" s="9"/>
      <c r="AP151" s="9"/>
      <c r="AQ151" s="42"/>
      <c r="AR151" s="9"/>
      <c r="AS151" s="9"/>
      <c r="AT151" s="9"/>
      <c r="AU151" s="9"/>
      <c r="AV151" s="42"/>
      <c r="AW151" s="9"/>
      <c r="AX151" s="9"/>
      <c r="AY151" s="9"/>
      <c r="AZ151" s="99"/>
      <c r="BA151" s="59"/>
      <c r="BE151" s="100"/>
      <c r="BO151" s="101"/>
      <c r="BP151" s="92"/>
      <c r="BQ151" s="21"/>
      <c r="BR151" s="21"/>
      <c r="BS151" s="21"/>
      <c r="BT151" s="68"/>
      <c r="BU151" s="1"/>
    </row>
    <row r="152" spans="1:214" ht="20.25" customHeight="1" thickBot="1" x14ac:dyDescent="0.35">
      <c r="A152" s="1">
        <v>509</v>
      </c>
      <c r="B152" s="21">
        <f>M145</f>
        <v>7</v>
      </c>
      <c r="C152" s="93">
        <f>O152</f>
        <v>7</v>
      </c>
      <c r="D152" s="94">
        <f t="shared" si="332"/>
        <v>0</v>
      </c>
      <c r="E152" s="108"/>
      <c r="F152" s="109"/>
      <c r="G152" s="110">
        <f>SUM(G149:G151)</f>
        <v>7</v>
      </c>
      <c r="H152" s="110"/>
      <c r="I152" s="110">
        <f>SUM(I149:I151)</f>
        <v>7</v>
      </c>
      <c r="J152" s="110"/>
      <c r="K152" s="110">
        <f>SUM(K149:K151)</f>
        <v>7</v>
      </c>
      <c r="L152" s="110"/>
      <c r="M152" s="110">
        <f>SUM(M149:M151)</f>
        <v>7</v>
      </c>
      <c r="N152" s="110"/>
      <c r="O152" s="110">
        <f>SUM(O149:O151)</f>
        <v>7</v>
      </c>
      <c r="P152" s="110"/>
      <c r="Q152" s="110">
        <f>SUM(Q149:Q151)</f>
        <v>7</v>
      </c>
      <c r="R152" s="111">
        <f>AVERAGE(G152,I152,K152,M152,O152,Q152)</f>
        <v>7</v>
      </c>
      <c r="S152" s="10"/>
      <c r="T152" s="11"/>
      <c r="U152" s="94"/>
      <c r="V152" s="40"/>
      <c r="W152" s="42"/>
      <c r="X152" s="9"/>
      <c r="Y152" s="9"/>
      <c r="Z152" s="9"/>
      <c r="AA152" s="9"/>
      <c r="AB152" s="42"/>
      <c r="AC152" s="9"/>
      <c r="AD152" s="9"/>
      <c r="AE152" s="9"/>
      <c r="AF152" s="9"/>
      <c r="AG152" s="42"/>
      <c r="AH152" s="9"/>
      <c r="AI152" s="9"/>
      <c r="AJ152" s="9"/>
      <c r="AK152" s="9"/>
      <c r="AL152" s="9"/>
      <c r="AM152" s="9"/>
      <c r="AN152" s="9"/>
      <c r="AO152" s="9"/>
      <c r="AP152" s="9"/>
      <c r="AQ152" s="42"/>
      <c r="AR152" s="9"/>
      <c r="AS152" s="9"/>
      <c r="AT152" s="9"/>
      <c r="AU152" s="9"/>
      <c r="AV152" s="42"/>
      <c r="AW152" s="9"/>
      <c r="AX152" s="9"/>
      <c r="AY152" s="9"/>
      <c r="AZ152" s="99"/>
      <c r="BA152" s="59"/>
      <c r="BE152" s="100"/>
      <c r="BO152" s="101"/>
      <c r="BP152" s="92"/>
      <c r="BQ152" s="21"/>
      <c r="BR152" s="21"/>
      <c r="BS152" s="21"/>
      <c r="BT152" s="68"/>
      <c r="BU152" s="1">
        <v>509</v>
      </c>
    </row>
    <row r="153" spans="1:214" ht="20.25" customHeight="1" x14ac:dyDescent="0.3">
      <c r="A153" s="1">
        <v>510</v>
      </c>
      <c r="B153" s="21">
        <f>O145</f>
        <v>7</v>
      </c>
      <c r="C153" s="93">
        <f>Q152</f>
        <v>7</v>
      </c>
      <c r="D153" s="94">
        <f t="shared" si="332"/>
        <v>0</v>
      </c>
      <c r="E153" s="112"/>
      <c r="F153" s="113"/>
      <c r="G153" s="112"/>
      <c r="H153" s="114"/>
      <c r="I153" s="112"/>
      <c r="J153" s="114"/>
      <c r="K153" s="112"/>
      <c r="L153" s="114"/>
      <c r="M153" s="112"/>
      <c r="N153" s="114"/>
      <c r="O153" s="112"/>
      <c r="P153" s="114"/>
      <c r="Q153" s="112"/>
      <c r="R153" s="115"/>
      <c r="S153" s="10"/>
      <c r="T153" s="128">
        <f>SUM(R149:R151)</f>
        <v>7</v>
      </c>
      <c r="U153" s="94"/>
      <c r="V153" s="40"/>
      <c r="W153" s="42"/>
      <c r="X153" s="9"/>
      <c r="Y153" s="9"/>
      <c r="Z153" s="9"/>
      <c r="AA153" s="9"/>
      <c r="AB153" s="42"/>
      <c r="AC153" s="9"/>
      <c r="AD153" s="9"/>
      <c r="AE153" s="9"/>
      <c r="AF153" s="9"/>
      <c r="AG153" s="42"/>
      <c r="AH153" s="9"/>
      <c r="AI153" s="9"/>
      <c r="AJ153" s="9"/>
      <c r="AK153" s="9"/>
      <c r="AL153" s="9"/>
      <c r="AM153" s="9"/>
      <c r="AN153" s="9"/>
      <c r="AO153" s="9"/>
      <c r="AP153" s="9"/>
      <c r="AQ153" s="42"/>
      <c r="AR153" s="9"/>
      <c r="AS153" s="9"/>
      <c r="AT153" s="9"/>
      <c r="AU153" s="9"/>
      <c r="AV153" s="42"/>
      <c r="AW153" s="9"/>
      <c r="AX153" s="9"/>
      <c r="AY153" s="9"/>
      <c r="AZ153" s="99"/>
      <c r="BA153" s="59"/>
      <c r="BE153" s="100"/>
      <c r="BO153" s="101"/>
      <c r="BP153" s="92"/>
      <c r="BQ153" s="21"/>
      <c r="BR153" s="21"/>
      <c r="BS153" s="21"/>
      <c r="BT153" s="68"/>
      <c r="BU153" s="1">
        <v>510</v>
      </c>
    </row>
    <row r="154" spans="1:214" ht="20.25" customHeight="1" x14ac:dyDescent="0.4">
      <c r="A154" s="1">
        <v>513</v>
      </c>
      <c r="B154" s="22"/>
      <c r="C154" s="22"/>
      <c r="D154" s="22"/>
      <c r="E154" s="8"/>
      <c r="F154" s="85"/>
      <c r="G154" s="8"/>
      <c r="H154" s="22"/>
      <c r="I154" s="8"/>
      <c r="J154" s="22"/>
      <c r="K154" s="8"/>
      <c r="L154" s="22"/>
      <c r="M154" s="8"/>
      <c r="N154" s="22"/>
      <c r="O154" s="8"/>
      <c r="P154" s="22"/>
      <c r="Q154" s="8"/>
      <c r="R154" s="82"/>
      <c r="S154" s="51"/>
      <c r="T154" s="22"/>
      <c r="U154" s="133"/>
      <c r="V154" s="52"/>
      <c r="W154" s="9"/>
      <c r="X154" s="9"/>
      <c r="Y154" s="9"/>
      <c r="Z154" s="9"/>
      <c r="AA154" s="42"/>
      <c r="AB154" s="9"/>
      <c r="AC154" s="9"/>
      <c r="AD154" s="9"/>
      <c r="AE154" s="9"/>
      <c r="AF154" s="42"/>
      <c r="AG154" s="9"/>
      <c r="AH154" s="9"/>
      <c r="AI154" s="9"/>
      <c r="AJ154" s="9"/>
      <c r="AK154" s="9"/>
      <c r="AL154" s="9"/>
      <c r="AM154" s="9"/>
      <c r="AN154" s="9"/>
      <c r="AO154" s="9"/>
      <c r="AP154" s="42"/>
      <c r="AQ154" s="9"/>
      <c r="AR154" s="9"/>
      <c r="AS154" s="9"/>
      <c r="AT154" s="9"/>
      <c r="AU154" s="42"/>
      <c r="AV154" s="9"/>
      <c r="AW154" s="9"/>
      <c r="AX154" s="9"/>
      <c r="AY154" s="9"/>
      <c r="AZ154" s="58"/>
      <c r="BA154" s="59"/>
      <c r="BG154" s="83"/>
      <c r="BO154" s="86"/>
      <c r="BP154" s="87"/>
      <c r="BQ154" s="21"/>
      <c r="BT154" s="68"/>
      <c r="BU154" s="1">
        <v>513</v>
      </c>
    </row>
    <row r="155" spans="1:214" ht="20.25" customHeight="1" thickBot="1" x14ac:dyDescent="0.45">
      <c r="A155" s="1">
        <v>513</v>
      </c>
      <c r="B155" s="22"/>
      <c r="C155" s="22"/>
      <c r="D155" s="22"/>
      <c r="E155" s="8"/>
      <c r="F155" s="85"/>
      <c r="G155" s="8"/>
      <c r="H155" s="22"/>
      <c r="I155" s="8"/>
      <c r="J155" s="22"/>
      <c r="K155" s="8"/>
      <c r="L155" s="22"/>
      <c r="M155" s="8"/>
      <c r="N155" s="22"/>
      <c r="O155" s="8"/>
      <c r="P155" s="22"/>
      <c r="Q155" s="8"/>
      <c r="R155" s="82"/>
      <c r="S155" s="51"/>
      <c r="T155" s="22"/>
      <c r="U155" s="133"/>
      <c r="V155" s="52"/>
      <c r="W155" s="9"/>
      <c r="X155" s="9"/>
      <c r="Y155" s="9"/>
      <c r="Z155" s="9"/>
      <c r="AA155" s="42"/>
      <c r="AB155" s="9"/>
      <c r="AC155" s="9"/>
      <c r="AD155" s="9"/>
      <c r="AE155" s="9"/>
      <c r="AF155" s="42"/>
      <c r="AG155" s="9"/>
      <c r="AH155" s="9"/>
      <c r="AI155" s="9"/>
      <c r="AJ155" s="9"/>
      <c r="AK155" s="9"/>
      <c r="AL155" s="9"/>
      <c r="AM155" s="9"/>
      <c r="AN155" s="9"/>
      <c r="AO155" s="9"/>
      <c r="AP155" s="42"/>
      <c r="AQ155" s="9"/>
      <c r="AR155" s="9"/>
      <c r="AS155" s="9"/>
      <c r="AT155" s="9"/>
      <c r="AU155" s="42"/>
      <c r="AV155" s="9"/>
      <c r="AW155" s="9"/>
      <c r="AX155" s="9"/>
      <c r="AY155" s="9"/>
      <c r="AZ155" s="58"/>
      <c r="BA155" s="59"/>
      <c r="BG155" s="83"/>
      <c r="BO155" s="86"/>
      <c r="BP155" s="87"/>
      <c r="BQ155" s="21"/>
      <c r="BT155" s="68"/>
      <c r="BU155" s="1">
        <v>513</v>
      </c>
    </row>
    <row r="156" spans="1:214" ht="28.5" customHeight="1" thickBot="1" x14ac:dyDescent="0.45">
      <c r="A156" s="1">
        <v>499</v>
      </c>
      <c r="B156" s="845" t="s">
        <v>56</v>
      </c>
      <c r="C156" s="846"/>
      <c r="D156" s="846" t="s">
        <v>35</v>
      </c>
      <c r="E156" s="846"/>
      <c r="F156" s="846"/>
      <c r="G156" s="846"/>
      <c r="H156" s="846"/>
      <c r="I156" s="846"/>
      <c r="J156" s="846"/>
      <c r="K156" s="846"/>
      <c r="L156" s="846"/>
      <c r="M156" s="846"/>
      <c r="N156" s="846"/>
      <c r="O156" s="846"/>
      <c r="P156" s="846"/>
      <c r="Q156" s="846"/>
      <c r="R156" s="23" t="str">
        <f>$V2</f>
        <v>DEL 08 AL 14 ENERO 24</v>
      </c>
      <c r="S156" s="51"/>
      <c r="T156" s="11"/>
      <c r="U156" s="11"/>
      <c r="V156" s="52"/>
      <c r="W156" s="53"/>
      <c r="X156" s="53"/>
      <c r="Y156" s="53"/>
      <c r="Z156" s="54"/>
      <c r="AA156" s="55"/>
      <c r="AB156" s="53"/>
      <c r="AC156" s="53"/>
      <c r="AD156" s="53"/>
      <c r="AE156" s="54"/>
      <c r="AF156" s="56"/>
      <c r="AG156" s="53"/>
      <c r="AH156" s="53"/>
      <c r="AI156" s="53"/>
      <c r="AJ156" s="54"/>
      <c r="AK156" s="57"/>
      <c r="AL156" s="53"/>
      <c r="AM156" s="53"/>
      <c r="AN156" s="53"/>
      <c r="AO156" s="54"/>
      <c r="AP156" s="56"/>
      <c r="AQ156" s="53"/>
      <c r="AR156" s="53"/>
      <c r="AS156" s="53"/>
      <c r="AT156" s="54"/>
      <c r="AU156" s="56"/>
      <c r="AV156" s="53"/>
      <c r="AW156" s="53"/>
      <c r="AX156" s="53"/>
      <c r="AY156" s="54"/>
      <c r="AZ156" s="58"/>
      <c r="BA156" s="59"/>
      <c r="BG156" s="83"/>
      <c r="BO156" s="116"/>
      <c r="BP156" s="67"/>
      <c r="BQ156" s="21"/>
      <c r="BR156" s="74"/>
      <c r="BS156" s="74"/>
      <c r="BT156" s="68"/>
      <c r="BU156" s="1">
        <v>499</v>
      </c>
    </row>
    <row r="157" spans="1:214" ht="14.25" customHeight="1" thickBot="1" x14ac:dyDescent="0.35">
      <c r="A157" s="1">
        <v>500</v>
      </c>
      <c r="B157" s="117"/>
      <c r="C157" s="118"/>
      <c r="D157" s="119"/>
      <c r="E157" s="120" t="s">
        <v>8</v>
      </c>
      <c r="F157" s="121"/>
      <c r="G157" s="120" t="s">
        <v>9</v>
      </c>
      <c r="H157" s="122"/>
      <c r="I157" s="120" t="s">
        <v>9</v>
      </c>
      <c r="J157" s="122"/>
      <c r="K157" s="120" t="s">
        <v>10</v>
      </c>
      <c r="L157" s="122"/>
      <c r="M157" s="120" t="s">
        <v>11</v>
      </c>
      <c r="N157" s="122"/>
      <c r="O157" s="120" t="s">
        <v>12</v>
      </c>
      <c r="P157" s="120"/>
      <c r="Q157" s="122"/>
      <c r="R157" s="123"/>
      <c r="S157" s="51"/>
      <c r="T157" s="11"/>
      <c r="U157" s="11"/>
      <c r="V157" s="52"/>
      <c r="W157" s="53"/>
      <c r="X157" s="53"/>
      <c r="Y157" s="53"/>
      <c r="Z157" s="54"/>
      <c r="AA157" s="55"/>
      <c r="AB157" s="53"/>
      <c r="AC157" s="53"/>
      <c r="AD157" s="53"/>
      <c r="AE157" s="54"/>
      <c r="AF157" s="56"/>
      <c r="AG157" s="53"/>
      <c r="AH157" s="53"/>
      <c r="AI157" s="53"/>
      <c r="AJ157" s="54"/>
      <c r="AK157" s="57"/>
      <c r="AL157" s="53"/>
      <c r="AM157" s="53"/>
      <c r="AN157" s="53"/>
      <c r="AO157" s="54"/>
      <c r="AP157" s="56"/>
      <c r="AQ157" s="53"/>
      <c r="AR157" s="53"/>
      <c r="AS157" s="53"/>
      <c r="AT157" s="54"/>
      <c r="AU157" s="56"/>
      <c r="AV157" s="53"/>
      <c r="AW157" s="53"/>
      <c r="AX157" s="53"/>
      <c r="AY157" s="54"/>
      <c r="AZ157" s="58"/>
      <c r="BA157" s="59"/>
      <c r="BB157" s="124"/>
      <c r="BC157" s="124"/>
      <c r="BD157" s="124"/>
      <c r="BE157" s="124"/>
      <c r="BF157" s="124"/>
      <c r="BG157" s="124"/>
      <c r="BH157" s="124"/>
      <c r="BJ157" s="19"/>
      <c r="BK157" s="19"/>
      <c r="BL157" s="19"/>
      <c r="BM157" s="19"/>
      <c r="BN157" s="124"/>
      <c r="BO157" s="125"/>
      <c r="BP157" s="126"/>
      <c r="BQ157" s="21"/>
      <c r="BR157" s="68"/>
      <c r="BS157" s="68"/>
      <c r="BT157" s="68"/>
      <c r="BU157" s="1">
        <v>500</v>
      </c>
    </row>
    <row r="158" spans="1:214" s="69" customFormat="1" ht="15.75" customHeight="1" thickBot="1" x14ac:dyDescent="0.35">
      <c r="A158" s="1"/>
      <c r="B158" s="375">
        <v>148</v>
      </c>
      <c r="C158" s="34">
        <v>4</v>
      </c>
      <c r="D158" s="343" t="s">
        <v>126</v>
      </c>
      <c r="E158" s="364">
        <v>0</v>
      </c>
      <c r="F158" s="390" t="s">
        <v>132</v>
      </c>
      <c r="G158" s="364">
        <v>0</v>
      </c>
      <c r="H158" s="390" t="s">
        <v>132</v>
      </c>
      <c r="I158" s="233">
        <v>1</v>
      </c>
      <c r="J158" s="233"/>
      <c r="K158" s="364">
        <v>0</v>
      </c>
      <c r="L158" s="390" t="s">
        <v>132</v>
      </c>
      <c r="M158" s="364">
        <v>0</v>
      </c>
      <c r="N158" s="390" t="s">
        <v>132</v>
      </c>
      <c r="O158" s="364">
        <v>0</v>
      </c>
      <c r="P158" s="390" t="s">
        <v>132</v>
      </c>
      <c r="Q158" s="233">
        <v>1</v>
      </c>
      <c r="R158" s="50">
        <f>IF(Q158=1,1550,850)</f>
        <v>1550</v>
      </c>
      <c r="S158" s="51">
        <f t="shared" ref="S158" si="334">+BH158</f>
        <v>0</v>
      </c>
      <c r="T158" s="11">
        <f>+BA158</f>
        <v>207.14333333333332</v>
      </c>
      <c r="U158" s="52">
        <f t="shared" ref="U158" si="335">+BP158</f>
        <v>0</v>
      </c>
      <c r="V158" s="52">
        <f t="shared" ref="V158" si="336">+BG158</f>
        <v>0</v>
      </c>
      <c r="W158" s="53">
        <f>(R158-86.16)/6*E158</f>
        <v>0</v>
      </c>
      <c r="X158" s="53">
        <f t="shared" ref="X158:X163" si="337">$Y$2*E158*Q158</f>
        <v>0</v>
      </c>
      <c r="Y158" s="53">
        <f t="shared" ref="Y158:Y163" si="338">$Y$2*E158*Q158</f>
        <v>0</v>
      </c>
      <c r="Z158" s="54">
        <f t="shared" ref="Z158:Z163" si="339">Y158+X158+W158</f>
        <v>0</v>
      </c>
      <c r="AA158" s="55"/>
      <c r="AB158" s="53">
        <f>(R158-86.16)/6*G158</f>
        <v>0</v>
      </c>
      <c r="AC158" s="53">
        <f t="shared" ref="AC158:AC163" si="340">$Y$2*G158*Q158</f>
        <v>0</v>
      </c>
      <c r="AD158" s="53">
        <f t="shared" ref="AD158:AD163" si="341">$Y$2*G158*Q158</f>
        <v>0</v>
      </c>
      <c r="AE158" s="54">
        <f t="shared" ref="AE158:AE163" si="342">AD158+AC158+AB158</f>
        <v>0</v>
      </c>
      <c r="AF158" s="56"/>
      <c r="AG158" s="53">
        <f>(R158-86.16)/6*I158</f>
        <v>243.97333333333333</v>
      </c>
      <c r="AH158" s="53">
        <f t="shared" ref="AH158:AH163" si="343">$Y$2*I158*Q158</f>
        <v>7.18</v>
      </c>
      <c r="AI158" s="53">
        <f t="shared" ref="AI158:AI163" si="344">$Y$2*I158*Q158</f>
        <v>7.18</v>
      </c>
      <c r="AJ158" s="54">
        <f t="shared" ref="AJ158:AJ163" si="345">AI158+AH158+AG158</f>
        <v>258.33333333333331</v>
      </c>
      <c r="AK158" s="57"/>
      <c r="AL158" s="53">
        <f>(R158-86.16)/6*K158</f>
        <v>0</v>
      </c>
      <c r="AM158" s="53">
        <f t="shared" ref="AM158:AM163" si="346">$Y$2*K158*Q158</f>
        <v>0</v>
      </c>
      <c r="AN158" s="53">
        <f t="shared" ref="AN158:AN163" si="347">$Y$2*K158*Q158</f>
        <v>0</v>
      </c>
      <c r="AO158" s="54">
        <f t="shared" ref="AO158:AO163" si="348">AN158+AM158+AL158</f>
        <v>0</v>
      </c>
      <c r="AP158" s="56"/>
      <c r="AQ158" s="53">
        <f>(R158-86.16)/6*M158</f>
        <v>0</v>
      </c>
      <c r="AR158" s="53">
        <f t="shared" ref="AR158:AR163" si="349">$Y$2*M158*Q158</f>
        <v>0</v>
      </c>
      <c r="AS158" s="53">
        <f t="shared" ref="AS158:AS163" si="350">$Y$2*M158*Q158</f>
        <v>0</v>
      </c>
      <c r="AT158" s="54">
        <f t="shared" ref="AT158:AT163" si="351">AS158+AR158+AQ158</f>
        <v>0</v>
      </c>
      <c r="AU158" s="56"/>
      <c r="AV158" s="53">
        <f>(R158-86.16)/6*O158</f>
        <v>0</v>
      </c>
      <c r="AW158" s="53">
        <f t="shared" ref="AW158:AW163" si="352">$Y$2*O158*Q158</f>
        <v>0</v>
      </c>
      <c r="AX158" s="53">
        <f t="shared" ref="AX158:AX163" si="353">$Y$2*O158*Q158</f>
        <v>0</v>
      </c>
      <c r="AY158" s="54">
        <f t="shared" ref="AY158:AY163" si="354">AX158+AW158+AV158</f>
        <v>0</v>
      </c>
      <c r="AZ158" s="58">
        <f t="shared" ref="AZ158:AZ163" si="355">+AY158+AT158+AO158++AJ158+AE158+Z158</f>
        <v>258.33333333333331</v>
      </c>
      <c r="BA158" s="59">
        <f t="shared" ref="BA158:BA163" si="356">((AZ158-BB158-BC158-BD158-BE158-BF158)+BI158+BJ158+BK158+BL158+BM158+BN158+BO158)</f>
        <v>207.14333333333332</v>
      </c>
      <c r="BB158" s="60">
        <v>51.19</v>
      </c>
      <c r="BC158" s="60"/>
      <c r="BD158" s="60"/>
      <c r="BE158" s="60"/>
      <c r="BF158" s="60"/>
      <c r="BG158" s="61"/>
      <c r="BH158" s="62"/>
      <c r="BI158" s="63"/>
      <c r="BJ158" s="63"/>
      <c r="BK158" s="64"/>
      <c r="BL158" s="63"/>
      <c r="BM158" s="65"/>
      <c r="BN158" s="65"/>
      <c r="BO158" s="66"/>
      <c r="BP158" s="67"/>
      <c r="BQ158" s="21"/>
      <c r="BR158" s="48"/>
      <c r="BS158" s="48"/>
      <c r="BT158" s="68"/>
      <c r="BU158" s="1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</row>
    <row r="159" spans="1:214" ht="15.75" customHeight="1" thickBot="1" x14ac:dyDescent="0.35">
      <c r="A159" s="1"/>
      <c r="B159" s="275">
        <v>58</v>
      </c>
      <c r="C159" s="34">
        <f>+C157+1</f>
        <v>1</v>
      </c>
      <c r="D159" s="274" t="s">
        <v>81</v>
      </c>
      <c r="E159" s="233">
        <v>1</v>
      </c>
      <c r="F159" s="233"/>
      <c r="G159" s="233">
        <v>1</v>
      </c>
      <c r="H159" s="233"/>
      <c r="I159" s="233">
        <v>1</v>
      </c>
      <c r="J159" s="233"/>
      <c r="K159" s="233">
        <v>1</v>
      </c>
      <c r="L159" s="233"/>
      <c r="M159" s="233">
        <v>1</v>
      </c>
      <c r="N159" s="233"/>
      <c r="O159" s="233">
        <v>1</v>
      </c>
      <c r="P159" s="233"/>
      <c r="Q159" s="233">
        <v>1</v>
      </c>
      <c r="R159" s="339">
        <v>6000</v>
      </c>
      <c r="S159" s="51">
        <f>+BH159</f>
        <v>0</v>
      </c>
      <c r="T159" s="11">
        <f>+BA159</f>
        <v>6000</v>
      </c>
      <c r="U159" s="52">
        <f>+BP159</f>
        <v>0</v>
      </c>
      <c r="V159" s="52">
        <f>+BG159</f>
        <v>0</v>
      </c>
      <c r="W159" s="53">
        <f t="shared" ref="W159:W163" si="357">(R159-86.16)/6*E159</f>
        <v>985.64</v>
      </c>
      <c r="X159" s="53">
        <f t="shared" si="337"/>
        <v>7.18</v>
      </c>
      <c r="Y159" s="53">
        <f t="shared" si="338"/>
        <v>7.18</v>
      </c>
      <c r="Z159" s="54">
        <f t="shared" si="339"/>
        <v>1000</v>
      </c>
      <c r="AA159" s="55"/>
      <c r="AB159" s="53">
        <f t="shared" ref="AB159:AB163" si="358">(R159-86.16)/6*G159</f>
        <v>985.64</v>
      </c>
      <c r="AC159" s="53">
        <f t="shared" si="340"/>
        <v>7.18</v>
      </c>
      <c r="AD159" s="53">
        <f t="shared" si="341"/>
        <v>7.18</v>
      </c>
      <c r="AE159" s="54">
        <f t="shared" si="342"/>
        <v>1000</v>
      </c>
      <c r="AF159" s="56"/>
      <c r="AG159" s="53">
        <f t="shared" ref="AG159:AG163" si="359">(R159-86.16)/6*I159</f>
        <v>985.64</v>
      </c>
      <c r="AH159" s="53">
        <f t="shared" si="343"/>
        <v>7.18</v>
      </c>
      <c r="AI159" s="53">
        <f t="shared" si="344"/>
        <v>7.18</v>
      </c>
      <c r="AJ159" s="54">
        <f t="shared" si="345"/>
        <v>1000</v>
      </c>
      <c r="AK159" s="57"/>
      <c r="AL159" s="53">
        <f t="shared" ref="AL159:AL163" si="360">(R159-86.16)/6*K159</f>
        <v>985.64</v>
      </c>
      <c r="AM159" s="53">
        <f t="shared" si="346"/>
        <v>7.18</v>
      </c>
      <c r="AN159" s="53">
        <f t="shared" si="347"/>
        <v>7.18</v>
      </c>
      <c r="AO159" s="54">
        <f t="shared" si="348"/>
        <v>1000</v>
      </c>
      <c r="AP159" s="56"/>
      <c r="AQ159" s="53">
        <f t="shared" ref="AQ159:AQ163" si="361">(R159-86.16)/6*M159</f>
        <v>985.64</v>
      </c>
      <c r="AR159" s="53">
        <f t="shared" si="349"/>
        <v>7.18</v>
      </c>
      <c r="AS159" s="53">
        <f t="shared" si="350"/>
        <v>7.18</v>
      </c>
      <c r="AT159" s="54">
        <f t="shared" si="351"/>
        <v>1000</v>
      </c>
      <c r="AU159" s="56"/>
      <c r="AV159" s="53">
        <f t="shared" ref="AV159:AV163" si="362">(R159-86.16)/6*O159</f>
        <v>985.64</v>
      </c>
      <c r="AW159" s="53">
        <f t="shared" si="352"/>
        <v>7.18</v>
      </c>
      <c r="AX159" s="53">
        <f t="shared" si="353"/>
        <v>7.18</v>
      </c>
      <c r="AY159" s="54">
        <f t="shared" si="354"/>
        <v>1000</v>
      </c>
      <c r="AZ159" s="58">
        <f t="shared" si="355"/>
        <v>6000</v>
      </c>
      <c r="BA159" s="59">
        <f t="shared" si="356"/>
        <v>6000</v>
      </c>
      <c r="BB159" s="60"/>
      <c r="BC159" s="60"/>
      <c r="BD159" s="60"/>
      <c r="BE159" s="60"/>
      <c r="BF159" s="60"/>
      <c r="BG159" s="61"/>
      <c r="BH159" s="62"/>
      <c r="BI159" s="63"/>
      <c r="BJ159" s="63"/>
      <c r="BK159" s="64"/>
      <c r="BL159" s="63"/>
      <c r="BM159" s="65"/>
      <c r="BN159" s="65"/>
      <c r="BO159" s="66"/>
      <c r="BP159" s="67"/>
      <c r="BQ159" s="21"/>
      <c r="BR159" s="48"/>
      <c r="BS159" s="48"/>
      <c r="BT159" s="68"/>
      <c r="BU159" s="1"/>
      <c r="GG159" s="69"/>
      <c r="GH159" s="69"/>
      <c r="GI159" s="69"/>
      <c r="GJ159" s="69"/>
      <c r="GK159" s="69"/>
      <c r="GL159" s="69"/>
      <c r="GM159" s="69"/>
      <c r="GN159" s="69"/>
      <c r="GO159" s="69"/>
      <c r="GP159" s="69"/>
      <c r="GQ159" s="69"/>
      <c r="GR159" s="69"/>
      <c r="GS159" s="69"/>
      <c r="GT159" s="69"/>
      <c r="GU159" s="69"/>
      <c r="GV159" s="69"/>
      <c r="GW159" s="69"/>
      <c r="GX159" s="69"/>
      <c r="GY159" s="69"/>
      <c r="GZ159" s="69"/>
      <c r="HA159" s="69"/>
      <c r="HB159" s="69"/>
      <c r="HC159" s="69"/>
      <c r="HD159" s="69"/>
      <c r="HE159" s="69"/>
      <c r="HF159" s="69"/>
    </row>
    <row r="160" spans="1:214" ht="15.75" customHeight="1" thickBot="1" x14ac:dyDescent="0.35">
      <c r="A160" s="1"/>
      <c r="B160" s="375">
        <v>74</v>
      </c>
      <c r="C160" s="34">
        <f>+C159+1</f>
        <v>2</v>
      </c>
      <c r="D160" s="376" t="s">
        <v>85</v>
      </c>
      <c r="E160" s="233">
        <v>1</v>
      </c>
      <c r="F160" s="233"/>
      <c r="G160" s="233">
        <v>1</v>
      </c>
      <c r="H160" s="233"/>
      <c r="I160" s="233">
        <v>1</v>
      </c>
      <c r="J160" s="233"/>
      <c r="K160" s="233">
        <v>1</v>
      </c>
      <c r="L160" s="233"/>
      <c r="M160" s="233">
        <v>1</v>
      </c>
      <c r="N160" s="233"/>
      <c r="O160" s="233">
        <v>1</v>
      </c>
      <c r="P160" s="233"/>
      <c r="Q160" s="233">
        <v>1</v>
      </c>
      <c r="R160" s="50">
        <f>IF(Q160=1,1550,850)</f>
        <v>1550</v>
      </c>
      <c r="S160" s="51">
        <f>+BH160</f>
        <v>0</v>
      </c>
      <c r="T160" s="11">
        <f t="shared" ref="T160:T163" si="363">+BA160</f>
        <v>1949.9999999999998</v>
      </c>
      <c r="U160" s="52">
        <f>+BP160</f>
        <v>0</v>
      </c>
      <c r="V160" s="52" t="str">
        <f>+BG160</f>
        <v>BONO+B ASIS</v>
      </c>
      <c r="W160" s="53">
        <f t="shared" si="357"/>
        <v>243.97333333333333</v>
      </c>
      <c r="X160" s="53">
        <f t="shared" si="337"/>
        <v>7.18</v>
      </c>
      <c r="Y160" s="53">
        <f t="shared" si="338"/>
        <v>7.18</v>
      </c>
      <c r="Z160" s="54">
        <f t="shared" si="339"/>
        <v>258.33333333333331</v>
      </c>
      <c r="AA160" s="55"/>
      <c r="AB160" s="53">
        <f t="shared" si="358"/>
        <v>243.97333333333333</v>
      </c>
      <c r="AC160" s="53">
        <f t="shared" si="340"/>
        <v>7.18</v>
      </c>
      <c r="AD160" s="53">
        <f t="shared" si="341"/>
        <v>7.18</v>
      </c>
      <c r="AE160" s="54">
        <f t="shared" si="342"/>
        <v>258.33333333333331</v>
      </c>
      <c r="AF160" s="56"/>
      <c r="AG160" s="53">
        <f t="shared" si="359"/>
        <v>243.97333333333333</v>
      </c>
      <c r="AH160" s="53">
        <f t="shared" si="343"/>
        <v>7.18</v>
      </c>
      <c r="AI160" s="53">
        <f t="shared" si="344"/>
        <v>7.18</v>
      </c>
      <c r="AJ160" s="54">
        <f t="shared" si="345"/>
        <v>258.33333333333331</v>
      </c>
      <c r="AK160" s="57"/>
      <c r="AL160" s="53">
        <f t="shared" si="360"/>
        <v>243.97333333333333</v>
      </c>
      <c r="AM160" s="53">
        <f t="shared" si="346"/>
        <v>7.18</v>
      </c>
      <c r="AN160" s="53">
        <f t="shared" si="347"/>
        <v>7.18</v>
      </c>
      <c r="AO160" s="54">
        <f t="shared" si="348"/>
        <v>258.33333333333331</v>
      </c>
      <c r="AP160" s="56"/>
      <c r="AQ160" s="53">
        <f t="shared" si="361"/>
        <v>243.97333333333333</v>
      </c>
      <c r="AR160" s="53">
        <f t="shared" si="349"/>
        <v>7.18</v>
      </c>
      <c r="AS160" s="53">
        <f t="shared" si="350"/>
        <v>7.18</v>
      </c>
      <c r="AT160" s="54">
        <f t="shared" si="351"/>
        <v>258.33333333333331</v>
      </c>
      <c r="AU160" s="56"/>
      <c r="AV160" s="53">
        <f t="shared" si="362"/>
        <v>243.97333333333333</v>
      </c>
      <c r="AW160" s="53">
        <f t="shared" si="352"/>
        <v>7.18</v>
      </c>
      <c r="AX160" s="53">
        <f t="shared" si="353"/>
        <v>7.18</v>
      </c>
      <c r="AY160" s="54">
        <f t="shared" si="354"/>
        <v>258.33333333333331</v>
      </c>
      <c r="AZ160" s="58">
        <f t="shared" si="355"/>
        <v>1549.9999999999998</v>
      </c>
      <c r="BA160" s="59">
        <f t="shared" si="356"/>
        <v>1949.9999999999998</v>
      </c>
      <c r="BB160" s="60"/>
      <c r="BC160" s="60"/>
      <c r="BD160" s="60"/>
      <c r="BE160" s="60"/>
      <c r="BF160" s="60"/>
      <c r="BG160" s="61" t="s">
        <v>133</v>
      </c>
      <c r="BH160" s="62"/>
      <c r="BI160" s="63">
        <v>250</v>
      </c>
      <c r="BJ160" s="64">
        <v>150</v>
      </c>
      <c r="BL160" s="63"/>
      <c r="BM160" s="65"/>
      <c r="BN160" s="65"/>
      <c r="BO160" s="66"/>
      <c r="BP160" s="67"/>
      <c r="BQ160" s="21"/>
      <c r="BR160" s="48"/>
      <c r="BS160" s="48"/>
      <c r="BT160" s="68"/>
      <c r="BU160" s="1"/>
      <c r="GG160" s="69"/>
      <c r="GH160" s="69"/>
      <c r="GI160" s="69"/>
      <c r="GJ160" s="69"/>
      <c r="GK160" s="69"/>
      <c r="GL160" s="69"/>
      <c r="GM160" s="69"/>
      <c r="GN160" s="69"/>
      <c r="GO160" s="69"/>
      <c r="GP160" s="69"/>
      <c r="GQ160" s="69"/>
      <c r="GR160" s="69"/>
      <c r="GS160" s="69"/>
      <c r="GT160" s="69"/>
      <c r="GU160" s="69"/>
      <c r="GV160" s="69"/>
      <c r="GW160" s="69"/>
      <c r="GX160" s="69"/>
      <c r="GY160" s="69"/>
      <c r="GZ160" s="69"/>
      <c r="HA160" s="69"/>
      <c r="HB160" s="69"/>
      <c r="HC160" s="69"/>
      <c r="HD160" s="69"/>
      <c r="HE160" s="69"/>
      <c r="HF160" s="69"/>
    </row>
    <row r="161" spans="1:214" s="69" customFormat="1" ht="15.75" customHeight="1" thickBot="1" x14ac:dyDescent="0.35">
      <c r="A161" s="1">
        <v>426</v>
      </c>
      <c r="B161" s="375">
        <v>29</v>
      </c>
      <c r="C161" s="34">
        <f>+C160+1</f>
        <v>3</v>
      </c>
      <c r="D161" s="376" t="s">
        <v>53</v>
      </c>
      <c r="E161" s="233">
        <v>1</v>
      </c>
      <c r="F161" s="233"/>
      <c r="G161" s="233">
        <v>1</v>
      </c>
      <c r="H161" s="233"/>
      <c r="I161" s="233">
        <v>1</v>
      </c>
      <c r="J161" s="233"/>
      <c r="K161" s="233">
        <v>1</v>
      </c>
      <c r="L161" s="233"/>
      <c r="M161" s="233">
        <v>1</v>
      </c>
      <c r="N161" s="233"/>
      <c r="O161" s="233">
        <v>1</v>
      </c>
      <c r="P161" s="233"/>
      <c r="Q161" s="233">
        <v>1</v>
      </c>
      <c r="R161" s="50">
        <f>IF(Q161=1,1550,850)</f>
        <v>1550</v>
      </c>
      <c r="S161" s="51">
        <f>+BH161</f>
        <v>0</v>
      </c>
      <c r="T161" s="11">
        <f t="shared" si="363"/>
        <v>1999.9999999999998</v>
      </c>
      <c r="U161" s="52">
        <f>+BP161</f>
        <v>0</v>
      </c>
      <c r="V161" s="52" t="str">
        <f>+BG161</f>
        <v>BONO+B ASIS</v>
      </c>
      <c r="W161" s="53">
        <f t="shared" si="357"/>
        <v>243.97333333333333</v>
      </c>
      <c r="X161" s="53">
        <f t="shared" si="337"/>
        <v>7.18</v>
      </c>
      <c r="Y161" s="53">
        <f t="shared" si="338"/>
        <v>7.18</v>
      </c>
      <c r="Z161" s="54">
        <f t="shared" si="339"/>
        <v>258.33333333333331</v>
      </c>
      <c r="AA161" s="55"/>
      <c r="AB161" s="53">
        <f t="shared" si="358"/>
        <v>243.97333333333333</v>
      </c>
      <c r="AC161" s="53">
        <f t="shared" si="340"/>
        <v>7.18</v>
      </c>
      <c r="AD161" s="53">
        <f t="shared" si="341"/>
        <v>7.18</v>
      </c>
      <c r="AE161" s="54">
        <f t="shared" si="342"/>
        <v>258.33333333333331</v>
      </c>
      <c r="AF161" s="56"/>
      <c r="AG161" s="53">
        <f t="shared" si="359"/>
        <v>243.97333333333333</v>
      </c>
      <c r="AH161" s="53">
        <f t="shared" si="343"/>
        <v>7.18</v>
      </c>
      <c r="AI161" s="53">
        <f t="shared" si="344"/>
        <v>7.18</v>
      </c>
      <c r="AJ161" s="54">
        <f t="shared" si="345"/>
        <v>258.33333333333331</v>
      </c>
      <c r="AK161" s="57"/>
      <c r="AL161" s="53">
        <f t="shared" si="360"/>
        <v>243.97333333333333</v>
      </c>
      <c r="AM161" s="53">
        <f t="shared" si="346"/>
        <v>7.18</v>
      </c>
      <c r="AN161" s="53">
        <f t="shared" si="347"/>
        <v>7.18</v>
      </c>
      <c r="AO161" s="54">
        <f t="shared" si="348"/>
        <v>258.33333333333331</v>
      </c>
      <c r="AP161" s="56"/>
      <c r="AQ161" s="53">
        <f t="shared" si="361"/>
        <v>243.97333333333333</v>
      </c>
      <c r="AR161" s="53">
        <f t="shared" si="349"/>
        <v>7.18</v>
      </c>
      <c r="AS161" s="53">
        <f t="shared" si="350"/>
        <v>7.18</v>
      </c>
      <c r="AT161" s="54">
        <f t="shared" si="351"/>
        <v>258.33333333333331</v>
      </c>
      <c r="AU161" s="56"/>
      <c r="AV161" s="53">
        <f t="shared" si="362"/>
        <v>243.97333333333333</v>
      </c>
      <c r="AW161" s="53">
        <f t="shared" si="352"/>
        <v>7.18</v>
      </c>
      <c r="AX161" s="53">
        <f t="shared" si="353"/>
        <v>7.18</v>
      </c>
      <c r="AY161" s="54">
        <f t="shared" si="354"/>
        <v>258.33333333333331</v>
      </c>
      <c r="AZ161" s="58">
        <f t="shared" si="355"/>
        <v>1549.9999999999998</v>
      </c>
      <c r="BA161" s="59">
        <f t="shared" si="356"/>
        <v>1999.9999999999998</v>
      </c>
      <c r="BB161" s="60"/>
      <c r="BC161" s="60"/>
      <c r="BD161" s="60"/>
      <c r="BE161" s="60"/>
      <c r="BF161" s="60"/>
      <c r="BG161" s="61" t="s">
        <v>133</v>
      </c>
      <c r="BH161" s="62"/>
      <c r="BI161" s="18">
        <v>200</v>
      </c>
      <c r="BJ161" s="63">
        <v>250</v>
      </c>
      <c r="BK161" s="64"/>
      <c r="BL161" s="63"/>
      <c r="BM161" s="65"/>
      <c r="BN161" s="65"/>
      <c r="BO161" s="66"/>
      <c r="BP161" s="67"/>
      <c r="BQ161" s="21"/>
      <c r="BR161" s="48"/>
      <c r="BS161" s="48"/>
      <c r="BT161" s="68"/>
      <c r="BU161" s="1">
        <v>426</v>
      </c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</row>
    <row r="162" spans="1:214" s="69" customFormat="1" ht="15.75" customHeight="1" thickBot="1" x14ac:dyDescent="0.35">
      <c r="A162" s="1">
        <v>426</v>
      </c>
      <c r="B162" s="381">
        <v>30</v>
      </c>
      <c r="C162" s="34">
        <f>+C161+1</f>
        <v>4</v>
      </c>
      <c r="D162" s="259" t="s">
        <v>58</v>
      </c>
      <c r="E162" s="233">
        <v>1</v>
      </c>
      <c r="F162" s="233"/>
      <c r="G162" s="233">
        <v>1</v>
      </c>
      <c r="H162" s="233"/>
      <c r="I162" s="233">
        <v>1</v>
      </c>
      <c r="J162" s="233"/>
      <c r="K162" s="233">
        <v>1</v>
      </c>
      <c r="L162" s="233"/>
      <c r="M162" s="233">
        <v>1</v>
      </c>
      <c r="N162" s="233"/>
      <c r="O162" s="233">
        <v>1</v>
      </c>
      <c r="P162" s="233"/>
      <c r="Q162" s="233">
        <v>1</v>
      </c>
      <c r="R162" s="366">
        <f>IF(Q162=1,1600,850)</f>
        <v>1600</v>
      </c>
      <c r="S162" s="51">
        <f>+BH162</f>
        <v>0</v>
      </c>
      <c r="T162" s="11">
        <f t="shared" si="363"/>
        <v>2149.9999999999995</v>
      </c>
      <c r="U162" s="52">
        <f>+BP162</f>
        <v>0</v>
      </c>
      <c r="V162" s="52" t="str">
        <f>+BG162</f>
        <v>BONO+B ASIS</v>
      </c>
      <c r="W162" s="53">
        <f t="shared" si="357"/>
        <v>252.30666666666664</v>
      </c>
      <c r="X162" s="53">
        <f t="shared" si="337"/>
        <v>7.18</v>
      </c>
      <c r="Y162" s="53">
        <f t="shared" si="338"/>
        <v>7.18</v>
      </c>
      <c r="Z162" s="54">
        <f t="shared" si="339"/>
        <v>266.66666666666663</v>
      </c>
      <c r="AA162" s="55"/>
      <c r="AB162" s="53">
        <f t="shared" si="358"/>
        <v>252.30666666666664</v>
      </c>
      <c r="AC162" s="53">
        <f t="shared" si="340"/>
        <v>7.18</v>
      </c>
      <c r="AD162" s="53">
        <f t="shared" si="341"/>
        <v>7.18</v>
      </c>
      <c r="AE162" s="54">
        <f t="shared" si="342"/>
        <v>266.66666666666663</v>
      </c>
      <c r="AF162" s="56"/>
      <c r="AG162" s="53">
        <f t="shared" si="359"/>
        <v>252.30666666666664</v>
      </c>
      <c r="AH162" s="53">
        <f t="shared" si="343"/>
        <v>7.18</v>
      </c>
      <c r="AI162" s="53">
        <f t="shared" si="344"/>
        <v>7.18</v>
      </c>
      <c r="AJ162" s="54">
        <f t="shared" si="345"/>
        <v>266.66666666666663</v>
      </c>
      <c r="AK162" s="57"/>
      <c r="AL162" s="53">
        <f t="shared" si="360"/>
        <v>252.30666666666664</v>
      </c>
      <c r="AM162" s="53">
        <f t="shared" si="346"/>
        <v>7.18</v>
      </c>
      <c r="AN162" s="53">
        <f t="shared" si="347"/>
        <v>7.18</v>
      </c>
      <c r="AO162" s="54">
        <f t="shared" si="348"/>
        <v>266.66666666666663</v>
      </c>
      <c r="AP162" s="56"/>
      <c r="AQ162" s="53">
        <f t="shared" si="361"/>
        <v>252.30666666666664</v>
      </c>
      <c r="AR162" s="53">
        <f t="shared" si="349"/>
        <v>7.18</v>
      </c>
      <c r="AS162" s="53">
        <f t="shared" si="350"/>
        <v>7.18</v>
      </c>
      <c r="AT162" s="54">
        <f t="shared" si="351"/>
        <v>266.66666666666663</v>
      </c>
      <c r="AU162" s="56"/>
      <c r="AV162" s="53">
        <f t="shared" si="362"/>
        <v>252.30666666666664</v>
      </c>
      <c r="AW162" s="53">
        <f t="shared" si="352"/>
        <v>7.18</v>
      </c>
      <c r="AX162" s="53">
        <f t="shared" si="353"/>
        <v>7.18</v>
      </c>
      <c r="AY162" s="54">
        <f t="shared" si="354"/>
        <v>266.66666666666663</v>
      </c>
      <c r="AZ162" s="58">
        <f t="shared" si="355"/>
        <v>1599.9999999999995</v>
      </c>
      <c r="BA162" s="59">
        <f t="shared" si="356"/>
        <v>2149.9999999999995</v>
      </c>
      <c r="BB162" s="60"/>
      <c r="BC162" s="60"/>
      <c r="BD162" s="60"/>
      <c r="BE162" s="60"/>
      <c r="BF162" s="60"/>
      <c r="BG162" s="61" t="s">
        <v>133</v>
      </c>
      <c r="BH162" s="62"/>
      <c r="BI162" s="63">
        <v>300</v>
      </c>
      <c r="BJ162" s="63">
        <v>250</v>
      </c>
      <c r="BK162" s="64"/>
      <c r="BL162" s="63"/>
      <c r="BM162" s="65"/>
      <c r="BN162" s="65"/>
      <c r="BO162" s="66"/>
      <c r="BP162" s="67"/>
      <c r="BQ162" s="21"/>
      <c r="BR162" s="48"/>
      <c r="BS162" s="48"/>
      <c r="BT162" s="68"/>
      <c r="BU162" s="1">
        <v>426</v>
      </c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</row>
    <row r="163" spans="1:214" s="69" customFormat="1" ht="15.75" customHeight="1" thickBot="1" x14ac:dyDescent="0.35">
      <c r="A163" s="279"/>
      <c r="B163" s="380">
        <v>137</v>
      </c>
      <c r="C163" s="34">
        <f>+C162+1</f>
        <v>5</v>
      </c>
      <c r="D163" s="379" t="s">
        <v>118</v>
      </c>
      <c r="E163" s="233">
        <v>1</v>
      </c>
      <c r="F163" s="233"/>
      <c r="G163" s="233">
        <v>1</v>
      </c>
      <c r="H163" s="233"/>
      <c r="I163" s="233">
        <v>1</v>
      </c>
      <c r="J163" s="233"/>
      <c r="K163" s="233">
        <v>1</v>
      </c>
      <c r="L163" s="233"/>
      <c r="M163" s="233">
        <v>1</v>
      </c>
      <c r="N163" s="233"/>
      <c r="O163" s="233">
        <v>1</v>
      </c>
      <c r="P163" s="233"/>
      <c r="Q163" s="233">
        <v>1</v>
      </c>
      <c r="R163" s="50">
        <f>IF(Q163=1,1550,850)</f>
        <v>1550</v>
      </c>
      <c r="S163" s="51">
        <f>+BH163</f>
        <v>0</v>
      </c>
      <c r="T163" s="11">
        <f t="shared" si="363"/>
        <v>1949.9999999999998</v>
      </c>
      <c r="U163" s="52">
        <f>+BP163</f>
        <v>0</v>
      </c>
      <c r="V163" s="52" t="str">
        <f>+BG163</f>
        <v>BONO+B ASIS</v>
      </c>
      <c r="W163" s="53">
        <f t="shared" si="357"/>
        <v>243.97333333333333</v>
      </c>
      <c r="X163" s="53">
        <f t="shared" si="337"/>
        <v>7.18</v>
      </c>
      <c r="Y163" s="53">
        <f t="shared" si="338"/>
        <v>7.18</v>
      </c>
      <c r="Z163" s="54">
        <f t="shared" si="339"/>
        <v>258.33333333333331</v>
      </c>
      <c r="AA163" s="55"/>
      <c r="AB163" s="53">
        <f t="shared" si="358"/>
        <v>243.97333333333333</v>
      </c>
      <c r="AC163" s="53">
        <f t="shared" si="340"/>
        <v>7.18</v>
      </c>
      <c r="AD163" s="53">
        <f t="shared" si="341"/>
        <v>7.18</v>
      </c>
      <c r="AE163" s="54">
        <f t="shared" si="342"/>
        <v>258.33333333333331</v>
      </c>
      <c r="AF163" s="56"/>
      <c r="AG163" s="53">
        <f t="shared" si="359"/>
        <v>243.97333333333333</v>
      </c>
      <c r="AH163" s="53">
        <f t="shared" si="343"/>
        <v>7.18</v>
      </c>
      <c r="AI163" s="53">
        <f t="shared" si="344"/>
        <v>7.18</v>
      </c>
      <c r="AJ163" s="54">
        <f t="shared" si="345"/>
        <v>258.33333333333331</v>
      </c>
      <c r="AK163" s="57"/>
      <c r="AL163" s="53">
        <f t="shared" si="360"/>
        <v>243.97333333333333</v>
      </c>
      <c r="AM163" s="53">
        <f t="shared" si="346"/>
        <v>7.18</v>
      </c>
      <c r="AN163" s="53">
        <f t="shared" si="347"/>
        <v>7.18</v>
      </c>
      <c r="AO163" s="54">
        <f t="shared" si="348"/>
        <v>258.33333333333331</v>
      </c>
      <c r="AP163" s="56"/>
      <c r="AQ163" s="53">
        <f t="shared" si="361"/>
        <v>243.97333333333333</v>
      </c>
      <c r="AR163" s="53">
        <f t="shared" si="349"/>
        <v>7.18</v>
      </c>
      <c r="AS163" s="53">
        <f t="shared" si="350"/>
        <v>7.18</v>
      </c>
      <c r="AT163" s="54">
        <f t="shared" si="351"/>
        <v>258.33333333333331</v>
      </c>
      <c r="AU163" s="56"/>
      <c r="AV163" s="53">
        <f t="shared" si="362"/>
        <v>243.97333333333333</v>
      </c>
      <c r="AW163" s="53">
        <f t="shared" si="352"/>
        <v>7.18</v>
      </c>
      <c r="AX163" s="53">
        <f t="shared" si="353"/>
        <v>7.18</v>
      </c>
      <c r="AY163" s="54">
        <f t="shared" si="354"/>
        <v>258.33333333333331</v>
      </c>
      <c r="AZ163" s="58">
        <f t="shared" si="355"/>
        <v>1549.9999999999998</v>
      </c>
      <c r="BA163" s="59">
        <f t="shared" si="356"/>
        <v>1949.9999999999998</v>
      </c>
      <c r="BB163" s="280"/>
      <c r="BC163" s="280"/>
      <c r="BD163" s="280"/>
      <c r="BE163" s="280"/>
      <c r="BF163" s="280"/>
      <c r="BG163" s="61" t="s">
        <v>133</v>
      </c>
      <c r="BH163" s="281"/>
      <c r="BI163" s="282">
        <v>250</v>
      </c>
      <c r="BJ163" s="282">
        <v>150</v>
      </c>
      <c r="BK163" s="282"/>
      <c r="BL163" s="282"/>
      <c r="BM163" s="282"/>
      <c r="BN163" s="282"/>
      <c r="BO163" s="283"/>
      <c r="BP163" s="284"/>
      <c r="BQ163" s="285"/>
      <c r="BR163" s="286"/>
      <c r="BS163" s="286"/>
      <c r="BT163" s="287"/>
      <c r="BU163" s="279"/>
      <c r="BV163" s="287"/>
      <c r="BW163" s="287"/>
      <c r="BX163" s="287"/>
      <c r="BY163" s="287"/>
      <c r="BZ163" s="287"/>
      <c r="CA163" s="287"/>
      <c r="CB163" s="287"/>
      <c r="CC163" s="287"/>
      <c r="CD163" s="287"/>
      <c r="CE163" s="287"/>
      <c r="CF163" s="287"/>
      <c r="CG163" s="287"/>
      <c r="CH163" s="287"/>
      <c r="CI163" s="287"/>
      <c r="CJ163" s="287"/>
      <c r="CK163" s="287"/>
      <c r="CL163" s="287"/>
      <c r="CM163" s="287"/>
      <c r="CN163" s="287"/>
      <c r="CO163" s="287"/>
      <c r="CP163" s="287"/>
      <c r="CQ163" s="287"/>
      <c r="CR163" s="287"/>
      <c r="CS163" s="287"/>
      <c r="CT163" s="287"/>
      <c r="CU163" s="287"/>
      <c r="CV163" s="287"/>
      <c r="CW163" s="287"/>
      <c r="CX163" s="287"/>
      <c r="CY163" s="287"/>
      <c r="CZ163" s="287"/>
      <c r="DA163" s="287"/>
      <c r="DB163" s="287"/>
      <c r="DC163" s="287"/>
      <c r="DD163" s="287"/>
      <c r="DE163" s="287"/>
      <c r="DF163" s="287"/>
      <c r="DG163" s="287"/>
      <c r="DH163" s="287"/>
      <c r="DI163" s="287"/>
      <c r="DJ163" s="287"/>
      <c r="DK163" s="287"/>
      <c r="DL163" s="287"/>
      <c r="DM163" s="287"/>
      <c r="DN163" s="287"/>
      <c r="DO163" s="287"/>
      <c r="DP163" s="287"/>
      <c r="DQ163" s="287"/>
      <c r="DR163" s="287"/>
      <c r="DS163" s="287"/>
      <c r="DT163" s="287"/>
      <c r="DU163" s="287"/>
      <c r="DV163" s="287"/>
      <c r="DW163" s="287"/>
      <c r="DX163" s="287"/>
      <c r="DY163" s="287"/>
      <c r="DZ163" s="287"/>
      <c r="EA163" s="287"/>
      <c r="EB163" s="287"/>
      <c r="EC163" s="287"/>
      <c r="ED163" s="287"/>
      <c r="EE163" s="287"/>
      <c r="EF163" s="287"/>
      <c r="EG163" s="287"/>
      <c r="EH163" s="287"/>
      <c r="EI163" s="287"/>
      <c r="EJ163" s="287"/>
      <c r="EK163" s="287"/>
      <c r="EL163" s="287"/>
      <c r="EM163" s="287"/>
      <c r="EN163" s="287"/>
      <c r="EO163" s="287"/>
      <c r="EP163" s="287"/>
      <c r="EQ163" s="287"/>
      <c r="ER163" s="287"/>
      <c r="ES163" s="287"/>
      <c r="ET163" s="287"/>
      <c r="EU163" s="287"/>
      <c r="EV163" s="287"/>
      <c r="EW163" s="287"/>
      <c r="EX163" s="287"/>
      <c r="EY163" s="287"/>
      <c r="EZ163" s="287"/>
      <c r="FA163" s="287"/>
      <c r="FB163" s="287"/>
      <c r="FC163" s="287"/>
      <c r="FD163" s="287"/>
      <c r="FE163" s="287"/>
      <c r="FF163" s="287"/>
      <c r="FG163" s="287"/>
      <c r="FH163" s="287"/>
      <c r="FI163" s="287"/>
      <c r="FJ163" s="287"/>
      <c r="FK163" s="287"/>
      <c r="FL163" s="287"/>
      <c r="FM163" s="287"/>
      <c r="FN163" s="287"/>
      <c r="FO163" s="287"/>
      <c r="FP163" s="287"/>
      <c r="FQ163" s="287"/>
      <c r="FR163" s="287"/>
      <c r="FS163" s="287"/>
      <c r="FT163" s="287"/>
      <c r="FU163" s="287"/>
      <c r="FV163" s="287"/>
      <c r="FW163" s="287"/>
      <c r="FX163" s="287"/>
      <c r="FY163" s="287"/>
      <c r="FZ163" s="287"/>
      <c r="GA163" s="287"/>
      <c r="GB163" s="287"/>
      <c r="GC163" s="287"/>
      <c r="GD163" s="287"/>
      <c r="GE163" s="287"/>
      <c r="GF163" s="287"/>
      <c r="GG163" s="287"/>
      <c r="GH163" s="287"/>
      <c r="GI163" s="287"/>
      <c r="GJ163" s="287"/>
      <c r="GK163" s="287"/>
      <c r="GL163" s="287"/>
      <c r="GM163" s="287"/>
      <c r="GN163" s="287"/>
      <c r="GO163" s="287"/>
      <c r="GP163" s="287"/>
      <c r="GQ163" s="287"/>
      <c r="GR163" s="287"/>
      <c r="GS163" s="287"/>
      <c r="GT163" s="287"/>
      <c r="GU163" s="287"/>
      <c r="GV163" s="287"/>
      <c r="GW163" s="287"/>
      <c r="GX163" s="287"/>
      <c r="GY163" s="287"/>
      <c r="GZ163" s="287"/>
      <c r="HA163" s="287"/>
      <c r="HB163" s="287"/>
      <c r="HC163" s="287"/>
      <c r="HD163" s="287"/>
      <c r="HE163" s="287"/>
      <c r="HF163" s="287"/>
    </row>
    <row r="164" spans="1:214" ht="15.75" customHeight="1" thickBot="1" x14ac:dyDescent="0.35">
      <c r="A164" s="1">
        <v>504</v>
      </c>
      <c r="B164" s="78"/>
      <c r="C164" s="79"/>
      <c r="D164" s="21"/>
      <c r="E164" s="80">
        <f>SUM(E158:E163)</f>
        <v>5</v>
      </c>
      <c r="F164" s="80"/>
      <c r="G164" s="80">
        <f>SUM(G158:G163)</f>
        <v>5</v>
      </c>
      <c r="H164" s="80"/>
      <c r="I164" s="80">
        <f>SUM(I158:I163)</f>
        <v>6</v>
      </c>
      <c r="J164" s="81"/>
      <c r="K164" s="80">
        <f>SUM(K158:K163)</f>
        <v>5</v>
      </c>
      <c r="L164" s="81"/>
      <c r="M164" s="80">
        <f>SUM(M158:M163)</f>
        <v>5</v>
      </c>
      <c r="N164" s="80"/>
      <c r="O164" s="80">
        <f>SUM(O158:O163)</f>
        <v>5</v>
      </c>
      <c r="P164" s="80"/>
      <c r="Q164" s="8"/>
      <c r="R164" s="82"/>
      <c r="S164" s="51"/>
      <c r="T164" s="11"/>
      <c r="U164" s="52"/>
      <c r="V164" s="52"/>
      <c r="W164" s="53"/>
      <c r="X164" s="53"/>
      <c r="Y164" s="53"/>
      <c r="Z164" s="54"/>
      <c r="AA164" s="55"/>
      <c r="AB164" s="53"/>
      <c r="AC164" s="53"/>
      <c r="AD164" s="53"/>
      <c r="AE164" s="54"/>
      <c r="AF164" s="56"/>
      <c r="AG164" s="53"/>
      <c r="AH164" s="53"/>
      <c r="AI164" s="53"/>
      <c r="AJ164" s="54"/>
      <c r="AK164" s="57"/>
      <c r="AL164" s="53"/>
      <c r="AM164" s="53"/>
      <c r="AN164" s="53"/>
      <c r="AO164" s="54"/>
      <c r="AP164" s="56"/>
      <c r="AQ164" s="53"/>
      <c r="AR164" s="53"/>
      <c r="AS164" s="53"/>
      <c r="AT164" s="54"/>
      <c r="AU164" s="56"/>
      <c r="AV164" s="53"/>
      <c r="AW164" s="53"/>
      <c r="AX164" s="53"/>
      <c r="AY164" s="54"/>
      <c r="AZ164" s="58"/>
      <c r="BA164" s="59"/>
      <c r="BG164" s="83"/>
      <c r="BO164" s="67"/>
      <c r="BP164" s="67"/>
      <c r="BQ164" s="21"/>
      <c r="BR164" s="84"/>
      <c r="BS164" s="84"/>
      <c r="BU164" s="1">
        <v>504</v>
      </c>
    </row>
    <row r="165" spans="1:214" ht="15.75" customHeight="1" thickBot="1" x14ac:dyDescent="0.45">
      <c r="A165" s="1">
        <v>505</v>
      </c>
      <c r="C165" s="79"/>
      <c r="D165" s="21"/>
      <c r="E165" s="8"/>
      <c r="F165" s="85"/>
      <c r="G165" s="8"/>
      <c r="H165" s="22"/>
      <c r="I165" s="8"/>
      <c r="J165" s="22"/>
      <c r="K165" s="8"/>
      <c r="L165" s="22"/>
      <c r="M165" s="8"/>
      <c r="N165" s="22"/>
      <c r="O165" s="8"/>
      <c r="P165" s="22"/>
      <c r="Q165" s="8"/>
      <c r="R165" s="82"/>
      <c r="S165" s="51"/>
      <c r="T165" s="11"/>
      <c r="U165" s="52"/>
      <c r="V165" s="52"/>
      <c r="W165" s="53"/>
      <c r="X165" s="53"/>
      <c r="Y165" s="53"/>
      <c r="Z165" s="54"/>
      <c r="AA165" s="55"/>
      <c r="AB165" s="53"/>
      <c r="AC165" s="53"/>
      <c r="AD165" s="53"/>
      <c r="AE165" s="54"/>
      <c r="AF165" s="56"/>
      <c r="AG165" s="53"/>
      <c r="AH165" s="53"/>
      <c r="AI165" s="53"/>
      <c r="AJ165" s="54"/>
      <c r="AK165" s="57"/>
      <c r="AL165" s="53"/>
      <c r="AM165" s="53"/>
      <c r="AN165" s="53"/>
      <c r="AO165" s="54"/>
      <c r="AP165" s="56"/>
      <c r="AQ165" s="53"/>
      <c r="AR165" s="53"/>
      <c r="AS165" s="53"/>
      <c r="AT165" s="54"/>
      <c r="AU165" s="56"/>
      <c r="AV165" s="53"/>
      <c r="AW165" s="53"/>
      <c r="AX165" s="53"/>
      <c r="AY165" s="54"/>
      <c r="AZ165" s="58"/>
      <c r="BA165" s="59"/>
      <c r="BG165" s="83"/>
      <c r="BO165" s="86"/>
      <c r="BP165" s="87"/>
      <c r="BQ165" s="21"/>
      <c r="BT165" s="68"/>
      <c r="BU165" s="1">
        <v>505</v>
      </c>
    </row>
    <row r="166" spans="1:214" ht="15.75" customHeight="1" thickBot="1" x14ac:dyDescent="0.35">
      <c r="A166" s="1">
        <v>506</v>
      </c>
      <c r="B166" s="88" t="s">
        <v>26</v>
      </c>
      <c r="C166" s="89" t="s">
        <v>27</v>
      </c>
      <c r="D166" s="90"/>
      <c r="E166" s="8"/>
      <c r="F166" s="91"/>
      <c r="G166" s="42" t="s">
        <v>8</v>
      </c>
      <c r="H166" s="42"/>
      <c r="I166" s="42" t="s">
        <v>9</v>
      </c>
      <c r="J166" s="42"/>
      <c r="K166" s="42" t="s">
        <v>9</v>
      </c>
      <c r="L166" s="42"/>
      <c r="M166" s="42" t="s">
        <v>10</v>
      </c>
      <c r="N166" s="42"/>
      <c r="O166" s="42" t="s">
        <v>11</v>
      </c>
      <c r="P166" s="42"/>
      <c r="Q166" s="42" t="s">
        <v>12</v>
      </c>
      <c r="R166" s="42"/>
      <c r="S166" s="9"/>
      <c r="T166" s="11"/>
      <c r="U166" s="11"/>
      <c r="V166" s="11"/>
      <c r="W166" s="12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59"/>
      <c r="BO166" s="92"/>
      <c r="BP166" s="92"/>
      <c r="BQ166" s="21"/>
      <c r="BR166" s="21"/>
      <c r="BS166" s="21"/>
      <c r="BT166" s="68"/>
      <c r="BU166" s="1">
        <v>506</v>
      </c>
    </row>
    <row r="167" spans="1:214" ht="20.25" customHeight="1" thickBot="1" x14ac:dyDescent="0.35">
      <c r="A167" s="1">
        <v>507</v>
      </c>
      <c r="B167" s="21">
        <f>E164</f>
        <v>5</v>
      </c>
      <c r="C167" s="93">
        <f>G171</f>
        <v>5</v>
      </c>
      <c r="D167" s="94">
        <f t="shared" ref="D167:D172" si="364">+B167-C167</f>
        <v>0</v>
      </c>
      <c r="E167" s="95"/>
      <c r="F167" s="96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8" t="s">
        <v>28</v>
      </c>
      <c r="S167" s="10"/>
      <c r="T167" s="10"/>
      <c r="U167" s="94"/>
      <c r="V167" s="40"/>
      <c r="W167" s="42"/>
      <c r="X167" s="9"/>
      <c r="Y167" s="9"/>
      <c r="Z167" s="9"/>
      <c r="AA167" s="9"/>
      <c r="AB167" s="42"/>
      <c r="AC167" s="9"/>
      <c r="AD167" s="9"/>
      <c r="AE167" s="9"/>
      <c r="AF167" s="9"/>
      <c r="AG167" s="42"/>
      <c r="AH167" s="9"/>
      <c r="AI167" s="9"/>
      <c r="AJ167" s="9"/>
      <c r="AK167" s="9"/>
      <c r="AL167" s="9"/>
      <c r="AM167" s="9"/>
      <c r="AN167" s="9"/>
      <c r="AO167" s="9"/>
      <c r="AP167" s="9"/>
      <c r="AQ167" s="42"/>
      <c r="AR167" s="9"/>
      <c r="AS167" s="9"/>
      <c r="AT167" s="9"/>
      <c r="AU167" s="9"/>
      <c r="AV167" s="42"/>
      <c r="AW167" s="9"/>
      <c r="AX167" s="9"/>
      <c r="AY167" s="9"/>
      <c r="AZ167" s="99"/>
      <c r="BA167" s="59"/>
      <c r="BE167" s="100"/>
      <c r="BO167" s="101"/>
      <c r="BP167" s="92"/>
      <c r="BQ167" s="21"/>
      <c r="BR167" s="21"/>
      <c r="BS167" s="21"/>
      <c r="BT167" s="68"/>
      <c r="BU167" s="1">
        <v>507</v>
      </c>
    </row>
    <row r="168" spans="1:214" ht="20.25" customHeight="1" thickBot="1" x14ac:dyDescent="0.35">
      <c r="A168" s="1">
        <v>508</v>
      </c>
      <c r="B168" s="21">
        <f>G164</f>
        <v>5</v>
      </c>
      <c r="C168" s="93">
        <f>I171</f>
        <v>5</v>
      </c>
      <c r="D168" s="94">
        <f t="shared" si="364"/>
        <v>0</v>
      </c>
      <c r="E168" s="102" t="s">
        <v>30</v>
      </c>
      <c r="F168" s="103"/>
      <c r="G168" s="104">
        <v>1</v>
      </c>
      <c r="H168" s="105"/>
      <c r="I168" s="104">
        <v>1</v>
      </c>
      <c r="J168" s="105"/>
      <c r="K168" s="104">
        <v>1</v>
      </c>
      <c r="L168" s="105"/>
      <c r="M168" s="104">
        <v>1</v>
      </c>
      <c r="N168" s="105"/>
      <c r="O168" s="104">
        <v>1</v>
      </c>
      <c r="P168" s="105"/>
      <c r="Q168" s="104">
        <v>1</v>
      </c>
      <c r="R168" s="111">
        <f t="shared" ref="R168:R170" si="365">AVERAGE(G168,I168,K168,M168,O168,Q168)</f>
        <v>1</v>
      </c>
      <c r="S168" s="10"/>
      <c r="T168" s="11"/>
      <c r="U168" s="94"/>
      <c r="V168" s="40"/>
      <c r="W168" s="42"/>
      <c r="X168" s="9"/>
      <c r="Y168" s="9"/>
      <c r="Z168" s="9"/>
      <c r="AA168" s="9"/>
      <c r="AB168" s="42"/>
      <c r="AC168" s="9"/>
      <c r="AD168" s="9"/>
      <c r="AE168" s="9"/>
      <c r="AF168" s="9"/>
      <c r="AG168" s="42"/>
      <c r="AH168" s="9"/>
      <c r="AI168" s="9"/>
      <c r="AJ168" s="9"/>
      <c r="AK168" s="9"/>
      <c r="AL168" s="9"/>
      <c r="AM168" s="9"/>
      <c r="AN168" s="9"/>
      <c r="AO168" s="9"/>
      <c r="AP168" s="9"/>
      <c r="AQ168" s="42"/>
      <c r="AR168" s="9"/>
      <c r="AS168" s="9"/>
      <c r="AT168" s="9"/>
      <c r="AU168" s="9"/>
      <c r="AV168" s="42"/>
      <c r="AW168" s="9"/>
      <c r="AX168" s="9"/>
      <c r="AY168" s="9"/>
      <c r="AZ168" s="99"/>
      <c r="BA168" s="59"/>
      <c r="BE168" s="100"/>
      <c r="BO168" s="101"/>
      <c r="BP168" s="92"/>
      <c r="BQ168" s="21"/>
      <c r="BR168" s="21"/>
      <c r="BS168" s="21"/>
      <c r="BT168" s="68"/>
      <c r="BU168" s="1">
        <v>508</v>
      </c>
    </row>
    <row r="169" spans="1:214" ht="20.25" customHeight="1" thickBot="1" x14ac:dyDescent="0.35">
      <c r="A169" s="1"/>
      <c r="B169" s="21">
        <f>I164</f>
        <v>6</v>
      </c>
      <c r="C169" s="93">
        <f>K171</f>
        <v>6</v>
      </c>
      <c r="D169" s="94">
        <f t="shared" si="364"/>
        <v>0</v>
      </c>
      <c r="E169" s="102" t="s">
        <v>32</v>
      </c>
      <c r="F169" s="103"/>
      <c r="G169" s="104">
        <v>3</v>
      </c>
      <c r="H169" s="105"/>
      <c r="I169" s="104">
        <v>3</v>
      </c>
      <c r="J169" s="105"/>
      <c r="K169" s="104">
        <v>4</v>
      </c>
      <c r="L169" s="105"/>
      <c r="M169" s="104">
        <v>3</v>
      </c>
      <c r="N169" s="105"/>
      <c r="O169" s="104">
        <v>3</v>
      </c>
      <c r="P169" s="105"/>
      <c r="Q169" s="104">
        <v>3</v>
      </c>
      <c r="R169" s="111">
        <f t="shared" si="365"/>
        <v>3.1666666666666665</v>
      </c>
      <c r="S169" s="10"/>
      <c r="T169" s="11"/>
      <c r="U169" s="94"/>
      <c r="V169" s="40"/>
      <c r="W169" s="42"/>
      <c r="X169" s="9"/>
      <c r="Y169" s="9"/>
      <c r="Z169" s="9"/>
      <c r="AA169" s="9"/>
      <c r="AB169" s="42"/>
      <c r="AC169" s="9"/>
      <c r="AD169" s="9"/>
      <c r="AE169" s="9"/>
      <c r="AF169" s="9"/>
      <c r="AG169" s="42"/>
      <c r="AH169" s="9"/>
      <c r="AI169" s="9"/>
      <c r="AJ169" s="9"/>
      <c r="AK169" s="9"/>
      <c r="AL169" s="9"/>
      <c r="AM169" s="9"/>
      <c r="AN169" s="9"/>
      <c r="AO169" s="9"/>
      <c r="AP169" s="9"/>
      <c r="AQ169" s="42"/>
      <c r="AR169" s="9"/>
      <c r="AS169" s="9"/>
      <c r="AT169" s="9"/>
      <c r="AU169" s="9"/>
      <c r="AV169" s="42"/>
      <c r="AW169" s="9"/>
      <c r="AX169" s="9"/>
      <c r="AY169" s="9"/>
      <c r="AZ169" s="99"/>
      <c r="BA169" s="59"/>
      <c r="BE169" s="100"/>
      <c r="BO169" s="101"/>
      <c r="BP169" s="92"/>
      <c r="BQ169" s="21"/>
      <c r="BR169" s="21"/>
      <c r="BS169" s="21"/>
      <c r="BT169" s="68"/>
      <c r="BU169" s="1"/>
    </row>
    <row r="170" spans="1:214" ht="20.25" customHeight="1" thickBot="1" x14ac:dyDescent="0.35">
      <c r="A170" s="1"/>
      <c r="B170" s="21">
        <f>K164</f>
        <v>5</v>
      </c>
      <c r="C170" s="93">
        <f>M171</f>
        <v>5</v>
      </c>
      <c r="D170" s="94">
        <f t="shared" si="364"/>
        <v>0</v>
      </c>
      <c r="E170" s="135" t="s">
        <v>29</v>
      </c>
      <c r="F170" s="136"/>
      <c r="G170" s="137">
        <v>1</v>
      </c>
      <c r="H170" s="138"/>
      <c r="I170" s="137">
        <v>1</v>
      </c>
      <c r="J170" s="138"/>
      <c r="K170" s="137">
        <v>1</v>
      </c>
      <c r="L170" s="138"/>
      <c r="M170" s="137">
        <v>1</v>
      </c>
      <c r="N170" s="138"/>
      <c r="O170" s="137">
        <v>1</v>
      </c>
      <c r="P170" s="138"/>
      <c r="Q170" s="137">
        <v>1</v>
      </c>
      <c r="R170" s="111">
        <f t="shared" si="365"/>
        <v>1</v>
      </c>
      <c r="S170" s="10"/>
      <c r="T170" s="11"/>
      <c r="U170" s="94"/>
      <c r="V170" s="40"/>
      <c r="W170" s="42"/>
      <c r="X170" s="9"/>
      <c r="Y170" s="9"/>
      <c r="Z170" s="9"/>
      <c r="AA170" s="9"/>
      <c r="AB170" s="42"/>
      <c r="AC170" s="9"/>
      <c r="AD170" s="9"/>
      <c r="AE170" s="9"/>
      <c r="AF170" s="9"/>
      <c r="AG170" s="42"/>
      <c r="AH170" s="9"/>
      <c r="AI170" s="9"/>
      <c r="AJ170" s="9"/>
      <c r="AK170" s="9"/>
      <c r="AL170" s="9"/>
      <c r="AM170" s="9"/>
      <c r="AN170" s="9"/>
      <c r="AO170" s="9"/>
      <c r="AP170" s="9"/>
      <c r="AQ170" s="42"/>
      <c r="AR170" s="9"/>
      <c r="AS170" s="9"/>
      <c r="AT170" s="9"/>
      <c r="AU170" s="9"/>
      <c r="AV170" s="42"/>
      <c r="AW170" s="9"/>
      <c r="AX170" s="9"/>
      <c r="AY170" s="9"/>
      <c r="AZ170" s="99"/>
      <c r="BA170" s="59"/>
      <c r="BE170" s="100"/>
      <c r="BO170" s="101"/>
      <c r="BP170" s="92"/>
      <c r="BQ170" s="21"/>
      <c r="BR170" s="21"/>
      <c r="BS170" s="21"/>
      <c r="BT170" s="68"/>
      <c r="BU170" s="1"/>
    </row>
    <row r="171" spans="1:214" ht="20.25" customHeight="1" thickBot="1" x14ac:dyDescent="0.35">
      <c r="A171" s="1">
        <v>509</v>
      </c>
      <c r="B171" s="21">
        <f>M164</f>
        <v>5</v>
      </c>
      <c r="C171" s="93">
        <f>O171</f>
        <v>5</v>
      </c>
      <c r="D171" s="94">
        <f t="shared" si="364"/>
        <v>0</v>
      </c>
      <c r="E171" s="108"/>
      <c r="F171" s="109"/>
      <c r="G171" s="110">
        <f>SUM(G168:G170)</f>
        <v>5</v>
      </c>
      <c r="H171" s="110"/>
      <c r="I171" s="110">
        <f>SUM(I168:I170)</f>
        <v>5</v>
      </c>
      <c r="J171" s="110"/>
      <c r="K171" s="110">
        <f>SUM(K168:K170)</f>
        <v>6</v>
      </c>
      <c r="L171" s="110"/>
      <c r="M171" s="110">
        <f>SUM(M168:M170)</f>
        <v>5</v>
      </c>
      <c r="N171" s="110"/>
      <c r="O171" s="110">
        <f>SUM(O168:O170)</f>
        <v>5</v>
      </c>
      <c r="P171" s="110"/>
      <c r="Q171" s="110">
        <f>SUM(Q168:Q170)</f>
        <v>5</v>
      </c>
      <c r="R171" s="111">
        <f>AVERAGE(G171,I171,K171,M171,O171,Q171)</f>
        <v>5.166666666666667</v>
      </c>
      <c r="S171" s="10"/>
      <c r="T171" s="11"/>
      <c r="U171" s="94"/>
      <c r="V171" s="40"/>
      <c r="W171" s="42"/>
      <c r="X171" s="9"/>
      <c r="Y171" s="9"/>
      <c r="Z171" s="9"/>
      <c r="AA171" s="9"/>
      <c r="AB171" s="42"/>
      <c r="AC171" s="9"/>
      <c r="AD171" s="9"/>
      <c r="AE171" s="9"/>
      <c r="AF171" s="9"/>
      <c r="AG171" s="42"/>
      <c r="AH171" s="9"/>
      <c r="AI171" s="9"/>
      <c r="AJ171" s="9"/>
      <c r="AK171" s="9"/>
      <c r="AL171" s="9"/>
      <c r="AM171" s="9"/>
      <c r="AN171" s="9"/>
      <c r="AO171" s="9"/>
      <c r="AP171" s="9"/>
      <c r="AQ171" s="42"/>
      <c r="AR171" s="9"/>
      <c r="AS171" s="9"/>
      <c r="AT171" s="9"/>
      <c r="AU171" s="9"/>
      <c r="AV171" s="42"/>
      <c r="AW171" s="9"/>
      <c r="AX171" s="9"/>
      <c r="AY171" s="9"/>
      <c r="AZ171" s="99"/>
      <c r="BA171" s="59"/>
      <c r="BE171" s="100"/>
      <c r="BO171" s="101"/>
      <c r="BP171" s="92"/>
      <c r="BQ171" s="21"/>
      <c r="BR171" s="21"/>
      <c r="BS171" s="21"/>
      <c r="BT171" s="68"/>
      <c r="BU171" s="1">
        <v>509</v>
      </c>
    </row>
    <row r="172" spans="1:214" ht="20.25" customHeight="1" x14ac:dyDescent="0.3">
      <c r="A172" s="1">
        <v>510</v>
      </c>
      <c r="B172" s="21">
        <f>O164</f>
        <v>5</v>
      </c>
      <c r="C172" s="93">
        <f>Q171</f>
        <v>5</v>
      </c>
      <c r="D172" s="94">
        <f t="shared" si="364"/>
        <v>0</v>
      </c>
      <c r="E172" s="112"/>
      <c r="F172" s="113"/>
      <c r="G172" s="112"/>
      <c r="H172" s="114"/>
      <c r="I172" s="112"/>
      <c r="J172" s="114"/>
      <c r="K172" s="112"/>
      <c r="L172" s="114"/>
      <c r="M172" s="112"/>
      <c r="N172" s="114"/>
      <c r="O172" s="112"/>
      <c r="P172" s="114"/>
      <c r="Q172" s="112"/>
      <c r="R172" s="115"/>
      <c r="S172" s="10"/>
      <c r="T172" s="128">
        <f>SUM(R168:R170)</f>
        <v>5.1666666666666661</v>
      </c>
      <c r="U172" s="94"/>
      <c r="V172" s="40"/>
      <c r="W172" s="42"/>
      <c r="X172" s="9"/>
      <c r="Y172" s="9"/>
      <c r="Z172" s="9"/>
      <c r="AA172" s="9"/>
      <c r="AB172" s="42"/>
      <c r="AC172" s="9"/>
      <c r="AD172" s="9"/>
      <c r="AE172" s="9"/>
      <c r="AF172" s="9"/>
      <c r="AG172" s="42"/>
      <c r="AH172" s="9"/>
      <c r="AI172" s="9"/>
      <c r="AJ172" s="9"/>
      <c r="AK172" s="9"/>
      <c r="AL172" s="9"/>
      <c r="AM172" s="9"/>
      <c r="AN172" s="9"/>
      <c r="AO172" s="9"/>
      <c r="AP172" s="9"/>
      <c r="AQ172" s="42"/>
      <c r="AR172" s="9"/>
      <c r="AS172" s="9"/>
      <c r="AT172" s="9"/>
      <c r="AU172" s="9"/>
      <c r="AV172" s="42"/>
      <c r="AW172" s="9"/>
      <c r="AX172" s="9"/>
      <c r="AY172" s="9"/>
      <c r="AZ172" s="99"/>
      <c r="BA172" s="59"/>
      <c r="BE172" s="100"/>
      <c r="BO172" s="101"/>
      <c r="BP172" s="92"/>
      <c r="BQ172" s="21"/>
      <c r="BR172" s="21"/>
      <c r="BS172" s="21"/>
      <c r="BT172" s="68"/>
      <c r="BU172" s="1">
        <v>510</v>
      </c>
    </row>
    <row r="173" spans="1:214" ht="20.25" customHeight="1" x14ac:dyDescent="0.4">
      <c r="A173" s="1">
        <v>513</v>
      </c>
      <c r="B173" s="22"/>
      <c r="C173" s="22"/>
      <c r="D173" s="22"/>
      <c r="E173" s="8"/>
      <c r="F173" s="85"/>
      <c r="G173" s="8"/>
      <c r="H173" s="22"/>
      <c r="I173" s="8"/>
      <c r="J173" s="22"/>
      <c r="K173" s="8"/>
      <c r="L173" s="22"/>
      <c r="M173" s="8"/>
      <c r="N173" s="22"/>
      <c r="O173" s="8"/>
      <c r="P173" s="22"/>
      <c r="Q173" s="8"/>
      <c r="R173" s="82"/>
      <c r="S173" s="51"/>
      <c r="T173" s="22"/>
      <c r="U173" s="133"/>
      <c r="V173" s="52"/>
      <c r="W173" s="9"/>
      <c r="X173" s="9"/>
      <c r="Y173" s="9"/>
      <c r="Z173" s="9"/>
      <c r="AA173" s="42"/>
      <c r="AB173" s="9"/>
      <c r="AC173" s="9"/>
      <c r="AD173" s="9"/>
      <c r="AE173" s="9"/>
      <c r="AF173" s="42"/>
      <c r="AG173" s="9"/>
      <c r="AH173" s="9"/>
      <c r="AI173" s="9"/>
      <c r="AJ173" s="9"/>
      <c r="AK173" s="9"/>
      <c r="AL173" s="9"/>
      <c r="AM173" s="9"/>
      <c r="AN173" s="9"/>
      <c r="AO173" s="9"/>
      <c r="AP173" s="42"/>
      <c r="AQ173" s="9"/>
      <c r="AR173" s="9"/>
      <c r="AS173" s="9"/>
      <c r="AT173" s="9"/>
      <c r="AU173" s="42"/>
      <c r="AV173" s="9"/>
      <c r="AW173" s="9"/>
      <c r="AX173" s="9"/>
      <c r="AY173" s="9"/>
      <c r="AZ173" s="58"/>
      <c r="BA173" s="59"/>
      <c r="BG173" s="83"/>
      <c r="BO173" s="86"/>
      <c r="BP173" s="87"/>
      <c r="BQ173" s="21"/>
      <c r="BT173" s="68"/>
      <c r="BU173" s="1">
        <v>513</v>
      </c>
    </row>
    <row r="174" spans="1:214" ht="20.25" customHeight="1" thickBot="1" x14ac:dyDescent="0.45">
      <c r="A174" s="1">
        <v>514</v>
      </c>
      <c r="D174" s="21"/>
      <c r="E174" s="8"/>
      <c r="F174" s="85"/>
      <c r="G174" s="8"/>
      <c r="H174" s="22"/>
      <c r="I174" s="8"/>
      <c r="J174" s="22"/>
      <c r="K174" s="8"/>
      <c r="L174" s="22"/>
      <c r="M174" s="8"/>
      <c r="N174" s="22"/>
      <c r="O174" s="8"/>
      <c r="P174" s="22"/>
      <c r="Q174" s="8"/>
      <c r="R174" s="82"/>
      <c r="S174" s="51"/>
      <c r="T174" s="22"/>
      <c r="U174" s="133"/>
      <c r="V174" s="52"/>
      <c r="W174" s="9"/>
      <c r="X174" s="9"/>
      <c r="Y174" s="9"/>
      <c r="Z174" s="9"/>
      <c r="AA174" s="42"/>
      <c r="AB174" s="9"/>
      <c r="AC174" s="9"/>
      <c r="AD174" s="9"/>
      <c r="AE174" s="9"/>
      <c r="AF174" s="42"/>
      <c r="AG174" s="9"/>
      <c r="AH174" s="9"/>
      <c r="AI174" s="9"/>
      <c r="AJ174" s="9"/>
      <c r="AK174" s="9"/>
      <c r="AL174" s="9"/>
      <c r="AM174" s="9"/>
      <c r="AN174" s="9"/>
      <c r="AO174" s="9"/>
      <c r="AP174" s="42"/>
      <c r="AQ174" s="9"/>
      <c r="AR174" s="9"/>
      <c r="AS174" s="9"/>
      <c r="AT174" s="9"/>
      <c r="AU174" s="42"/>
      <c r="AV174" s="9"/>
      <c r="AW174" s="9"/>
      <c r="AX174" s="9"/>
      <c r="AY174" s="9"/>
      <c r="AZ174" s="58"/>
      <c r="BA174" s="59"/>
      <c r="BG174" s="83"/>
      <c r="BO174" s="86"/>
      <c r="BP174" s="87"/>
      <c r="BQ174" s="21"/>
      <c r="BT174" s="68"/>
      <c r="BU174" s="1">
        <v>514</v>
      </c>
    </row>
    <row r="175" spans="1:214" ht="28.5" customHeight="1" thickBot="1" x14ac:dyDescent="0.45">
      <c r="A175" s="1">
        <v>515</v>
      </c>
      <c r="B175" s="845" t="s">
        <v>60</v>
      </c>
      <c r="C175" s="846"/>
      <c r="D175" s="846" t="s">
        <v>35</v>
      </c>
      <c r="E175" s="846"/>
      <c r="F175" s="846"/>
      <c r="G175" s="846"/>
      <c r="H175" s="846"/>
      <c r="I175" s="846"/>
      <c r="J175" s="846"/>
      <c r="K175" s="846"/>
      <c r="L175" s="846"/>
      <c r="M175" s="846"/>
      <c r="N175" s="846"/>
      <c r="O175" s="846"/>
      <c r="P175" s="846"/>
      <c r="Q175" s="846"/>
      <c r="R175" s="23" t="str">
        <f>$V2</f>
        <v>DEL 08 AL 14 ENERO 24</v>
      </c>
      <c r="S175" s="51"/>
      <c r="T175" s="11"/>
      <c r="U175" s="11"/>
      <c r="V175" s="52"/>
      <c r="W175" s="53"/>
      <c r="X175" s="53"/>
      <c r="Y175" s="53"/>
      <c r="Z175" s="54"/>
      <c r="AA175" s="55"/>
      <c r="AB175" s="53"/>
      <c r="AC175" s="53"/>
      <c r="AD175" s="53"/>
      <c r="AE175" s="54"/>
      <c r="AF175" s="56"/>
      <c r="AG175" s="53"/>
      <c r="AH175" s="53"/>
      <c r="AI175" s="53"/>
      <c r="AJ175" s="54"/>
      <c r="AK175" s="57"/>
      <c r="AL175" s="53"/>
      <c r="AM175" s="53"/>
      <c r="AN175" s="53"/>
      <c r="AO175" s="54"/>
      <c r="AP175" s="56"/>
      <c r="AQ175" s="53"/>
      <c r="AR175" s="53"/>
      <c r="AS175" s="53"/>
      <c r="AT175" s="54"/>
      <c r="AU175" s="56"/>
      <c r="AV175" s="53"/>
      <c r="AW175" s="53"/>
      <c r="AX175" s="53"/>
      <c r="AY175" s="54"/>
      <c r="AZ175" s="58"/>
      <c r="BA175" s="59"/>
      <c r="BG175" s="83"/>
      <c r="BO175" s="116"/>
      <c r="BP175" s="67"/>
      <c r="BQ175" s="21"/>
      <c r="BR175" s="74"/>
      <c r="BS175" s="74"/>
      <c r="BT175" s="68"/>
      <c r="BU175" s="1">
        <v>515</v>
      </c>
    </row>
    <row r="176" spans="1:214" ht="15" thickBot="1" x14ac:dyDescent="0.35">
      <c r="A176" s="1">
        <v>516</v>
      </c>
      <c r="B176" s="117"/>
      <c r="C176" s="118"/>
      <c r="D176" s="119"/>
      <c r="E176" s="120" t="s">
        <v>8</v>
      </c>
      <c r="F176" s="121"/>
      <c r="G176" s="120" t="s">
        <v>9</v>
      </c>
      <c r="H176" s="122"/>
      <c r="I176" s="120" t="s">
        <v>9</v>
      </c>
      <c r="J176" s="122"/>
      <c r="K176" s="120" t="s">
        <v>10</v>
      </c>
      <c r="L176" s="122"/>
      <c r="M176" s="120" t="s">
        <v>11</v>
      </c>
      <c r="N176" s="122"/>
      <c r="O176" s="120" t="s">
        <v>12</v>
      </c>
      <c r="P176" s="120"/>
      <c r="Q176" s="122"/>
      <c r="R176" s="123"/>
      <c r="S176" s="51"/>
      <c r="T176" s="11"/>
      <c r="U176" s="11"/>
      <c r="V176" s="52"/>
      <c r="W176" s="53"/>
      <c r="X176" s="53"/>
      <c r="Y176" s="53"/>
      <c r="Z176" s="54"/>
      <c r="AA176" s="55"/>
      <c r="AB176" s="53"/>
      <c r="AC176" s="53"/>
      <c r="AD176" s="53"/>
      <c r="AE176" s="54"/>
      <c r="AF176" s="56"/>
      <c r="AG176" s="53"/>
      <c r="AH176" s="53"/>
      <c r="AI176" s="53"/>
      <c r="AJ176" s="54"/>
      <c r="AK176" s="57"/>
      <c r="AL176" s="53"/>
      <c r="AM176" s="53"/>
      <c r="AN176" s="53"/>
      <c r="AO176" s="54"/>
      <c r="AP176" s="56"/>
      <c r="AQ176" s="53"/>
      <c r="AR176" s="53"/>
      <c r="AS176" s="53"/>
      <c r="AT176" s="54"/>
      <c r="AU176" s="56"/>
      <c r="AV176" s="53"/>
      <c r="AW176" s="53"/>
      <c r="AX176" s="53"/>
      <c r="AY176" s="54"/>
      <c r="AZ176" s="58"/>
      <c r="BA176" s="59"/>
      <c r="BB176" s="129"/>
      <c r="BC176" s="129"/>
      <c r="BD176" s="129"/>
      <c r="BE176" s="129"/>
      <c r="BF176" s="129"/>
      <c r="BG176" s="129"/>
      <c r="BH176" s="124"/>
      <c r="BJ176" s="19"/>
      <c r="BK176" s="19"/>
      <c r="BL176" s="19"/>
      <c r="BM176" s="19"/>
      <c r="BN176" s="124"/>
      <c r="BO176" s="125"/>
      <c r="BP176" s="126"/>
      <c r="BQ176" s="21"/>
      <c r="BR176" s="68"/>
      <c r="BS176" s="68"/>
      <c r="BT176" s="68"/>
      <c r="BU176" s="1">
        <v>516</v>
      </c>
    </row>
    <row r="177" spans="1:214" ht="15" thickBot="1" x14ac:dyDescent="0.35">
      <c r="A177" s="1"/>
      <c r="B177" s="344">
        <v>122</v>
      </c>
      <c r="C177" s="271">
        <f t="shared" ref="C177:C188" si="366">C176+1</f>
        <v>1</v>
      </c>
      <c r="D177" s="278" t="s">
        <v>111</v>
      </c>
      <c r="E177" s="49">
        <v>1</v>
      </c>
      <c r="F177" s="49"/>
      <c r="G177" s="49">
        <v>1</v>
      </c>
      <c r="H177" s="49"/>
      <c r="I177" s="49">
        <v>1</v>
      </c>
      <c r="J177" s="49"/>
      <c r="K177" s="49">
        <v>1</v>
      </c>
      <c r="L177" s="49"/>
      <c r="M177" s="49">
        <v>1</v>
      </c>
      <c r="N177" s="49"/>
      <c r="O177" s="49">
        <v>1</v>
      </c>
      <c r="P177" s="49"/>
      <c r="Q177" s="49">
        <f>IF((E177+G177+I177+K177+M177+O177)=6,1,0)</f>
        <v>1</v>
      </c>
      <c r="R177" s="50">
        <f>IF(Q177=1,3000,850)</f>
        <v>3000</v>
      </c>
      <c r="S177" s="51">
        <f t="shared" ref="S177:S188" si="367">+BH177</f>
        <v>0</v>
      </c>
      <c r="T177" s="11">
        <f t="shared" ref="T177:T187" si="368">+BA177</f>
        <v>3000.0000000000005</v>
      </c>
      <c r="U177" s="52">
        <f t="shared" ref="U177:U188" si="369">+BP177</f>
        <v>0</v>
      </c>
      <c r="V177" s="52">
        <f t="shared" ref="V177:V188" si="370">+BG177</f>
        <v>0</v>
      </c>
      <c r="W177" s="53">
        <f t="shared" ref="W177:W188" si="371">(R177-86.16)/6*E177</f>
        <v>485.64000000000004</v>
      </c>
      <c r="X177" s="53">
        <f t="shared" ref="X177:X188" si="372">$Y$2*E177*Q177</f>
        <v>7.18</v>
      </c>
      <c r="Y177" s="53">
        <f t="shared" ref="Y177:Y188" si="373">$Y$2*E177*Q177</f>
        <v>7.18</v>
      </c>
      <c r="Z177" s="54">
        <f t="shared" ref="Z177:Z188" si="374">Y177+X177+W177</f>
        <v>500.00000000000006</v>
      </c>
      <c r="AA177" s="55"/>
      <c r="AB177" s="53">
        <f t="shared" ref="AB177:AB188" si="375">(R177-86.16)/6*G177</f>
        <v>485.64000000000004</v>
      </c>
      <c r="AC177" s="53">
        <f t="shared" ref="AC177:AC188" si="376">$Y$2*G177*Q177</f>
        <v>7.18</v>
      </c>
      <c r="AD177" s="53">
        <f t="shared" ref="AD177:AD188" si="377">$Y$2*G177*Q177</f>
        <v>7.18</v>
      </c>
      <c r="AE177" s="54">
        <f t="shared" ref="AE177:AE188" si="378">AD177+AC177+AB177</f>
        <v>500.00000000000006</v>
      </c>
      <c r="AF177" s="56"/>
      <c r="AG177" s="53">
        <f t="shared" ref="AG177:AG188" si="379">(R177-86.16)/6*I177</f>
        <v>485.64000000000004</v>
      </c>
      <c r="AH177" s="53">
        <f t="shared" ref="AH177:AH188" si="380">$Y$2*I177*Q177</f>
        <v>7.18</v>
      </c>
      <c r="AI177" s="53">
        <f t="shared" ref="AI177:AI188" si="381">$Y$2*I177*Q177</f>
        <v>7.18</v>
      </c>
      <c r="AJ177" s="54">
        <f t="shared" ref="AJ177:AJ188" si="382">AI177+AH177+AG177</f>
        <v>500.00000000000006</v>
      </c>
      <c r="AK177" s="57"/>
      <c r="AL177" s="53">
        <f t="shared" ref="AL177:AL188" si="383">(R177-86.16)/6*K177</f>
        <v>485.64000000000004</v>
      </c>
      <c r="AM177" s="53">
        <f t="shared" ref="AM177:AM188" si="384">$Y$2*K177*Q177</f>
        <v>7.18</v>
      </c>
      <c r="AN177" s="53">
        <f t="shared" ref="AN177:AN188" si="385">$Y$2*K177*Q177</f>
        <v>7.18</v>
      </c>
      <c r="AO177" s="54">
        <f t="shared" ref="AO177:AO188" si="386">AN177+AM177+AL177</f>
        <v>500.00000000000006</v>
      </c>
      <c r="AP177" s="56"/>
      <c r="AQ177" s="53">
        <f t="shared" ref="AQ177:AQ188" si="387">(R177-86.16)/6*M177</f>
        <v>485.64000000000004</v>
      </c>
      <c r="AR177" s="53">
        <f t="shared" ref="AR177:AR188" si="388">$Y$2*M177*Q177</f>
        <v>7.18</v>
      </c>
      <c r="AS177" s="53">
        <f t="shared" ref="AS177:AS188" si="389">$Y$2*M177*Q177</f>
        <v>7.18</v>
      </c>
      <c r="AT177" s="54">
        <f t="shared" ref="AT177:AT188" si="390">AS177+AR177+AQ177</f>
        <v>500.00000000000006</v>
      </c>
      <c r="AU177" s="56"/>
      <c r="AV177" s="53">
        <f t="shared" ref="AV177:AV188" si="391">(R177-86.16)/6*O177</f>
        <v>485.64000000000004</v>
      </c>
      <c r="AW177" s="53">
        <f t="shared" ref="AW177:AW188" si="392">$Y$2*O177*Q177</f>
        <v>7.18</v>
      </c>
      <c r="AX177" s="53">
        <f t="shared" ref="AX177:AX188" si="393">$Y$2*O177*Q177</f>
        <v>7.18</v>
      </c>
      <c r="AY177" s="54">
        <f t="shared" ref="AY177:AY188" si="394">AX177+AW177+AV177</f>
        <v>500.00000000000006</v>
      </c>
      <c r="AZ177" s="58">
        <f t="shared" ref="AZ177:AZ188" si="395">+AY177+AT177+AO177++AJ177+AE177+Z177</f>
        <v>3000.0000000000005</v>
      </c>
      <c r="BA177" s="59">
        <f>((AZ177-BB177-BC177-BD177-BE177-BF177)+BI177+BJ177+BK177+BL177+BM177+BN177+BO177)</f>
        <v>3000.0000000000005</v>
      </c>
      <c r="BB177" s="60"/>
      <c r="BC177" s="60"/>
      <c r="BD177" s="60"/>
      <c r="BE177" s="60"/>
      <c r="BF177" s="60"/>
      <c r="BG177" s="131"/>
      <c r="BH177" s="124"/>
      <c r="BJ177" s="19"/>
      <c r="BK177" s="19"/>
      <c r="BL177" s="63"/>
      <c r="BM177" s="19"/>
      <c r="BN177" s="124"/>
      <c r="BO177" s="125"/>
      <c r="BP177" s="126"/>
      <c r="BQ177" s="21"/>
      <c r="BR177" s="68"/>
      <c r="BS177" s="68"/>
      <c r="BT177" s="68"/>
      <c r="BU177" s="1"/>
    </row>
    <row r="178" spans="1:214" ht="17.399999999999999" thickBot="1" x14ac:dyDescent="0.35">
      <c r="A178" s="1"/>
      <c r="B178" s="276">
        <v>108</v>
      </c>
      <c r="C178" s="271">
        <f t="shared" si="366"/>
        <v>2</v>
      </c>
      <c r="D178" s="277" t="s">
        <v>104</v>
      </c>
      <c r="E178" s="49">
        <v>1</v>
      </c>
      <c r="F178" s="49"/>
      <c r="G178" s="49">
        <v>1</v>
      </c>
      <c r="H178" s="49"/>
      <c r="I178" s="49">
        <v>1</v>
      </c>
      <c r="J178" s="49"/>
      <c r="K178" s="49">
        <v>1</v>
      </c>
      <c r="L178" s="49"/>
      <c r="M178" s="49">
        <v>1</v>
      </c>
      <c r="N178" s="49"/>
      <c r="O178" s="49">
        <v>1</v>
      </c>
      <c r="P178" s="49"/>
      <c r="Q178" s="49">
        <f t="shared" ref="Q178:Q188" si="396">IF((E178+G178+I178+K178+M178+O178)=6,1,0)</f>
        <v>1</v>
      </c>
      <c r="R178" s="50">
        <f>IF(Q178=1,1450,850)</f>
        <v>1450</v>
      </c>
      <c r="S178" s="51">
        <f t="shared" si="367"/>
        <v>0</v>
      </c>
      <c r="T178" s="11">
        <f t="shared" si="368"/>
        <v>1899.9999999999995</v>
      </c>
      <c r="U178" s="52">
        <f t="shared" si="369"/>
        <v>0</v>
      </c>
      <c r="V178" s="52" t="str">
        <f t="shared" si="370"/>
        <v>BONO+B ASIS</v>
      </c>
      <c r="W178" s="53">
        <f t="shared" si="371"/>
        <v>227.30666666666664</v>
      </c>
      <c r="X178" s="53">
        <f t="shared" si="372"/>
        <v>7.18</v>
      </c>
      <c r="Y178" s="53">
        <f t="shared" si="373"/>
        <v>7.18</v>
      </c>
      <c r="Z178" s="54">
        <f t="shared" si="374"/>
        <v>241.66666666666663</v>
      </c>
      <c r="AA178" s="55"/>
      <c r="AB178" s="53">
        <f t="shared" si="375"/>
        <v>227.30666666666664</v>
      </c>
      <c r="AC178" s="53">
        <f t="shared" si="376"/>
        <v>7.18</v>
      </c>
      <c r="AD178" s="53">
        <f t="shared" si="377"/>
        <v>7.18</v>
      </c>
      <c r="AE178" s="54">
        <f t="shared" si="378"/>
        <v>241.66666666666663</v>
      </c>
      <c r="AF178" s="56"/>
      <c r="AG178" s="53">
        <f t="shared" si="379"/>
        <v>227.30666666666664</v>
      </c>
      <c r="AH178" s="53">
        <f t="shared" si="380"/>
        <v>7.18</v>
      </c>
      <c r="AI178" s="53">
        <f t="shared" si="381"/>
        <v>7.18</v>
      </c>
      <c r="AJ178" s="54">
        <f t="shared" si="382"/>
        <v>241.66666666666663</v>
      </c>
      <c r="AK178" s="57"/>
      <c r="AL178" s="53">
        <f t="shared" si="383"/>
        <v>227.30666666666664</v>
      </c>
      <c r="AM178" s="53">
        <f t="shared" si="384"/>
        <v>7.18</v>
      </c>
      <c r="AN178" s="53">
        <f t="shared" si="385"/>
        <v>7.18</v>
      </c>
      <c r="AO178" s="54">
        <f t="shared" si="386"/>
        <v>241.66666666666663</v>
      </c>
      <c r="AP178" s="56"/>
      <c r="AQ178" s="53">
        <f t="shared" si="387"/>
        <v>227.30666666666664</v>
      </c>
      <c r="AR178" s="53">
        <f t="shared" si="388"/>
        <v>7.18</v>
      </c>
      <c r="AS178" s="53">
        <f t="shared" si="389"/>
        <v>7.18</v>
      </c>
      <c r="AT178" s="54">
        <f t="shared" si="390"/>
        <v>241.66666666666663</v>
      </c>
      <c r="AU178" s="56"/>
      <c r="AV178" s="53">
        <f t="shared" si="391"/>
        <v>227.30666666666664</v>
      </c>
      <c r="AW178" s="53">
        <f t="shared" si="392"/>
        <v>7.18</v>
      </c>
      <c r="AX178" s="53">
        <f t="shared" si="393"/>
        <v>7.18</v>
      </c>
      <c r="AY178" s="54">
        <f t="shared" si="394"/>
        <v>241.66666666666663</v>
      </c>
      <c r="AZ178" s="58">
        <f t="shared" si="395"/>
        <v>1449.9999999999995</v>
      </c>
      <c r="BA178" s="59">
        <f t="shared" ref="BA178:BA188" si="397">((AZ178-BB178-BC178-BD178-BE178-BF178)+BI178+BJ178+BK178+BL178+BM178+BN178+BO178)</f>
        <v>1899.9999999999995</v>
      </c>
      <c r="BB178" s="60"/>
      <c r="BC178" s="60"/>
      <c r="BD178" s="60"/>
      <c r="BE178" s="60"/>
      <c r="BF178" s="60"/>
      <c r="BG178" s="131" t="s">
        <v>133</v>
      </c>
      <c r="BH178" s="124"/>
      <c r="BI178" s="18">
        <v>200</v>
      </c>
      <c r="BJ178" s="18">
        <v>250</v>
      </c>
      <c r="BK178" s="19"/>
      <c r="BL178" s="63"/>
      <c r="BM178" s="19"/>
      <c r="BN178" s="124"/>
      <c r="BO178" s="125"/>
      <c r="BP178" s="126"/>
      <c r="BQ178" s="21"/>
      <c r="BR178" s="68"/>
      <c r="BS178" s="68"/>
      <c r="BT178" s="68"/>
      <c r="BU178" s="1"/>
    </row>
    <row r="179" spans="1:214" s="69" customFormat="1" ht="15" thickBot="1" x14ac:dyDescent="0.35">
      <c r="A179" s="1"/>
      <c r="B179" s="383">
        <v>97</v>
      </c>
      <c r="C179" s="271">
        <f t="shared" si="366"/>
        <v>3</v>
      </c>
      <c r="D179" s="382" t="s">
        <v>101</v>
      </c>
      <c r="E179" s="49">
        <v>1</v>
      </c>
      <c r="F179" s="49"/>
      <c r="G179" s="49">
        <v>1</v>
      </c>
      <c r="H179" s="49"/>
      <c r="I179" s="49">
        <v>1</v>
      </c>
      <c r="J179" s="49"/>
      <c r="K179" s="49">
        <v>1</v>
      </c>
      <c r="L179" s="49"/>
      <c r="M179" s="49">
        <v>1</v>
      </c>
      <c r="N179" s="49"/>
      <c r="O179" s="49">
        <v>1</v>
      </c>
      <c r="P179" s="49"/>
      <c r="Q179" s="49">
        <f t="shared" si="396"/>
        <v>1</v>
      </c>
      <c r="R179" s="50">
        <f>IF(Q179=1,2500,850)</f>
        <v>2500</v>
      </c>
      <c r="S179" s="51">
        <f t="shared" si="367"/>
        <v>0</v>
      </c>
      <c r="T179" s="11">
        <f t="shared" si="368"/>
        <v>2500</v>
      </c>
      <c r="U179" s="52">
        <f t="shared" si="369"/>
        <v>0</v>
      </c>
      <c r="V179" s="52">
        <f t="shared" si="370"/>
        <v>0</v>
      </c>
      <c r="W179" s="53">
        <f t="shared" si="371"/>
        <v>402.30666666666667</v>
      </c>
      <c r="X179" s="53">
        <f t="shared" si="372"/>
        <v>7.18</v>
      </c>
      <c r="Y179" s="53">
        <f t="shared" si="373"/>
        <v>7.18</v>
      </c>
      <c r="Z179" s="54">
        <f t="shared" si="374"/>
        <v>416.66666666666669</v>
      </c>
      <c r="AA179" s="55"/>
      <c r="AB179" s="53">
        <f t="shared" si="375"/>
        <v>402.30666666666667</v>
      </c>
      <c r="AC179" s="53">
        <f t="shared" si="376"/>
        <v>7.18</v>
      </c>
      <c r="AD179" s="53">
        <f t="shared" si="377"/>
        <v>7.18</v>
      </c>
      <c r="AE179" s="54">
        <f t="shared" si="378"/>
        <v>416.66666666666669</v>
      </c>
      <c r="AF179" s="56"/>
      <c r="AG179" s="53">
        <f t="shared" si="379"/>
        <v>402.30666666666667</v>
      </c>
      <c r="AH179" s="53">
        <f t="shared" si="380"/>
        <v>7.18</v>
      </c>
      <c r="AI179" s="53">
        <f t="shared" si="381"/>
        <v>7.18</v>
      </c>
      <c r="AJ179" s="54">
        <f t="shared" si="382"/>
        <v>416.66666666666669</v>
      </c>
      <c r="AK179" s="57"/>
      <c r="AL179" s="53">
        <f t="shared" si="383"/>
        <v>402.30666666666667</v>
      </c>
      <c r="AM179" s="53">
        <f t="shared" si="384"/>
        <v>7.18</v>
      </c>
      <c r="AN179" s="53">
        <f t="shared" si="385"/>
        <v>7.18</v>
      </c>
      <c r="AO179" s="54">
        <f t="shared" si="386"/>
        <v>416.66666666666669</v>
      </c>
      <c r="AP179" s="56"/>
      <c r="AQ179" s="53">
        <f t="shared" si="387"/>
        <v>402.30666666666667</v>
      </c>
      <c r="AR179" s="53">
        <f t="shared" si="388"/>
        <v>7.18</v>
      </c>
      <c r="AS179" s="53">
        <f t="shared" si="389"/>
        <v>7.18</v>
      </c>
      <c r="AT179" s="54">
        <f t="shared" si="390"/>
        <v>416.66666666666669</v>
      </c>
      <c r="AU179" s="56"/>
      <c r="AV179" s="53">
        <f t="shared" si="391"/>
        <v>402.30666666666667</v>
      </c>
      <c r="AW179" s="53">
        <f t="shared" si="392"/>
        <v>7.18</v>
      </c>
      <c r="AX179" s="53">
        <f t="shared" si="393"/>
        <v>7.18</v>
      </c>
      <c r="AY179" s="54">
        <f t="shared" si="394"/>
        <v>416.66666666666669</v>
      </c>
      <c r="AZ179" s="58">
        <f t="shared" si="395"/>
        <v>2500</v>
      </c>
      <c r="BA179" s="59">
        <f t="shared" si="397"/>
        <v>2500</v>
      </c>
      <c r="BB179" s="60"/>
      <c r="BC179" s="60"/>
      <c r="BD179" s="60"/>
      <c r="BE179" s="60"/>
      <c r="BF179" s="60"/>
      <c r="BG179" s="131"/>
      <c r="BH179" s="17"/>
      <c r="BI179" s="64"/>
      <c r="BJ179" s="18"/>
      <c r="BK179" s="64"/>
      <c r="BL179" s="63"/>
      <c r="BM179" s="65"/>
      <c r="BN179" s="65"/>
      <c r="BO179" s="66"/>
      <c r="BP179" s="67"/>
      <c r="BQ179" s="21"/>
      <c r="BR179" s="48"/>
      <c r="BS179" s="48"/>
      <c r="BT179" s="68"/>
      <c r="BU179" s="1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</row>
    <row r="180" spans="1:214" s="69" customFormat="1" ht="19.5" customHeight="1" thickBot="1" x14ac:dyDescent="0.35">
      <c r="A180" s="1">
        <v>517</v>
      </c>
      <c r="B180" s="272">
        <v>8</v>
      </c>
      <c r="C180" s="271">
        <f t="shared" si="366"/>
        <v>4</v>
      </c>
      <c r="D180" s="142" t="s">
        <v>61</v>
      </c>
      <c r="E180" s="49">
        <v>1</v>
      </c>
      <c r="F180" s="49"/>
      <c r="G180" s="49">
        <v>1</v>
      </c>
      <c r="H180" s="49"/>
      <c r="I180" s="49">
        <v>1</v>
      </c>
      <c r="J180" s="49"/>
      <c r="K180" s="49">
        <v>1</v>
      </c>
      <c r="L180" s="49"/>
      <c r="M180" s="49">
        <v>1</v>
      </c>
      <c r="N180" s="49"/>
      <c r="O180" s="49">
        <v>1</v>
      </c>
      <c r="P180" s="49"/>
      <c r="Q180" s="49">
        <f t="shared" si="396"/>
        <v>1</v>
      </c>
      <c r="R180" s="50">
        <f>IF(Q180=1,1550,850)</f>
        <v>1550</v>
      </c>
      <c r="S180" s="51">
        <f t="shared" si="367"/>
        <v>0</v>
      </c>
      <c r="T180" s="11">
        <f t="shared" si="368"/>
        <v>1899.9999999999998</v>
      </c>
      <c r="U180" s="52">
        <f t="shared" si="369"/>
        <v>0</v>
      </c>
      <c r="V180" s="52" t="str">
        <f t="shared" si="370"/>
        <v>BONO+B ASIS+ DIF BONO</v>
      </c>
      <c r="W180" s="53">
        <f t="shared" si="371"/>
        <v>243.97333333333333</v>
      </c>
      <c r="X180" s="53">
        <f t="shared" si="372"/>
        <v>7.18</v>
      </c>
      <c r="Y180" s="53">
        <f t="shared" si="373"/>
        <v>7.18</v>
      </c>
      <c r="Z180" s="54">
        <f t="shared" si="374"/>
        <v>258.33333333333331</v>
      </c>
      <c r="AA180" s="55"/>
      <c r="AB180" s="53">
        <f t="shared" si="375"/>
        <v>243.97333333333333</v>
      </c>
      <c r="AC180" s="53">
        <f t="shared" si="376"/>
        <v>7.18</v>
      </c>
      <c r="AD180" s="53">
        <f t="shared" si="377"/>
        <v>7.18</v>
      </c>
      <c r="AE180" s="54">
        <f t="shared" si="378"/>
        <v>258.33333333333331</v>
      </c>
      <c r="AF180" s="56"/>
      <c r="AG180" s="53">
        <f t="shared" si="379"/>
        <v>243.97333333333333</v>
      </c>
      <c r="AH180" s="53">
        <f t="shared" si="380"/>
        <v>7.18</v>
      </c>
      <c r="AI180" s="53">
        <f t="shared" si="381"/>
        <v>7.18</v>
      </c>
      <c r="AJ180" s="54">
        <f t="shared" si="382"/>
        <v>258.33333333333331</v>
      </c>
      <c r="AK180" s="57"/>
      <c r="AL180" s="53">
        <f t="shared" si="383"/>
        <v>243.97333333333333</v>
      </c>
      <c r="AM180" s="53">
        <f t="shared" si="384"/>
        <v>7.18</v>
      </c>
      <c r="AN180" s="53">
        <f t="shared" si="385"/>
        <v>7.18</v>
      </c>
      <c r="AO180" s="54">
        <f t="shared" si="386"/>
        <v>258.33333333333331</v>
      </c>
      <c r="AP180" s="56"/>
      <c r="AQ180" s="53">
        <f t="shared" si="387"/>
        <v>243.97333333333333</v>
      </c>
      <c r="AR180" s="53">
        <f t="shared" si="388"/>
        <v>7.18</v>
      </c>
      <c r="AS180" s="53">
        <f t="shared" si="389"/>
        <v>7.18</v>
      </c>
      <c r="AT180" s="54">
        <f t="shared" si="390"/>
        <v>258.33333333333331</v>
      </c>
      <c r="AU180" s="56"/>
      <c r="AV180" s="53">
        <f t="shared" si="391"/>
        <v>243.97333333333333</v>
      </c>
      <c r="AW180" s="53">
        <f t="shared" si="392"/>
        <v>7.18</v>
      </c>
      <c r="AX180" s="53">
        <f t="shared" si="393"/>
        <v>7.18</v>
      </c>
      <c r="AY180" s="54">
        <f t="shared" si="394"/>
        <v>258.33333333333331</v>
      </c>
      <c r="AZ180" s="58">
        <f t="shared" si="395"/>
        <v>1549.9999999999998</v>
      </c>
      <c r="BA180" s="59">
        <f t="shared" si="397"/>
        <v>1899.9999999999998</v>
      </c>
      <c r="BB180" s="60"/>
      <c r="BC180" s="60"/>
      <c r="BD180" s="60"/>
      <c r="BE180" s="60"/>
      <c r="BF180" s="60"/>
      <c r="BG180" s="131" t="s">
        <v>179</v>
      </c>
      <c r="BH180" s="17"/>
      <c r="BI180" s="64">
        <v>100</v>
      </c>
      <c r="BJ180" s="18">
        <v>150</v>
      </c>
      <c r="BK180" s="64"/>
      <c r="BL180" s="63">
        <v>100</v>
      </c>
      <c r="BM180" s="65"/>
      <c r="BN180" s="65"/>
      <c r="BO180" s="66"/>
      <c r="BP180" s="67"/>
      <c r="BQ180" s="21"/>
      <c r="BR180" s="48"/>
      <c r="BS180" s="48"/>
      <c r="BT180" s="68"/>
      <c r="BU180" s="1">
        <v>517</v>
      </c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</row>
    <row r="181" spans="1:214" s="69" customFormat="1" ht="15" thickBot="1" x14ac:dyDescent="0.35">
      <c r="A181" s="1"/>
      <c r="B181" s="359">
        <v>172</v>
      </c>
      <c r="C181" s="271">
        <f t="shared" si="366"/>
        <v>5</v>
      </c>
      <c r="D181" s="343" t="s">
        <v>168</v>
      </c>
      <c r="E181" s="49">
        <v>1</v>
      </c>
      <c r="F181" s="49"/>
      <c r="G181" s="49">
        <v>1</v>
      </c>
      <c r="H181" s="49"/>
      <c r="I181" s="49">
        <v>1</v>
      </c>
      <c r="J181" s="49"/>
      <c r="K181" s="49">
        <v>1</v>
      </c>
      <c r="L181" s="49"/>
      <c r="M181" s="49">
        <v>1</v>
      </c>
      <c r="N181" s="49"/>
      <c r="O181" s="49">
        <v>1</v>
      </c>
      <c r="P181" s="49"/>
      <c r="Q181" s="49">
        <f t="shared" si="396"/>
        <v>1</v>
      </c>
      <c r="R181" s="50">
        <f>IF(Q181=1,4000,850)</f>
        <v>4000</v>
      </c>
      <c r="S181" s="51">
        <f t="shared" si="367"/>
        <v>0</v>
      </c>
      <c r="T181" s="11">
        <f t="shared" ref="T181" si="398">+BA181</f>
        <v>4000.0000000000009</v>
      </c>
      <c r="U181" s="52">
        <f t="shared" ref="U181" si="399">+BP181</f>
        <v>0</v>
      </c>
      <c r="V181" s="52">
        <f t="shared" ref="V181" si="400">+BG181</f>
        <v>0</v>
      </c>
      <c r="W181" s="53">
        <f t="shared" si="371"/>
        <v>652.30666666666673</v>
      </c>
      <c r="X181" s="53">
        <f t="shared" si="372"/>
        <v>7.18</v>
      </c>
      <c r="Y181" s="53">
        <f t="shared" ref="Y181" si="401">$Y$2*E181*Q181</f>
        <v>7.18</v>
      </c>
      <c r="Z181" s="54">
        <f t="shared" ref="Z181" si="402">Y181+X181+W181</f>
        <v>666.66666666666674</v>
      </c>
      <c r="AA181" s="55"/>
      <c r="AB181" s="53">
        <f t="shared" ref="AB181" si="403">(R181-86.16)/6*G181</f>
        <v>652.30666666666673</v>
      </c>
      <c r="AC181" s="53">
        <f t="shared" ref="AC181" si="404">$Y$2*G181*Q181</f>
        <v>7.18</v>
      </c>
      <c r="AD181" s="53">
        <f t="shared" ref="AD181" si="405">$Y$2*G181*Q181</f>
        <v>7.18</v>
      </c>
      <c r="AE181" s="54">
        <f t="shared" ref="AE181" si="406">AD181+AC181+AB181</f>
        <v>666.66666666666674</v>
      </c>
      <c r="AF181" s="56"/>
      <c r="AG181" s="53">
        <f t="shared" ref="AG181" si="407">(R181-86.16)/6*I181</f>
        <v>652.30666666666673</v>
      </c>
      <c r="AH181" s="53">
        <f t="shared" ref="AH181" si="408">$Y$2*I181*Q181</f>
        <v>7.18</v>
      </c>
      <c r="AI181" s="53">
        <f t="shared" ref="AI181" si="409">$Y$2*I181*Q181</f>
        <v>7.18</v>
      </c>
      <c r="AJ181" s="54">
        <f t="shared" ref="AJ181" si="410">AI181+AH181+AG181</f>
        <v>666.66666666666674</v>
      </c>
      <c r="AK181" s="57"/>
      <c r="AL181" s="53">
        <f t="shared" ref="AL181" si="411">(R181-86.16)/6*K181</f>
        <v>652.30666666666673</v>
      </c>
      <c r="AM181" s="53">
        <f t="shared" ref="AM181" si="412">$Y$2*K181*Q181</f>
        <v>7.18</v>
      </c>
      <c r="AN181" s="53">
        <f t="shared" ref="AN181" si="413">$Y$2*K181*Q181</f>
        <v>7.18</v>
      </c>
      <c r="AO181" s="54">
        <f t="shared" ref="AO181" si="414">AN181+AM181+AL181</f>
        <v>666.66666666666674</v>
      </c>
      <c r="AP181" s="56"/>
      <c r="AQ181" s="53">
        <f t="shared" ref="AQ181" si="415">(R181-86.16)/6*M181</f>
        <v>652.30666666666673</v>
      </c>
      <c r="AR181" s="53">
        <f t="shared" ref="AR181" si="416">$Y$2*M181*Q181</f>
        <v>7.18</v>
      </c>
      <c r="AS181" s="53">
        <f t="shared" ref="AS181" si="417">$Y$2*M181*Q181</f>
        <v>7.18</v>
      </c>
      <c r="AT181" s="54">
        <f t="shared" ref="AT181" si="418">AS181+AR181+AQ181</f>
        <v>666.66666666666674</v>
      </c>
      <c r="AU181" s="56"/>
      <c r="AV181" s="53">
        <f t="shared" ref="AV181" si="419">(R181-86.16)/6*O181</f>
        <v>652.30666666666673</v>
      </c>
      <c r="AW181" s="53">
        <f t="shared" ref="AW181" si="420">$Y$2*O181*Q181</f>
        <v>7.18</v>
      </c>
      <c r="AX181" s="53">
        <f t="shared" ref="AX181" si="421">$Y$2*O181*Q181</f>
        <v>7.18</v>
      </c>
      <c r="AY181" s="54">
        <f t="shared" ref="AY181" si="422">AX181+AW181+AV181</f>
        <v>666.66666666666674</v>
      </c>
      <c r="AZ181" s="58">
        <f t="shared" si="395"/>
        <v>4000.0000000000009</v>
      </c>
      <c r="BA181" s="59">
        <f t="shared" si="397"/>
        <v>4000.0000000000009</v>
      </c>
      <c r="BB181" s="60"/>
      <c r="BC181" s="60"/>
      <c r="BD181" s="60"/>
      <c r="BE181" s="60"/>
      <c r="BF181" s="60"/>
      <c r="BG181" s="131"/>
      <c r="BH181" s="17"/>
      <c r="BI181" s="64"/>
      <c r="BJ181" s="18"/>
      <c r="BK181" s="64"/>
      <c r="BL181" s="63"/>
      <c r="BM181" s="65"/>
      <c r="BN181" s="65"/>
      <c r="BO181" s="66"/>
      <c r="BP181" s="67"/>
      <c r="BQ181" s="21"/>
      <c r="BR181" s="48"/>
      <c r="BS181" s="48"/>
      <c r="BT181" s="68"/>
      <c r="BU181" s="1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</row>
    <row r="182" spans="1:214" s="69" customFormat="1" ht="15.75" customHeight="1" thickBot="1" x14ac:dyDescent="0.35">
      <c r="A182" s="1"/>
      <c r="B182" s="374">
        <v>165</v>
      </c>
      <c r="C182" s="271">
        <f t="shared" si="366"/>
        <v>6</v>
      </c>
      <c r="D182" s="268" t="s">
        <v>151</v>
      </c>
      <c r="E182" s="49">
        <v>1</v>
      </c>
      <c r="F182" s="49"/>
      <c r="G182" s="49">
        <v>1</v>
      </c>
      <c r="H182" s="49"/>
      <c r="I182" s="49">
        <v>1</v>
      </c>
      <c r="J182" s="49"/>
      <c r="K182" s="49">
        <v>1</v>
      </c>
      <c r="L182" s="49"/>
      <c r="M182" s="49">
        <v>1</v>
      </c>
      <c r="N182" s="49"/>
      <c r="O182" s="49">
        <v>1</v>
      </c>
      <c r="P182" s="49"/>
      <c r="Q182" s="49">
        <f t="shared" si="396"/>
        <v>1</v>
      </c>
      <c r="R182" s="50">
        <f>IF(Q182=1,7000,850)</f>
        <v>7000</v>
      </c>
      <c r="S182" s="51">
        <f t="shared" ref="S182" si="423">+BH182</f>
        <v>0</v>
      </c>
      <c r="T182" s="11">
        <f t="shared" ref="T182" si="424">+BA182</f>
        <v>6999.9999999999982</v>
      </c>
      <c r="U182" s="52">
        <f t="shared" ref="U182" si="425">+BP182</f>
        <v>0</v>
      </c>
      <c r="V182" s="52">
        <f t="shared" ref="V182" si="426">+BG182</f>
        <v>0</v>
      </c>
      <c r="W182" s="53">
        <f t="shared" si="371"/>
        <v>1152.3066666666666</v>
      </c>
      <c r="X182" s="53">
        <f t="shared" si="372"/>
        <v>7.18</v>
      </c>
      <c r="Y182" s="53">
        <f t="shared" ref="Y182" si="427">$Y$2*E182*Q182</f>
        <v>7.18</v>
      </c>
      <c r="Z182" s="54">
        <f t="shared" ref="Z182" si="428">Y182+X182+W182</f>
        <v>1166.6666666666665</v>
      </c>
      <c r="AA182" s="55"/>
      <c r="AB182" s="53">
        <f t="shared" ref="AB182" si="429">(R182-86.16)/6*G182</f>
        <v>1152.3066666666666</v>
      </c>
      <c r="AC182" s="53">
        <f t="shared" ref="AC182" si="430">$Y$2*G182*Q182</f>
        <v>7.18</v>
      </c>
      <c r="AD182" s="53">
        <f t="shared" ref="AD182" si="431">$Y$2*G182*Q182</f>
        <v>7.18</v>
      </c>
      <c r="AE182" s="54">
        <f t="shared" ref="AE182" si="432">AD182+AC182+AB182</f>
        <v>1166.6666666666665</v>
      </c>
      <c r="AF182" s="56"/>
      <c r="AG182" s="53">
        <f t="shared" ref="AG182" si="433">(R182-86.16)/6*I182</f>
        <v>1152.3066666666666</v>
      </c>
      <c r="AH182" s="53">
        <f t="shared" ref="AH182" si="434">$Y$2*I182*Q182</f>
        <v>7.18</v>
      </c>
      <c r="AI182" s="53">
        <f t="shared" ref="AI182" si="435">$Y$2*I182*Q182</f>
        <v>7.18</v>
      </c>
      <c r="AJ182" s="54">
        <f t="shared" ref="AJ182" si="436">AI182+AH182+AG182</f>
        <v>1166.6666666666665</v>
      </c>
      <c r="AK182" s="57"/>
      <c r="AL182" s="53">
        <f t="shared" ref="AL182" si="437">(R182-86.16)/6*K182</f>
        <v>1152.3066666666666</v>
      </c>
      <c r="AM182" s="53">
        <f t="shared" ref="AM182" si="438">$Y$2*K182*Q182</f>
        <v>7.18</v>
      </c>
      <c r="AN182" s="53">
        <f t="shared" ref="AN182" si="439">$Y$2*K182*Q182</f>
        <v>7.18</v>
      </c>
      <c r="AO182" s="54">
        <f t="shared" ref="AO182" si="440">AN182+AM182+AL182</f>
        <v>1166.6666666666665</v>
      </c>
      <c r="AP182" s="56"/>
      <c r="AQ182" s="53">
        <f t="shared" ref="AQ182" si="441">(R182-86.16)/6*M182</f>
        <v>1152.3066666666666</v>
      </c>
      <c r="AR182" s="53">
        <f t="shared" ref="AR182" si="442">$Y$2*M182*Q182</f>
        <v>7.18</v>
      </c>
      <c r="AS182" s="53">
        <f t="shared" ref="AS182" si="443">$Y$2*M182*Q182</f>
        <v>7.18</v>
      </c>
      <c r="AT182" s="54">
        <f t="shared" ref="AT182" si="444">AS182+AR182+AQ182</f>
        <v>1166.6666666666665</v>
      </c>
      <c r="AU182" s="56"/>
      <c r="AV182" s="53">
        <f t="shared" ref="AV182" si="445">(R182-86.16)/6*O182</f>
        <v>1152.3066666666666</v>
      </c>
      <c r="AW182" s="53">
        <f t="shared" ref="AW182" si="446">$Y$2*O182*Q182</f>
        <v>7.18</v>
      </c>
      <c r="AX182" s="53">
        <f t="shared" ref="AX182" si="447">$Y$2*O182*Q182</f>
        <v>7.18</v>
      </c>
      <c r="AY182" s="54">
        <f t="shared" ref="AY182" si="448">AX182+AW182+AV182</f>
        <v>1166.6666666666665</v>
      </c>
      <c r="AZ182" s="58">
        <f t="shared" si="395"/>
        <v>6999.9999999999982</v>
      </c>
      <c r="BA182" s="59">
        <f t="shared" si="397"/>
        <v>6999.9999999999982</v>
      </c>
      <c r="BB182" s="139"/>
      <c r="BC182" s="139"/>
      <c r="BD182" s="139"/>
      <c r="BE182" s="139"/>
      <c r="BF182" s="139"/>
      <c r="BG182" s="61"/>
      <c r="BH182" s="17"/>
      <c r="BI182" s="18"/>
      <c r="BJ182" s="18"/>
      <c r="BK182" s="18"/>
      <c r="BL182" s="63"/>
      <c r="BM182" s="18"/>
      <c r="BN182" s="18"/>
      <c r="BO182" s="66"/>
      <c r="BP182" s="66"/>
      <c r="BQ182" s="21"/>
      <c r="BR182" s="9"/>
      <c r="BS182" s="68"/>
      <c r="BT182" s="68"/>
      <c r="BU182" s="1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8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8"/>
      <c r="FQ182" s="68"/>
      <c r="FR182" s="68"/>
      <c r="FS182" s="68"/>
      <c r="FT182" s="68"/>
      <c r="FU182" s="68"/>
      <c r="FV182" s="68"/>
      <c r="FW182" s="68"/>
      <c r="FX182" s="68"/>
      <c r="FY182" s="68"/>
      <c r="FZ182" s="68"/>
      <c r="GA182" s="68"/>
      <c r="GB182" s="68"/>
      <c r="GC182" s="68"/>
      <c r="GD182" s="68"/>
      <c r="GE182" s="68"/>
      <c r="GF182" s="68"/>
      <c r="GG182" s="68"/>
      <c r="GH182" s="68"/>
      <c r="GI182" s="68"/>
      <c r="GJ182" s="68"/>
      <c r="GK182" s="68"/>
      <c r="GL182" s="68"/>
      <c r="GM182" s="68"/>
      <c r="GN182" s="68"/>
      <c r="GO182" s="68"/>
      <c r="GP182" s="68"/>
      <c r="GQ182" s="68"/>
      <c r="GR182" s="68"/>
      <c r="GS182" s="68"/>
      <c r="GT182" s="68"/>
      <c r="GU182" s="68"/>
      <c r="GV182" s="68"/>
      <c r="GW182" s="68"/>
      <c r="GX182" s="68"/>
      <c r="GY182" s="68"/>
      <c r="GZ182" s="68"/>
      <c r="HA182" s="68"/>
      <c r="HB182" s="68"/>
      <c r="HC182" s="68"/>
      <c r="HD182" s="68"/>
      <c r="HE182" s="68"/>
      <c r="HF182" s="68"/>
    </row>
    <row r="183" spans="1:214" s="69" customFormat="1" ht="15.75" customHeight="1" thickBot="1" x14ac:dyDescent="0.35">
      <c r="A183" s="1"/>
      <c r="B183" s="270">
        <v>89</v>
      </c>
      <c r="C183" s="271">
        <f t="shared" si="366"/>
        <v>7</v>
      </c>
      <c r="D183" s="259" t="s">
        <v>97</v>
      </c>
      <c r="E183" s="49">
        <v>1</v>
      </c>
      <c r="F183" s="49"/>
      <c r="G183" s="49">
        <v>1</v>
      </c>
      <c r="H183" s="49"/>
      <c r="I183" s="49">
        <v>1</v>
      </c>
      <c r="J183" s="49"/>
      <c r="K183" s="49">
        <v>1</v>
      </c>
      <c r="L183" s="49"/>
      <c r="M183" s="49">
        <v>1</v>
      </c>
      <c r="N183" s="49"/>
      <c r="O183" s="49">
        <v>1</v>
      </c>
      <c r="P183" s="49"/>
      <c r="Q183" s="49">
        <f t="shared" si="396"/>
        <v>1</v>
      </c>
      <c r="R183" s="50">
        <f>IF(Q183=1,1550,850)</f>
        <v>1550</v>
      </c>
      <c r="S183" s="51">
        <f t="shared" si="367"/>
        <v>0</v>
      </c>
      <c r="T183" s="11">
        <f t="shared" si="368"/>
        <v>1649.9999999999998</v>
      </c>
      <c r="U183" s="52">
        <f t="shared" si="369"/>
        <v>0</v>
      </c>
      <c r="V183" s="52" t="str">
        <f t="shared" si="370"/>
        <v>BONO</v>
      </c>
      <c r="W183" s="53">
        <f t="shared" si="371"/>
        <v>243.97333333333333</v>
      </c>
      <c r="X183" s="53">
        <f t="shared" si="372"/>
        <v>7.18</v>
      </c>
      <c r="Y183" s="53">
        <f t="shared" si="373"/>
        <v>7.18</v>
      </c>
      <c r="Z183" s="54">
        <f t="shared" si="374"/>
        <v>258.33333333333331</v>
      </c>
      <c r="AA183" s="55"/>
      <c r="AB183" s="53">
        <f t="shared" si="375"/>
        <v>243.97333333333333</v>
      </c>
      <c r="AC183" s="53">
        <f t="shared" si="376"/>
        <v>7.18</v>
      </c>
      <c r="AD183" s="53">
        <f t="shared" si="377"/>
        <v>7.18</v>
      </c>
      <c r="AE183" s="54">
        <f t="shared" si="378"/>
        <v>258.33333333333331</v>
      </c>
      <c r="AF183" s="56"/>
      <c r="AG183" s="53">
        <f t="shared" si="379"/>
        <v>243.97333333333333</v>
      </c>
      <c r="AH183" s="53">
        <f t="shared" si="380"/>
        <v>7.18</v>
      </c>
      <c r="AI183" s="53">
        <f t="shared" si="381"/>
        <v>7.18</v>
      </c>
      <c r="AJ183" s="54">
        <f t="shared" si="382"/>
        <v>258.33333333333331</v>
      </c>
      <c r="AK183" s="57"/>
      <c r="AL183" s="53">
        <f t="shared" si="383"/>
        <v>243.97333333333333</v>
      </c>
      <c r="AM183" s="53">
        <f t="shared" si="384"/>
        <v>7.18</v>
      </c>
      <c r="AN183" s="53">
        <f t="shared" si="385"/>
        <v>7.18</v>
      </c>
      <c r="AO183" s="54">
        <f t="shared" si="386"/>
        <v>258.33333333333331</v>
      </c>
      <c r="AP183" s="56"/>
      <c r="AQ183" s="53">
        <f t="shared" si="387"/>
        <v>243.97333333333333</v>
      </c>
      <c r="AR183" s="53">
        <f t="shared" si="388"/>
        <v>7.18</v>
      </c>
      <c r="AS183" s="53">
        <f t="shared" si="389"/>
        <v>7.18</v>
      </c>
      <c r="AT183" s="54">
        <f t="shared" si="390"/>
        <v>258.33333333333331</v>
      </c>
      <c r="AU183" s="56"/>
      <c r="AV183" s="53">
        <f t="shared" si="391"/>
        <v>243.97333333333333</v>
      </c>
      <c r="AW183" s="53">
        <f t="shared" si="392"/>
        <v>7.18</v>
      </c>
      <c r="AX183" s="53">
        <f t="shared" si="393"/>
        <v>7.18</v>
      </c>
      <c r="AY183" s="54">
        <f t="shared" si="394"/>
        <v>258.33333333333331</v>
      </c>
      <c r="AZ183" s="58">
        <f t="shared" si="395"/>
        <v>1549.9999999999998</v>
      </c>
      <c r="BA183" s="59">
        <f t="shared" si="397"/>
        <v>1649.9999999999998</v>
      </c>
      <c r="BB183" s="139"/>
      <c r="BC183" s="139"/>
      <c r="BD183" s="139"/>
      <c r="BE183" s="139"/>
      <c r="BF183" s="139"/>
      <c r="BG183" s="61" t="s">
        <v>7</v>
      </c>
      <c r="BH183" s="17"/>
      <c r="BI183" s="18">
        <v>100</v>
      </c>
      <c r="BJ183" s="18"/>
      <c r="BK183" s="18"/>
      <c r="BL183" s="63"/>
      <c r="BM183" s="18"/>
      <c r="BN183" s="18"/>
      <c r="BO183" s="66"/>
      <c r="BP183" s="66"/>
      <c r="BQ183" s="21"/>
      <c r="BR183" s="9"/>
      <c r="BS183" s="68"/>
      <c r="BT183" s="68"/>
      <c r="BU183" s="1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8"/>
      <c r="ER183" s="68"/>
      <c r="ES183" s="68"/>
      <c r="ET183" s="68"/>
      <c r="EU183" s="68"/>
      <c r="EV183" s="68"/>
      <c r="EW183" s="68"/>
      <c r="EX183" s="68"/>
      <c r="EY183" s="68"/>
      <c r="EZ183" s="68"/>
      <c r="FA183" s="68"/>
      <c r="FB183" s="68"/>
      <c r="FC183" s="68"/>
      <c r="FD183" s="68"/>
      <c r="FE183" s="68"/>
      <c r="FF183" s="68"/>
      <c r="FG183" s="68"/>
      <c r="FH183" s="68"/>
      <c r="FI183" s="68"/>
      <c r="FJ183" s="68"/>
      <c r="FK183" s="68"/>
      <c r="FL183" s="68"/>
      <c r="FM183" s="68"/>
      <c r="FN183" s="68"/>
      <c r="FO183" s="68"/>
      <c r="FP183" s="68"/>
      <c r="FQ183" s="68"/>
      <c r="FR183" s="68"/>
      <c r="FS183" s="68"/>
      <c r="FT183" s="68"/>
      <c r="FU183" s="68"/>
      <c r="FV183" s="68"/>
      <c r="FW183" s="68"/>
      <c r="FX183" s="68"/>
      <c r="FY183" s="68"/>
      <c r="FZ183" s="68"/>
      <c r="GA183" s="68"/>
      <c r="GB183" s="68"/>
      <c r="GC183" s="68"/>
      <c r="GD183" s="68"/>
      <c r="GE183" s="68"/>
      <c r="GF183" s="68"/>
      <c r="GG183" s="68"/>
      <c r="GH183" s="68"/>
      <c r="GI183" s="68"/>
      <c r="GJ183" s="68"/>
      <c r="GK183" s="68"/>
      <c r="GL183" s="68"/>
      <c r="GM183" s="68"/>
      <c r="GN183" s="68"/>
      <c r="GO183" s="68"/>
      <c r="GP183" s="68"/>
      <c r="GQ183" s="68"/>
      <c r="GR183" s="68"/>
      <c r="GS183" s="68"/>
      <c r="GT183" s="68"/>
      <c r="GU183" s="68"/>
      <c r="GV183" s="68"/>
      <c r="GW183" s="68"/>
      <c r="GX183" s="68"/>
      <c r="GY183" s="68"/>
      <c r="GZ183" s="68"/>
      <c r="HA183" s="68"/>
      <c r="HB183" s="68"/>
      <c r="HC183" s="68"/>
      <c r="HD183" s="68"/>
      <c r="HE183" s="68"/>
      <c r="HF183" s="68"/>
    </row>
    <row r="184" spans="1:214" s="69" customFormat="1" ht="15.75" customHeight="1" thickBot="1" x14ac:dyDescent="0.35">
      <c r="A184" s="1"/>
      <c r="B184" s="385">
        <v>109</v>
      </c>
      <c r="C184" s="271">
        <f t="shared" si="366"/>
        <v>8</v>
      </c>
      <c r="D184" s="384" t="s">
        <v>105</v>
      </c>
      <c r="E184" s="356">
        <v>0</v>
      </c>
      <c r="F184" s="357" t="s">
        <v>18</v>
      </c>
      <c r="G184" s="356">
        <v>0</v>
      </c>
      <c r="H184" s="357" t="s">
        <v>18</v>
      </c>
      <c r="I184" s="356">
        <v>0</v>
      </c>
      <c r="J184" s="357" t="s">
        <v>18</v>
      </c>
      <c r="K184" s="356">
        <v>0</v>
      </c>
      <c r="L184" s="357" t="s">
        <v>18</v>
      </c>
      <c r="M184" s="356">
        <v>0</v>
      </c>
      <c r="N184" s="357" t="s">
        <v>18</v>
      </c>
      <c r="O184" s="356">
        <v>0</v>
      </c>
      <c r="P184" s="357" t="s">
        <v>18</v>
      </c>
      <c r="Q184" s="49">
        <f t="shared" si="396"/>
        <v>0</v>
      </c>
      <c r="R184" s="50">
        <v>0</v>
      </c>
      <c r="S184" s="51">
        <f t="shared" si="367"/>
        <v>0</v>
      </c>
      <c r="T184" s="11">
        <f t="shared" si="368"/>
        <v>0</v>
      </c>
      <c r="U184" s="52">
        <f t="shared" si="369"/>
        <v>0</v>
      </c>
      <c r="V184" s="52">
        <f t="shared" si="370"/>
        <v>0</v>
      </c>
      <c r="W184" s="53">
        <f t="shared" si="371"/>
        <v>0</v>
      </c>
      <c r="X184" s="53">
        <f t="shared" si="372"/>
        <v>0</v>
      </c>
      <c r="Y184" s="53">
        <f t="shared" si="373"/>
        <v>0</v>
      </c>
      <c r="Z184" s="54">
        <f t="shared" si="374"/>
        <v>0</v>
      </c>
      <c r="AA184" s="55"/>
      <c r="AB184" s="53">
        <f t="shared" si="375"/>
        <v>0</v>
      </c>
      <c r="AC184" s="53">
        <f t="shared" si="376"/>
        <v>0</v>
      </c>
      <c r="AD184" s="53">
        <f t="shared" si="377"/>
        <v>0</v>
      </c>
      <c r="AE184" s="54">
        <f t="shared" si="378"/>
        <v>0</v>
      </c>
      <c r="AF184" s="56"/>
      <c r="AG184" s="53">
        <f t="shared" si="379"/>
        <v>0</v>
      </c>
      <c r="AH184" s="53">
        <f t="shared" si="380"/>
        <v>0</v>
      </c>
      <c r="AI184" s="53">
        <f t="shared" si="381"/>
        <v>0</v>
      </c>
      <c r="AJ184" s="54">
        <f t="shared" si="382"/>
        <v>0</v>
      </c>
      <c r="AK184" s="57"/>
      <c r="AL184" s="53">
        <f t="shared" si="383"/>
        <v>0</v>
      </c>
      <c r="AM184" s="53">
        <f t="shared" si="384"/>
        <v>0</v>
      </c>
      <c r="AN184" s="53">
        <f t="shared" si="385"/>
        <v>0</v>
      </c>
      <c r="AO184" s="54">
        <f t="shared" si="386"/>
        <v>0</v>
      </c>
      <c r="AP184" s="56"/>
      <c r="AQ184" s="53">
        <f t="shared" si="387"/>
        <v>0</v>
      </c>
      <c r="AR184" s="53">
        <f t="shared" si="388"/>
        <v>0</v>
      </c>
      <c r="AS184" s="53">
        <f t="shared" si="389"/>
        <v>0</v>
      </c>
      <c r="AT184" s="54">
        <f t="shared" si="390"/>
        <v>0</v>
      </c>
      <c r="AU184" s="56"/>
      <c r="AV184" s="53">
        <f t="shared" si="391"/>
        <v>0</v>
      </c>
      <c r="AW184" s="53">
        <f t="shared" si="392"/>
        <v>0</v>
      </c>
      <c r="AX184" s="53">
        <f t="shared" si="393"/>
        <v>0</v>
      </c>
      <c r="AY184" s="54">
        <f t="shared" si="394"/>
        <v>0</v>
      </c>
      <c r="AZ184" s="58">
        <f t="shared" si="395"/>
        <v>0</v>
      </c>
      <c r="BA184" s="59">
        <f t="shared" si="397"/>
        <v>0</v>
      </c>
      <c r="BB184" s="60"/>
      <c r="BC184" s="60"/>
      <c r="BD184" s="60"/>
      <c r="BE184" s="60"/>
      <c r="BF184" s="60"/>
      <c r="BG184" s="131"/>
      <c r="BH184" s="62"/>
      <c r="BI184" s="63"/>
      <c r="BJ184" s="63"/>
      <c r="BK184" s="64"/>
      <c r="BL184" s="63"/>
      <c r="BM184" s="65"/>
      <c r="BN184" s="65"/>
      <c r="BO184" s="66"/>
      <c r="BP184" s="67"/>
      <c r="BQ184" s="21"/>
      <c r="BR184" s="48"/>
      <c r="BS184" s="48"/>
      <c r="BT184" s="68"/>
      <c r="BU184" s="1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</row>
    <row r="185" spans="1:214" s="69" customFormat="1" ht="15.75" customHeight="1" thickBot="1" x14ac:dyDescent="0.35">
      <c r="A185" s="1"/>
      <c r="B185" s="374">
        <v>178</v>
      </c>
      <c r="C185" s="271"/>
      <c r="D185" s="268" t="s">
        <v>158</v>
      </c>
      <c r="E185" s="348">
        <v>0</v>
      </c>
      <c r="F185" s="348"/>
      <c r="G185" s="348">
        <v>0</v>
      </c>
      <c r="H185" s="348"/>
      <c r="I185" s="49">
        <v>1</v>
      </c>
      <c r="J185" s="372" t="s">
        <v>149</v>
      </c>
      <c r="K185" s="49">
        <v>1</v>
      </c>
      <c r="L185" s="49"/>
      <c r="M185" s="49">
        <v>1</v>
      </c>
      <c r="N185" s="49"/>
      <c r="O185" s="49">
        <v>1</v>
      </c>
      <c r="P185" s="49"/>
      <c r="Q185" s="49">
        <f t="shared" si="396"/>
        <v>0</v>
      </c>
      <c r="R185" s="50">
        <f>IF(Q185=1,2300,850)</f>
        <v>850</v>
      </c>
      <c r="S185" s="51">
        <f t="shared" ref="S185" si="449">+BH185</f>
        <v>0</v>
      </c>
      <c r="T185" s="11">
        <f>+BA185+BL185</f>
        <v>5079.996666666666</v>
      </c>
      <c r="U185" s="52">
        <f t="shared" ref="U185" si="450">+BP185</f>
        <v>0</v>
      </c>
      <c r="V185" s="52">
        <f t="shared" ref="V185" si="451">+BG185</f>
        <v>0</v>
      </c>
      <c r="W185" s="53">
        <f t="shared" si="371"/>
        <v>0</v>
      </c>
      <c r="X185" s="53">
        <f t="shared" si="372"/>
        <v>0</v>
      </c>
      <c r="Y185" s="53">
        <f t="shared" ref="Y185" si="452">$Y$2*E185*Q185</f>
        <v>0</v>
      </c>
      <c r="Z185" s="54">
        <f t="shared" ref="Z185" si="453">Y185+X185+W185</f>
        <v>0</v>
      </c>
      <c r="AA185" s="55"/>
      <c r="AB185" s="53">
        <f t="shared" ref="AB185" si="454">(R185-86.16)/6*G185</f>
        <v>0</v>
      </c>
      <c r="AC185" s="53">
        <f t="shared" ref="AC185" si="455">$Y$2*G185*Q185</f>
        <v>0</v>
      </c>
      <c r="AD185" s="53">
        <f t="shared" ref="AD185" si="456">$Y$2*G185*Q185</f>
        <v>0</v>
      </c>
      <c r="AE185" s="54">
        <f t="shared" ref="AE185" si="457">AD185+AC185+AB185</f>
        <v>0</v>
      </c>
      <c r="AF185" s="56"/>
      <c r="AG185" s="53">
        <f t="shared" ref="AG185" si="458">(R185-86.16)/6*I185</f>
        <v>127.30666666666667</v>
      </c>
      <c r="AH185" s="53">
        <f t="shared" ref="AH185" si="459">$Y$2*I185*Q185</f>
        <v>0</v>
      </c>
      <c r="AI185" s="53">
        <f t="shared" ref="AI185" si="460">$Y$2*I185*Q185</f>
        <v>0</v>
      </c>
      <c r="AJ185" s="54">
        <f t="shared" ref="AJ185" si="461">AI185+AH185+AG185</f>
        <v>127.30666666666667</v>
      </c>
      <c r="AK185" s="57"/>
      <c r="AL185" s="53">
        <f t="shared" ref="AL185" si="462">(R185-86.16)/6*K185</f>
        <v>127.30666666666667</v>
      </c>
      <c r="AM185" s="53">
        <f t="shared" ref="AM185" si="463">$Y$2*K185*Q185</f>
        <v>0</v>
      </c>
      <c r="AN185" s="53">
        <f t="shared" ref="AN185" si="464">$Y$2*K185*Q185</f>
        <v>0</v>
      </c>
      <c r="AO185" s="54">
        <f t="shared" ref="AO185" si="465">AN185+AM185+AL185</f>
        <v>127.30666666666667</v>
      </c>
      <c r="AP185" s="56"/>
      <c r="AQ185" s="53">
        <f t="shared" ref="AQ185" si="466">(R185-86.16)/6*M185</f>
        <v>127.30666666666667</v>
      </c>
      <c r="AR185" s="53">
        <f t="shared" ref="AR185" si="467">$Y$2*M185*Q185</f>
        <v>0</v>
      </c>
      <c r="AS185" s="53">
        <f t="shared" ref="AS185" si="468">$Y$2*M185*Q185</f>
        <v>0</v>
      </c>
      <c r="AT185" s="54">
        <f t="shared" ref="AT185" si="469">AS185+AR185+AQ185</f>
        <v>127.30666666666667</v>
      </c>
      <c r="AU185" s="56"/>
      <c r="AV185" s="53">
        <f t="shared" ref="AV185" si="470">(R185-86.16)/6*O185</f>
        <v>127.30666666666667</v>
      </c>
      <c r="AW185" s="53">
        <f t="shared" ref="AW185" si="471">$Y$2*O185*Q185</f>
        <v>0</v>
      </c>
      <c r="AX185" s="53">
        <f t="shared" ref="AX185" si="472">$Y$2*O185*Q185</f>
        <v>0</v>
      </c>
      <c r="AY185" s="54">
        <f t="shared" ref="AY185" si="473">AX185+AW185+AV185</f>
        <v>127.30666666666667</v>
      </c>
      <c r="AZ185" s="58">
        <f t="shared" si="395"/>
        <v>509.22666666666669</v>
      </c>
      <c r="BA185" s="59">
        <f>((AZ185-BB185-BC185-BD185-BE185-BF185)+BI185+BJ185+BK185+BL185+BM185+BN185+BO185)</f>
        <v>3229.9966666666664</v>
      </c>
      <c r="BB185" s="60"/>
      <c r="BC185" s="60"/>
      <c r="BD185" s="60"/>
      <c r="BE185" s="60"/>
      <c r="BF185" s="60"/>
      <c r="BG185" s="131"/>
      <c r="BH185" s="62"/>
      <c r="BI185" s="63"/>
      <c r="BJ185" s="63"/>
      <c r="BK185" s="64"/>
      <c r="BL185" s="63">
        <v>1850</v>
      </c>
      <c r="BM185" s="65"/>
      <c r="BN185" s="65">
        <v>870.77</v>
      </c>
      <c r="BO185" s="66"/>
      <c r="BP185" s="67"/>
      <c r="BQ185" s="21"/>
      <c r="BR185" s="48"/>
      <c r="BS185" s="48"/>
      <c r="BT185" s="68"/>
      <c r="BU185" s="1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</row>
    <row r="186" spans="1:214" s="69" customFormat="1" ht="15.75" customHeight="1" thickBot="1" x14ac:dyDescent="0.35">
      <c r="A186" s="1">
        <v>468</v>
      </c>
      <c r="B186" s="385">
        <v>34</v>
      </c>
      <c r="C186" s="271">
        <f>C184+1</f>
        <v>9</v>
      </c>
      <c r="D186" s="384" t="s">
        <v>62</v>
      </c>
      <c r="E186" s="49">
        <v>1</v>
      </c>
      <c r="F186" s="49"/>
      <c r="G186" s="49">
        <v>1</v>
      </c>
      <c r="H186" s="49"/>
      <c r="I186" s="362">
        <v>1</v>
      </c>
      <c r="J186" s="363" t="s">
        <v>165</v>
      </c>
      <c r="K186" s="362">
        <v>1</v>
      </c>
      <c r="L186" s="363" t="s">
        <v>165</v>
      </c>
      <c r="M186" s="362">
        <v>1</v>
      </c>
      <c r="N186" s="363" t="s">
        <v>165</v>
      </c>
      <c r="O186" s="362">
        <v>1</v>
      </c>
      <c r="P186" s="363" t="s">
        <v>165</v>
      </c>
      <c r="Q186" s="49">
        <f t="shared" si="396"/>
        <v>1</v>
      </c>
      <c r="R186" s="50">
        <f>IF(Q186=1,3000,850)</f>
        <v>3000</v>
      </c>
      <c r="S186" s="51">
        <f t="shared" si="367"/>
        <v>0</v>
      </c>
      <c r="T186" s="11">
        <f t="shared" si="368"/>
        <v>3000.0000000000005</v>
      </c>
      <c r="U186" s="52">
        <f t="shared" si="369"/>
        <v>0</v>
      </c>
      <c r="V186" s="52">
        <f t="shared" si="370"/>
        <v>0</v>
      </c>
      <c r="W186" s="53">
        <f t="shared" si="371"/>
        <v>485.64000000000004</v>
      </c>
      <c r="X186" s="53">
        <f t="shared" si="372"/>
        <v>7.18</v>
      </c>
      <c r="Y186" s="53">
        <f t="shared" si="373"/>
        <v>7.18</v>
      </c>
      <c r="Z186" s="54">
        <f t="shared" si="374"/>
        <v>500.00000000000006</v>
      </c>
      <c r="AA186" s="55"/>
      <c r="AB186" s="53">
        <f t="shared" si="375"/>
        <v>485.64000000000004</v>
      </c>
      <c r="AC186" s="53">
        <f t="shared" si="376"/>
        <v>7.18</v>
      </c>
      <c r="AD186" s="53">
        <f t="shared" si="377"/>
        <v>7.18</v>
      </c>
      <c r="AE186" s="54">
        <f t="shared" si="378"/>
        <v>500.00000000000006</v>
      </c>
      <c r="AF186" s="56"/>
      <c r="AG186" s="53">
        <f t="shared" si="379"/>
        <v>485.64000000000004</v>
      </c>
      <c r="AH186" s="53">
        <f t="shared" si="380"/>
        <v>7.18</v>
      </c>
      <c r="AI186" s="53">
        <f t="shared" si="381"/>
        <v>7.18</v>
      </c>
      <c r="AJ186" s="54">
        <f t="shared" si="382"/>
        <v>500.00000000000006</v>
      </c>
      <c r="AK186" s="57"/>
      <c r="AL186" s="53">
        <f t="shared" si="383"/>
        <v>485.64000000000004</v>
      </c>
      <c r="AM186" s="53">
        <f t="shared" si="384"/>
        <v>7.18</v>
      </c>
      <c r="AN186" s="53">
        <f t="shared" si="385"/>
        <v>7.18</v>
      </c>
      <c r="AO186" s="54">
        <f t="shared" si="386"/>
        <v>500.00000000000006</v>
      </c>
      <c r="AP186" s="56"/>
      <c r="AQ186" s="53">
        <f t="shared" si="387"/>
        <v>485.64000000000004</v>
      </c>
      <c r="AR186" s="53">
        <f t="shared" si="388"/>
        <v>7.18</v>
      </c>
      <c r="AS186" s="53">
        <f t="shared" si="389"/>
        <v>7.18</v>
      </c>
      <c r="AT186" s="54">
        <f t="shared" si="390"/>
        <v>500.00000000000006</v>
      </c>
      <c r="AU186" s="56"/>
      <c r="AV186" s="53">
        <f t="shared" si="391"/>
        <v>485.64000000000004</v>
      </c>
      <c r="AW186" s="53">
        <f t="shared" si="392"/>
        <v>7.18</v>
      </c>
      <c r="AX186" s="53">
        <f t="shared" si="393"/>
        <v>7.18</v>
      </c>
      <c r="AY186" s="54">
        <f t="shared" si="394"/>
        <v>500.00000000000006</v>
      </c>
      <c r="AZ186" s="58">
        <f t="shared" si="395"/>
        <v>3000.0000000000005</v>
      </c>
      <c r="BA186" s="59">
        <f t="shared" si="397"/>
        <v>3000.0000000000005</v>
      </c>
      <c r="BB186" s="60"/>
      <c r="BC186" s="60"/>
      <c r="BD186" s="60"/>
      <c r="BE186" s="60"/>
      <c r="BF186" s="60"/>
      <c r="BG186" s="61"/>
      <c r="BH186" s="62"/>
      <c r="BI186" s="63"/>
      <c r="BJ186" s="63"/>
      <c r="BK186" s="64"/>
      <c r="BL186" s="63"/>
      <c r="BM186" s="65"/>
      <c r="BN186" s="65"/>
      <c r="BO186" s="66"/>
      <c r="BP186" s="67"/>
      <c r="BQ186" s="21"/>
      <c r="BR186" s="48"/>
      <c r="BS186" s="48"/>
      <c r="BT186" s="68"/>
      <c r="BU186" s="1">
        <v>468</v>
      </c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</row>
    <row r="187" spans="1:214" s="69" customFormat="1" ht="15.75" customHeight="1" thickBot="1" x14ac:dyDescent="0.35">
      <c r="A187" s="1">
        <v>519</v>
      </c>
      <c r="B187" s="388">
        <v>35</v>
      </c>
      <c r="C187" s="271">
        <f t="shared" si="366"/>
        <v>10</v>
      </c>
      <c r="D187" s="387" t="s">
        <v>63</v>
      </c>
      <c r="E187" s="49">
        <v>1</v>
      </c>
      <c r="F187" s="49"/>
      <c r="G187" s="49">
        <v>1</v>
      </c>
      <c r="H187" s="49"/>
      <c r="I187" s="49">
        <v>1</v>
      </c>
      <c r="J187" s="49"/>
      <c r="K187" s="49">
        <v>1</v>
      </c>
      <c r="L187" s="49"/>
      <c r="M187" s="49">
        <v>1</v>
      </c>
      <c r="N187" s="49"/>
      <c r="O187" s="49">
        <v>1</v>
      </c>
      <c r="P187" s="49"/>
      <c r="Q187" s="49">
        <f t="shared" si="396"/>
        <v>1</v>
      </c>
      <c r="R187" s="50">
        <f>IF(Q187=1,2100,850)</f>
        <v>2100</v>
      </c>
      <c r="S187" s="51">
        <f t="shared" si="367"/>
        <v>0</v>
      </c>
      <c r="T187" s="11">
        <f t="shared" si="368"/>
        <v>2450</v>
      </c>
      <c r="U187" s="52">
        <f t="shared" si="369"/>
        <v>0</v>
      </c>
      <c r="V187" s="52">
        <f t="shared" si="370"/>
        <v>0</v>
      </c>
      <c r="W187" s="53">
        <f t="shared" si="371"/>
        <v>335.64</v>
      </c>
      <c r="X187" s="53">
        <f t="shared" si="372"/>
        <v>7.18</v>
      </c>
      <c r="Y187" s="53">
        <f t="shared" si="373"/>
        <v>7.18</v>
      </c>
      <c r="Z187" s="54">
        <f t="shared" si="374"/>
        <v>350</v>
      </c>
      <c r="AA187" s="55"/>
      <c r="AB187" s="53">
        <f t="shared" si="375"/>
        <v>335.64</v>
      </c>
      <c r="AC187" s="53">
        <f t="shared" si="376"/>
        <v>7.18</v>
      </c>
      <c r="AD187" s="53">
        <f t="shared" si="377"/>
        <v>7.18</v>
      </c>
      <c r="AE187" s="54">
        <f t="shared" si="378"/>
        <v>350</v>
      </c>
      <c r="AF187" s="56"/>
      <c r="AG187" s="53">
        <f t="shared" si="379"/>
        <v>335.64</v>
      </c>
      <c r="AH187" s="53">
        <f t="shared" si="380"/>
        <v>7.18</v>
      </c>
      <c r="AI187" s="53">
        <f t="shared" si="381"/>
        <v>7.18</v>
      </c>
      <c r="AJ187" s="54">
        <f t="shared" si="382"/>
        <v>350</v>
      </c>
      <c r="AK187" s="57"/>
      <c r="AL187" s="53">
        <f t="shared" si="383"/>
        <v>335.64</v>
      </c>
      <c r="AM187" s="53">
        <f t="shared" si="384"/>
        <v>7.18</v>
      </c>
      <c r="AN187" s="53">
        <f t="shared" si="385"/>
        <v>7.18</v>
      </c>
      <c r="AO187" s="54">
        <f t="shared" si="386"/>
        <v>350</v>
      </c>
      <c r="AP187" s="56"/>
      <c r="AQ187" s="53">
        <f t="shared" si="387"/>
        <v>335.64</v>
      </c>
      <c r="AR187" s="53">
        <f t="shared" si="388"/>
        <v>7.18</v>
      </c>
      <c r="AS187" s="53">
        <f t="shared" si="389"/>
        <v>7.18</v>
      </c>
      <c r="AT187" s="54">
        <f t="shared" si="390"/>
        <v>350</v>
      </c>
      <c r="AU187" s="56"/>
      <c r="AV187" s="53">
        <f t="shared" si="391"/>
        <v>335.64</v>
      </c>
      <c r="AW187" s="53">
        <f t="shared" si="392"/>
        <v>7.18</v>
      </c>
      <c r="AX187" s="53">
        <f t="shared" si="393"/>
        <v>7.18</v>
      </c>
      <c r="AY187" s="54">
        <f t="shared" si="394"/>
        <v>350</v>
      </c>
      <c r="AZ187" s="58">
        <f t="shared" si="395"/>
        <v>2100</v>
      </c>
      <c r="BA187" s="59">
        <f t="shared" si="397"/>
        <v>2450</v>
      </c>
      <c r="BB187" s="60"/>
      <c r="BC187" s="60"/>
      <c r="BD187" s="60"/>
      <c r="BE187" s="60"/>
      <c r="BF187" s="60"/>
      <c r="BG187" s="144"/>
      <c r="BH187" s="17"/>
      <c r="BI187" s="64"/>
      <c r="BJ187" s="18"/>
      <c r="BK187" s="65"/>
      <c r="BL187" s="63">
        <v>350</v>
      </c>
      <c r="BM187" s="65"/>
      <c r="BN187" s="65"/>
      <c r="BO187" s="66"/>
      <c r="BP187" s="67"/>
      <c r="BQ187" s="21"/>
      <c r="BR187" s="48"/>
      <c r="BS187" s="48"/>
      <c r="BT187" s="68"/>
      <c r="BU187" s="1">
        <v>519</v>
      </c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</row>
    <row r="188" spans="1:214" ht="15.75" customHeight="1" thickBot="1" x14ac:dyDescent="0.35">
      <c r="A188" s="1">
        <v>520</v>
      </c>
      <c r="B188" s="338">
        <v>41</v>
      </c>
      <c r="C188" s="271">
        <f t="shared" si="366"/>
        <v>11</v>
      </c>
      <c r="D188" s="268" t="s">
        <v>64</v>
      </c>
      <c r="E188" s="49">
        <v>1</v>
      </c>
      <c r="F188" s="372"/>
      <c r="G188" s="49">
        <v>1</v>
      </c>
      <c r="H188" s="372"/>
      <c r="I188" s="49">
        <v>1</v>
      </c>
      <c r="J188" s="372"/>
      <c r="K188" s="49">
        <v>1</v>
      </c>
      <c r="L188" s="372"/>
      <c r="M188" s="49">
        <v>1</v>
      </c>
      <c r="N188" s="372"/>
      <c r="O188" s="49">
        <v>1</v>
      </c>
      <c r="P188" s="372"/>
      <c r="Q188" s="49">
        <f t="shared" si="396"/>
        <v>1</v>
      </c>
      <c r="R188" s="50">
        <v>3000</v>
      </c>
      <c r="S188" s="51">
        <f t="shared" si="367"/>
        <v>0</v>
      </c>
      <c r="T188" s="11">
        <v>3000</v>
      </c>
      <c r="U188" s="52">
        <f t="shared" si="369"/>
        <v>0</v>
      </c>
      <c r="V188" s="52">
        <f t="shared" si="370"/>
        <v>0</v>
      </c>
      <c r="W188" s="53">
        <f t="shared" si="371"/>
        <v>485.64000000000004</v>
      </c>
      <c r="X188" s="53">
        <f t="shared" si="372"/>
        <v>7.18</v>
      </c>
      <c r="Y188" s="53">
        <f t="shared" si="373"/>
        <v>7.18</v>
      </c>
      <c r="Z188" s="54">
        <f t="shared" si="374"/>
        <v>500.00000000000006</v>
      </c>
      <c r="AA188" s="55"/>
      <c r="AB188" s="53">
        <f t="shared" si="375"/>
        <v>485.64000000000004</v>
      </c>
      <c r="AC188" s="53">
        <f t="shared" si="376"/>
        <v>7.18</v>
      </c>
      <c r="AD188" s="53">
        <f t="shared" si="377"/>
        <v>7.18</v>
      </c>
      <c r="AE188" s="54">
        <f t="shared" si="378"/>
        <v>500.00000000000006</v>
      </c>
      <c r="AF188" s="56"/>
      <c r="AG188" s="53">
        <f t="shared" si="379"/>
        <v>485.64000000000004</v>
      </c>
      <c r="AH188" s="53">
        <f t="shared" si="380"/>
        <v>7.18</v>
      </c>
      <c r="AI188" s="53">
        <f t="shared" si="381"/>
        <v>7.18</v>
      </c>
      <c r="AJ188" s="54">
        <f t="shared" si="382"/>
        <v>500.00000000000006</v>
      </c>
      <c r="AK188" s="57"/>
      <c r="AL188" s="53">
        <f t="shared" si="383"/>
        <v>485.64000000000004</v>
      </c>
      <c r="AM188" s="53">
        <f t="shared" si="384"/>
        <v>7.18</v>
      </c>
      <c r="AN188" s="53">
        <f t="shared" si="385"/>
        <v>7.18</v>
      </c>
      <c r="AO188" s="54">
        <f t="shared" si="386"/>
        <v>500.00000000000006</v>
      </c>
      <c r="AP188" s="56"/>
      <c r="AQ188" s="53">
        <f t="shared" si="387"/>
        <v>485.64000000000004</v>
      </c>
      <c r="AR188" s="53">
        <f t="shared" si="388"/>
        <v>7.18</v>
      </c>
      <c r="AS188" s="53">
        <f t="shared" si="389"/>
        <v>7.18</v>
      </c>
      <c r="AT188" s="54">
        <f t="shared" si="390"/>
        <v>500.00000000000006</v>
      </c>
      <c r="AU188" s="56"/>
      <c r="AV188" s="53">
        <f t="shared" si="391"/>
        <v>485.64000000000004</v>
      </c>
      <c r="AW188" s="53">
        <f t="shared" si="392"/>
        <v>7.18</v>
      </c>
      <c r="AX188" s="53">
        <f t="shared" si="393"/>
        <v>7.18</v>
      </c>
      <c r="AY188" s="54">
        <f t="shared" si="394"/>
        <v>500.00000000000006</v>
      </c>
      <c r="AZ188" s="58">
        <f t="shared" si="395"/>
        <v>3000.0000000000005</v>
      </c>
      <c r="BA188" s="59">
        <f t="shared" si="397"/>
        <v>3000.0000000000005</v>
      </c>
      <c r="BB188" s="60"/>
      <c r="BC188" s="60"/>
      <c r="BD188" s="60"/>
      <c r="BE188" s="60"/>
      <c r="BF188" s="60"/>
      <c r="BG188" s="131"/>
      <c r="BI188" s="64"/>
      <c r="BL188" s="63"/>
      <c r="BM188" s="65"/>
      <c r="BO188" s="66"/>
      <c r="BP188" s="67"/>
      <c r="BQ188" s="21"/>
      <c r="BR188" s="48"/>
      <c r="BS188" s="48"/>
      <c r="BT188" s="68"/>
      <c r="BU188" s="1"/>
      <c r="GG188" s="69"/>
      <c r="GH188" s="69"/>
      <c r="GI188" s="69"/>
      <c r="GJ188" s="69"/>
      <c r="GK188" s="69"/>
      <c r="GL188" s="69"/>
      <c r="GM188" s="69"/>
      <c r="GN188" s="69"/>
      <c r="GO188" s="69"/>
      <c r="GP188" s="69"/>
      <c r="GQ188" s="69"/>
      <c r="GR188" s="69"/>
      <c r="GS188" s="69"/>
      <c r="GT188" s="69"/>
      <c r="GU188" s="69"/>
      <c r="GV188" s="69"/>
      <c r="GW188" s="69"/>
      <c r="GX188" s="69"/>
      <c r="GY188" s="69"/>
      <c r="GZ188" s="69"/>
      <c r="HA188" s="69"/>
      <c r="HB188" s="69"/>
      <c r="HC188" s="69"/>
      <c r="HD188" s="69"/>
      <c r="HE188" s="69"/>
      <c r="HF188" s="69"/>
    </row>
    <row r="189" spans="1:214" ht="15.75" customHeight="1" thickBot="1" x14ac:dyDescent="0.35">
      <c r="A189" s="1">
        <v>524</v>
      </c>
      <c r="B189" s="78"/>
      <c r="C189" s="79"/>
      <c r="D189" s="21"/>
      <c r="E189" s="80">
        <f>SUM(E177:E188)</f>
        <v>10</v>
      </c>
      <c r="F189" s="80"/>
      <c r="G189" s="80">
        <f>SUM(G177:G188)</f>
        <v>10</v>
      </c>
      <c r="H189" s="80"/>
      <c r="I189" s="80">
        <f>SUM(I177:I188)</f>
        <v>11</v>
      </c>
      <c r="J189" s="80"/>
      <c r="K189" s="80">
        <f>SUM(K177:K188)</f>
        <v>11</v>
      </c>
      <c r="L189" s="80"/>
      <c r="M189" s="80">
        <f>SUM(M177:M188)</f>
        <v>11</v>
      </c>
      <c r="N189" s="80"/>
      <c r="O189" s="80">
        <f>SUM(O177:O188)</f>
        <v>11</v>
      </c>
      <c r="P189" s="80"/>
      <c r="Q189" s="8"/>
      <c r="R189" s="82"/>
      <c r="S189" s="51"/>
      <c r="T189" s="11"/>
      <c r="U189" s="52"/>
      <c r="V189" s="52"/>
      <c r="W189" s="53"/>
      <c r="X189" s="53"/>
      <c r="Y189" s="53"/>
      <c r="Z189" s="54"/>
      <c r="AA189" s="55"/>
      <c r="AB189" s="53"/>
      <c r="AC189" s="53"/>
      <c r="AD189" s="53"/>
      <c r="AE189" s="54"/>
      <c r="AF189" s="56"/>
      <c r="AG189" s="53"/>
      <c r="AH189" s="53"/>
      <c r="AI189" s="53"/>
      <c r="AJ189" s="54"/>
      <c r="AK189" s="57"/>
      <c r="AL189" s="53"/>
      <c r="AM189" s="53"/>
      <c r="AN189" s="53"/>
      <c r="AO189" s="54"/>
      <c r="AP189" s="56"/>
      <c r="AQ189" s="53"/>
      <c r="AR189" s="53"/>
      <c r="AS189" s="53"/>
      <c r="AT189" s="54"/>
      <c r="AU189" s="56"/>
      <c r="AV189" s="53"/>
      <c r="AW189" s="53"/>
      <c r="AX189" s="53"/>
      <c r="AY189" s="54"/>
      <c r="AZ189" s="58"/>
      <c r="BA189" s="59"/>
      <c r="BG189" s="83"/>
      <c r="BL189" s="63"/>
      <c r="BO189" s="67"/>
      <c r="BP189" s="67"/>
      <c r="BQ189" s="21"/>
      <c r="BR189" s="84"/>
      <c r="BS189" s="84"/>
      <c r="BU189" s="1">
        <v>524</v>
      </c>
    </row>
    <row r="190" spans="1:214" ht="15.75" customHeight="1" thickBot="1" x14ac:dyDescent="0.45">
      <c r="A190" s="1">
        <v>525</v>
      </c>
      <c r="C190" s="79"/>
      <c r="D190" s="21"/>
      <c r="E190" s="8"/>
      <c r="F190" s="85"/>
      <c r="G190" s="8"/>
      <c r="H190" s="22"/>
      <c r="I190" s="8"/>
      <c r="J190" s="22"/>
      <c r="K190" s="8"/>
      <c r="L190" s="22"/>
      <c r="M190" s="8"/>
      <c r="N190" s="22"/>
      <c r="O190" s="8"/>
      <c r="P190" s="22"/>
      <c r="Q190" s="8"/>
      <c r="R190" s="82"/>
      <c r="S190" s="51"/>
      <c r="T190" s="11"/>
      <c r="U190" s="52"/>
      <c r="V190" s="52"/>
      <c r="W190" s="53"/>
      <c r="X190" s="53"/>
      <c r="Y190" s="53"/>
      <c r="Z190" s="54"/>
      <c r="AA190" s="55"/>
      <c r="AB190" s="53"/>
      <c r="AC190" s="53"/>
      <c r="AD190" s="53"/>
      <c r="AE190" s="54"/>
      <c r="AF190" s="56"/>
      <c r="AG190" s="53"/>
      <c r="AH190" s="53"/>
      <c r="AI190" s="53"/>
      <c r="AJ190" s="54"/>
      <c r="AK190" s="57"/>
      <c r="AL190" s="53"/>
      <c r="AM190" s="53"/>
      <c r="AN190" s="53"/>
      <c r="AO190" s="54"/>
      <c r="AP190" s="56"/>
      <c r="AQ190" s="53"/>
      <c r="AR190" s="53"/>
      <c r="AS190" s="53"/>
      <c r="AT190" s="54"/>
      <c r="AU190" s="56"/>
      <c r="AV190" s="53"/>
      <c r="AW190" s="53"/>
      <c r="AX190" s="53"/>
      <c r="AY190" s="54"/>
      <c r="AZ190" s="58"/>
      <c r="BA190" s="59"/>
      <c r="BG190" s="83"/>
      <c r="BO190" s="86"/>
      <c r="BP190" s="87"/>
      <c r="BQ190" s="21"/>
      <c r="BT190" s="68"/>
      <c r="BU190" s="1">
        <v>525</v>
      </c>
    </row>
    <row r="191" spans="1:214" ht="15.75" customHeight="1" thickBot="1" x14ac:dyDescent="0.35">
      <c r="A191" s="1">
        <v>526</v>
      </c>
      <c r="B191" s="88" t="s">
        <v>26</v>
      </c>
      <c r="C191" s="89" t="s">
        <v>27</v>
      </c>
      <c r="D191" s="90"/>
      <c r="E191" s="8"/>
      <c r="F191" s="91"/>
      <c r="G191" s="42" t="s">
        <v>8</v>
      </c>
      <c r="H191" s="42"/>
      <c r="I191" s="42" t="s">
        <v>9</v>
      </c>
      <c r="J191" s="42"/>
      <c r="K191" s="42" t="s">
        <v>9</v>
      </c>
      <c r="L191" s="42"/>
      <c r="M191" s="42" t="s">
        <v>10</v>
      </c>
      <c r="N191" s="42"/>
      <c r="O191" s="42" t="s">
        <v>11</v>
      </c>
      <c r="P191" s="42"/>
      <c r="Q191" s="42" t="s">
        <v>12</v>
      </c>
      <c r="R191" s="42"/>
      <c r="S191" s="9"/>
      <c r="T191" s="11"/>
      <c r="U191" s="11"/>
      <c r="V191" s="11"/>
      <c r="W191" s="12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59"/>
      <c r="BO191" s="92"/>
      <c r="BP191" s="92"/>
      <c r="BQ191" s="21"/>
      <c r="BR191" s="21"/>
      <c r="BS191" s="21"/>
      <c r="BT191" s="68"/>
      <c r="BU191" s="1">
        <v>526</v>
      </c>
    </row>
    <row r="192" spans="1:214" ht="20.25" customHeight="1" thickBot="1" x14ac:dyDescent="0.35">
      <c r="A192" s="1">
        <v>527</v>
      </c>
      <c r="B192" s="21">
        <f>E189</f>
        <v>10</v>
      </c>
      <c r="C192" s="93">
        <f>G204</f>
        <v>10</v>
      </c>
      <c r="D192" s="94">
        <f t="shared" ref="D192:D199" si="474">+B192-C192</f>
        <v>0</v>
      </c>
      <c r="E192" s="95"/>
      <c r="F192" s="96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8" t="s">
        <v>28</v>
      </c>
      <c r="S192" s="10"/>
      <c r="T192" s="10"/>
      <c r="U192" s="94"/>
      <c r="V192" s="40"/>
      <c r="W192" s="42"/>
      <c r="X192" s="9"/>
      <c r="Y192" s="9"/>
      <c r="Z192" s="9"/>
      <c r="AA192" s="9"/>
      <c r="AB192" s="42"/>
      <c r="AC192" s="9"/>
      <c r="AD192" s="9"/>
      <c r="AE192" s="9"/>
      <c r="AF192" s="9"/>
      <c r="AG192" s="42"/>
      <c r="AH192" s="9"/>
      <c r="AI192" s="9"/>
      <c r="AJ192" s="9"/>
      <c r="AK192" s="9"/>
      <c r="AL192" s="9"/>
      <c r="AM192" s="9"/>
      <c r="AN192" s="9"/>
      <c r="AO192" s="9"/>
      <c r="AP192" s="9"/>
      <c r="AQ192" s="42"/>
      <c r="AR192" s="9"/>
      <c r="AS192" s="9"/>
      <c r="AT192" s="9"/>
      <c r="AU192" s="9"/>
      <c r="AV192" s="42"/>
      <c r="AW192" s="9"/>
      <c r="AX192" s="9"/>
      <c r="AY192" s="9"/>
      <c r="AZ192" s="99"/>
      <c r="BA192" s="59"/>
      <c r="BE192" s="100"/>
      <c r="BO192" s="101"/>
      <c r="BP192" s="92"/>
      <c r="BQ192" s="21"/>
      <c r="BR192" s="21"/>
      <c r="BS192" s="21"/>
      <c r="BT192" s="68"/>
      <c r="BU192" s="1">
        <v>527</v>
      </c>
    </row>
    <row r="193" spans="1:73" ht="25.5" customHeight="1" thickBot="1" x14ac:dyDescent="0.35">
      <c r="A193" s="1">
        <v>528</v>
      </c>
      <c r="B193" s="21">
        <f>G189</f>
        <v>10</v>
      </c>
      <c r="C193" s="93">
        <f>I204</f>
        <v>10</v>
      </c>
      <c r="D193" s="94">
        <f t="shared" si="474"/>
        <v>0</v>
      </c>
      <c r="E193" s="334" t="s">
        <v>107</v>
      </c>
      <c r="F193" s="103"/>
      <c r="G193" s="104">
        <v>1</v>
      </c>
      <c r="H193" s="105"/>
      <c r="I193" s="104">
        <v>1</v>
      </c>
      <c r="J193" s="105"/>
      <c r="K193" s="104">
        <v>1</v>
      </c>
      <c r="L193" s="105"/>
      <c r="M193" s="104">
        <v>1</v>
      </c>
      <c r="N193" s="105"/>
      <c r="O193" s="104">
        <v>1</v>
      </c>
      <c r="P193" s="105"/>
      <c r="Q193" s="104">
        <v>1</v>
      </c>
      <c r="R193" s="111">
        <f t="shared" ref="R193:R203" si="475">AVERAGE(G193,I193,K193,M193,O193,Q193)</f>
        <v>1</v>
      </c>
      <c r="S193" s="10"/>
      <c r="T193" s="11"/>
      <c r="U193" s="94"/>
      <c r="V193" s="40"/>
      <c r="W193" s="42"/>
      <c r="X193" s="9"/>
      <c r="Y193" s="9"/>
      <c r="Z193" s="9"/>
      <c r="AA193" s="9"/>
      <c r="AB193" s="42"/>
      <c r="AC193" s="9"/>
      <c r="AD193" s="9"/>
      <c r="AE193" s="9"/>
      <c r="AF193" s="9"/>
      <c r="AG193" s="42"/>
      <c r="AH193" s="9"/>
      <c r="AI193" s="9"/>
      <c r="AJ193" s="9"/>
      <c r="AK193" s="9"/>
      <c r="AL193" s="9"/>
      <c r="AM193" s="9"/>
      <c r="AN193" s="9"/>
      <c r="AO193" s="9"/>
      <c r="AP193" s="9"/>
      <c r="AQ193" s="42"/>
      <c r="AR193" s="9"/>
      <c r="AS193" s="9"/>
      <c r="AT193" s="9"/>
      <c r="AU193" s="9"/>
      <c r="AV193" s="42"/>
      <c r="AW193" s="9"/>
      <c r="AX193" s="9"/>
      <c r="AY193" s="9"/>
      <c r="AZ193" s="99"/>
      <c r="BA193" s="59"/>
      <c r="BE193" s="100"/>
      <c r="BO193" s="101"/>
      <c r="BP193" s="92"/>
      <c r="BQ193" s="21"/>
      <c r="BR193" s="21"/>
      <c r="BS193" s="21"/>
      <c r="BT193" s="68"/>
      <c r="BU193" s="1">
        <v>528</v>
      </c>
    </row>
    <row r="194" spans="1:73" ht="20.25" customHeight="1" thickBot="1" x14ac:dyDescent="0.35">
      <c r="A194" s="1">
        <v>529</v>
      </c>
      <c r="B194" s="21">
        <f>I189</f>
        <v>11</v>
      </c>
      <c r="C194" s="93">
        <f>K204</f>
        <v>11</v>
      </c>
      <c r="D194" s="94">
        <f t="shared" si="474"/>
        <v>0</v>
      </c>
      <c r="E194" s="269" t="s">
        <v>99</v>
      </c>
      <c r="F194" s="103"/>
      <c r="G194" s="104">
        <v>0</v>
      </c>
      <c r="H194" s="105"/>
      <c r="I194" s="104">
        <v>0</v>
      </c>
      <c r="J194" s="105"/>
      <c r="K194" s="104">
        <v>0</v>
      </c>
      <c r="L194" s="105"/>
      <c r="M194" s="104">
        <v>0</v>
      </c>
      <c r="N194" s="105"/>
      <c r="O194" s="104">
        <v>0</v>
      </c>
      <c r="P194" s="105"/>
      <c r="Q194" s="104">
        <v>0</v>
      </c>
      <c r="R194" s="111">
        <f t="shared" si="475"/>
        <v>0</v>
      </c>
      <c r="S194" s="10"/>
      <c r="T194" s="11"/>
      <c r="U194" s="94"/>
      <c r="V194" s="40"/>
      <c r="W194" s="42"/>
      <c r="X194" s="9"/>
      <c r="Y194" s="9"/>
      <c r="Z194" s="9"/>
      <c r="AA194" s="9"/>
      <c r="AB194" s="42"/>
      <c r="AC194" s="9"/>
      <c r="AD194" s="9"/>
      <c r="AE194" s="9"/>
      <c r="AF194" s="9"/>
      <c r="AG194" s="42"/>
      <c r="AH194" s="9"/>
      <c r="AI194" s="9"/>
      <c r="AJ194" s="9"/>
      <c r="AK194" s="9"/>
      <c r="AL194" s="9"/>
      <c r="AM194" s="9"/>
      <c r="AN194" s="9"/>
      <c r="AO194" s="9"/>
      <c r="AP194" s="9"/>
      <c r="AQ194" s="42"/>
      <c r="AR194" s="9"/>
      <c r="AS194" s="9"/>
      <c r="AT194" s="9"/>
      <c r="AU194" s="9"/>
      <c r="AV194" s="42"/>
      <c r="AW194" s="9"/>
      <c r="AX194" s="9"/>
      <c r="AY194" s="9"/>
      <c r="AZ194" s="99"/>
      <c r="BA194" s="59"/>
      <c r="BE194" s="100"/>
      <c r="BO194" s="101"/>
      <c r="BP194" s="92"/>
      <c r="BQ194" s="21"/>
      <c r="BR194" s="21"/>
      <c r="BS194" s="21"/>
      <c r="BT194" s="68"/>
      <c r="BU194" s="1">
        <v>529</v>
      </c>
    </row>
    <row r="195" spans="1:73" ht="20.25" customHeight="1" thickBot="1" x14ac:dyDescent="0.35">
      <c r="A195" s="1">
        <v>530</v>
      </c>
      <c r="B195" s="21">
        <f>K189</f>
        <v>11</v>
      </c>
      <c r="C195" s="93">
        <f>M204</f>
        <v>11</v>
      </c>
      <c r="D195" s="94">
        <f t="shared" si="474"/>
        <v>0</v>
      </c>
      <c r="E195" s="102" t="s">
        <v>65</v>
      </c>
      <c r="F195" s="103"/>
      <c r="G195" s="104">
        <v>1</v>
      </c>
      <c r="H195" s="105"/>
      <c r="I195" s="104">
        <v>1</v>
      </c>
      <c r="J195" s="105"/>
      <c r="K195" s="104">
        <v>1</v>
      </c>
      <c r="L195" s="105"/>
      <c r="M195" s="104">
        <v>1</v>
      </c>
      <c r="N195" s="105"/>
      <c r="O195" s="104">
        <v>1</v>
      </c>
      <c r="P195" s="105"/>
      <c r="Q195" s="104">
        <v>1</v>
      </c>
      <c r="R195" s="111">
        <f t="shared" si="475"/>
        <v>1</v>
      </c>
      <c r="S195" s="10"/>
      <c r="T195" s="11"/>
      <c r="U195" s="94"/>
      <c r="V195" s="40"/>
      <c r="W195" s="42"/>
      <c r="X195" s="9"/>
      <c r="Y195" s="9"/>
      <c r="Z195" s="9"/>
      <c r="AA195" s="9"/>
      <c r="AB195" s="42"/>
      <c r="AC195" s="9"/>
      <c r="AD195" s="9"/>
      <c r="AE195" s="9"/>
      <c r="AF195" s="9"/>
      <c r="AG195" s="42"/>
      <c r="AH195" s="9"/>
      <c r="AI195" s="9"/>
      <c r="AJ195" s="9"/>
      <c r="AK195" s="9"/>
      <c r="AL195" s="9"/>
      <c r="AM195" s="9"/>
      <c r="AN195" s="9"/>
      <c r="AO195" s="9"/>
      <c r="AP195" s="9"/>
      <c r="AQ195" s="42"/>
      <c r="AR195" s="9"/>
      <c r="AS195" s="9"/>
      <c r="AT195" s="9"/>
      <c r="AU195" s="9"/>
      <c r="AV195" s="42"/>
      <c r="AW195" s="9"/>
      <c r="AX195" s="9"/>
      <c r="AY195" s="9"/>
      <c r="AZ195" s="99"/>
      <c r="BA195" s="59"/>
      <c r="BE195" s="100"/>
      <c r="BO195" s="101"/>
      <c r="BP195" s="92"/>
      <c r="BQ195" s="21"/>
      <c r="BR195" s="21"/>
      <c r="BS195" s="21"/>
      <c r="BT195" s="68"/>
      <c r="BU195" s="1">
        <v>530</v>
      </c>
    </row>
    <row r="196" spans="1:73" ht="20.25" customHeight="1" thickBot="1" x14ac:dyDescent="0.35">
      <c r="A196" s="1"/>
      <c r="B196" s="21">
        <v>11</v>
      </c>
      <c r="C196" s="93">
        <v>9</v>
      </c>
      <c r="D196" s="94"/>
      <c r="E196" s="263" t="s">
        <v>113</v>
      </c>
      <c r="F196" s="103"/>
      <c r="G196" s="104">
        <v>1</v>
      </c>
      <c r="H196" s="105"/>
      <c r="I196" s="104">
        <v>1</v>
      </c>
      <c r="J196" s="105"/>
      <c r="K196" s="104">
        <v>1</v>
      </c>
      <c r="L196" s="105"/>
      <c r="M196" s="104">
        <v>1</v>
      </c>
      <c r="N196" s="105"/>
      <c r="O196" s="104">
        <v>1</v>
      </c>
      <c r="P196" s="105"/>
      <c r="Q196" s="104">
        <v>1</v>
      </c>
      <c r="R196" s="111">
        <f t="shared" si="475"/>
        <v>1</v>
      </c>
      <c r="S196" s="10"/>
      <c r="T196" s="11"/>
      <c r="U196" s="94"/>
      <c r="V196" s="40"/>
      <c r="W196" s="42"/>
      <c r="X196" s="9"/>
      <c r="Y196" s="9"/>
      <c r="Z196" s="9"/>
      <c r="AA196" s="9"/>
      <c r="AB196" s="42"/>
      <c r="AC196" s="9"/>
      <c r="AD196" s="9"/>
      <c r="AE196" s="9"/>
      <c r="AF196" s="9"/>
      <c r="AG196" s="42"/>
      <c r="AH196" s="9"/>
      <c r="AI196" s="9"/>
      <c r="AJ196" s="9"/>
      <c r="AK196" s="9"/>
      <c r="AL196" s="9"/>
      <c r="AM196" s="9"/>
      <c r="AN196" s="9"/>
      <c r="AO196" s="9"/>
      <c r="AP196" s="9"/>
      <c r="AQ196" s="42"/>
      <c r="AR196" s="9"/>
      <c r="AS196" s="9"/>
      <c r="AT196" s="9"/>
      <c r="AU196" s="9"/>
      <c r="AV196" s="42"/>
      <c r="AW196" s="9"/>
      <c r="AX196" s="9"/>
      <c r="AY196" s="9"/>
      <c r="AZ196" s="99"/>
      <c r="BA196" s="59"/>
      <c r="BE196" s="100"/>
      <c r="BO196" s="101"/>
      <c r="BP196" s="92"/>
      <c r="BQ196" s="21"/>
      <c r="BR196" s="21"/>
      <c r="BS196" s="21"/>
      <c r="BT196" s="68"/>
      <c r="BU196" s="1"/>
    </row>
    <row r="197" spans="1:73" ht="20.25" customHeight="1" thickBot="1" x14ac:dyDescent="0.35">
      <c r="A197" s="1"/>
      <c r="B197" s="21"/>
      <c r="C197" s="93"/>
      <c r="D197" s="94"/>
      <c r="E197" s="336" t="s">
        <v>180</v>
      </c>
      <c r="F197" s="103"/>
      <c r="G197" s="104">
        <v>1</v>
      </c>
      <c r="H197" s="105"/>
      <c r="I197" s="104">
        <v>1</v>
      </c>
      <c r="J197" s="105"/>
      <c r="K197" s="104">
        <v>1</v>
      </c>
      <c r="L197" s="105"/>
      <c r="M197" s="104">
        <v>1</v>
      </c>
      <c r="N197" s="105"/>
      <c r="O197" s="104">
        <v>1</v>
      </c>
      <c r="P197" s="105"/>
      <c r="Q197" s="104">
        <v>1</v>
      </c>
      <c r="R197" s="111">
        <f t="shared" si="475"/>
        <v>1</v>
      </c>
      <c r="S197" s="10"/>
      <c r="T197" s="11"/>
      <c r="U197" s="94"/>
      <c r="V197" s="40"/>
      <c r="W197" s="42"/>
      <c r="X197" s="9"/>
      <c r="Y197" s="9"/>
      <c r="Z197" s="9"/>
      <c r="AA197" s="9"/>
      <c r="AB197" s="42"/>
      <c r="AC197" s="9"/>
      <c r="AD197" s="9"/>
      <c r="AE197" s="9"/>
      <c r="AF197" s="9"/>
      <c r="AG197" s="42"/>
      <c r="AH197" s="9"/>
      <c r="AI197" s="9"/>
      <c r="AJ197" s="9"/>
      <c r="AK197" s="9"/>
      <c r="AL197" s="9"/>
      <c r="AM197" s="9"/>
      <c r="AN197" s="9"/>
      <c r="AO197" s="9"/>
      <c r="AP197" s="9"/>
      <c r="AQ197" s="42"/>
      <c r="AR197" s="9"/>
      <c r="AS197" s="9"/>
      <c r="AT197" s="9"/>
      <c r="AU197" s="9"/>
      <c r="AV197" s="42"/>
      <c r="AW197" s="9"/>
      <c r="AX197" s="9"/>
      <c r="AY197" s="9"/>
      <c r="AZ197" s="99"/>
      <c r="BA197" s="59"/>
      <c r="BE197" s="100"/>
      <c r="BO197" s="101"/>
      <c r="BP197" s="92"/>
      <c r="BQ197" s="21"/>
      <c r="BR197" s="21"/>
      <c r="BS197" s="21"/>
      <c r="BT197" s="68"/>
      <c r="BU197" s="1"/>
    </row>
    <row r="198" spans="1:73" ht="20.25" customHeight="1" thickBot="1" x14ac:dyDescent="0.35">
      <c r="A198" s="1">
        <v>531</v>
      </c>
      <c r="B198" s="21">
        <f>M189</f>
        <v>11</v>
      </c>
      <c r="C198" s="93">
        <f>O204</f>
        <v>11</v>
      </c>
      <c r="D198" s="94">
        <f t="shared" si="474"/>
        <v>0</v>
      </c>
      <c r="E198" s="262" t="s">
        <v>66</v>
      </c>
      <c r="F198" s="103"/>
      <c r="G198" s="104">
        <v>1</v>
      </c>
      <c r="H198" s="105"/>
      <c r="I198" s="104">
        <v>1</v>
      </c>
      <c r="J198" s="105"/>
      <c r="K198" s="104">
        <v>1</v>
      </c>
      <c r="L198" s="105"/>
      <c r="M198" s="104">
        <v>1</v>
      </c>
      <c r="N198" s="105"/>
      <c r="O198" s="104">
        <v>1</v>
      </c>
      <c r="P198" s="105"/>
      <c r="Q198" s="104">
        <v>1</v>
      </c>
      <c r="R198" s="111">
        <f t="shared" si="475"/>
        <v>1</v>
      </c>
      <c r="S198" s="10"/>
      <c r="T198" s="11"/>
      <c r="U198" s="94"/>
      <c r="V198" s="40"/>
      <c r="W198" s="42"/>
      <c r="X198" s="9"/>
      <c r="Y198" s="9"/>
      <c r="Z198" s="9"/>
      <c r="AA198" s="9"/>
      <c r="AB198" s="42"/>
      <c r="AC198" s="9"/>
      <c r="AD198" s="9"/>
      <c r="AE198" s="9"/>
      <c r="AF198" s="9"/>
      <c r="AG198" s="42"/>
      <c r="AH198" s="9"/>
      <c r="AI198" s="9"/>
      <c r="AJ198" s="9"/>
      <c r="AK198" s="9"/>
      <c r="AL198" s="9"/>
      <c r="AM198" s="9"/>
      <c r="AN198" s="9"/>
      <c r="AO198" s="9"/>
      <c r="AP198" s="9"/>
      <c r="AQ198" s="42"/>
      <c r="AR198" s="9"/>
      <c r="AS198" s="9"/>
      <c r="AT198" s="9"/>
      <c r="AU198" s="9"/>
      <c r="AV198" s="42"/>
      <c r="AW198" s="9"/>
      <c r="AX198" s="9"/>
      <c r="AY198" s="9"/>
      <c r="AZ198" s="99"/>
      <c r="BA198" s="59"/>
      <c r="BE198" s="100"/>
      <c r="BO198" s="101"/>
      <c r="BP198" s="92"/>
      <c r="BQ198" s="21"/>
      <c r="BR198" s="21"/>
      <c r="BS198" s="21"/>
      <c r="BT198" s="68"/>
      <c r="BU198" s="1">
        <v>531</v>
      </c>
    </row>
    <row r="199" spans="1:73" ht="20.25" customHeight="1" thickBot="1" x14ac:dyDescent="0.35">
      <c r="A199" s="1">
        <v>532</v>
      </c>
      <c r="B199" s="21">
        <f>O189</f>
        <v>11</v>
      </c>
      <c r="C199" s="93">
        <f>Q204</f>
        <v>11</v>
      </c>
      <c r="D199" s="94">
        <f t="shared" si="474"/>
        <v>0</v>
      </c>
      <c r="E199" s="389" t="s">
        <v>67</v>
      </c>
      <c r="F199" s="103"/>
      <c r="G199" s="104">
        <v>1</v>
      </c>
      <c r="H199" s="105"/>
      <c r="I199" s="104">
        <v>1</v>
      </c>
      <c r="J199" s="105"/>
      <c r="K199" s="104">
        <v>1</v>
      </c>
      <c r="L199" s="105"/>
      <c r="M199" s="104">
        <v>1</v>
      </c>
      <c r="N199" s="105"/>
      <c r="O199" s="104">
        <v>1</v>
      </c>
      <c r="P199" s="105"/>
      <c r="Q199" s="104">
        <v>1</v>
      </c>
      <c r="R199" s="111">
        <f t="shared" si="475"/>
        <v>1</v>
      </c>
      <c r="S199" s="10"/>
      <c r="T199" s="11"/>
      <c r="U199" s="94"/>
      <c r="V199" s="40"/>
      <c r="W199" s="42"/>
      <c r="X199" s="9"/>
      <c r="Y199" s="9"/>
      <c r="Z199" s="9"/>
      <c r="AA199" s="9"/>
      <c r="AB199" s="42"/>
      <c r="AC199" s="9"/>
      <c r="AD199" s="9"/>
      <c r="AE199" s="9"/>
      <c r="AF199" s="9"/>
      <c r="AG199" s="42"/>
      <c r="AH199" s="9"/>
      <c r="AI199" s="9"/>
      <c r="AJ199" s="9"/>
      <c r="AK199" s="9"/>
      <c r="AL199" s="9"/>
      <c r="AM199" s="9"/>
      <c r="AN199" s="9"/>
      <c r="AO199" s="9"/>
      <c r="AP199" s="9"/>
      <c r="AQ199" s="42"/>
      <c r="AR199" s="9"/>
      <c r="AS199" s="9"/>
      <c r="AT199" s="9"/>
      <c r="AU199" s="9"/>
      <c r="AV199" s="42"/>
      <c r="AW199" s="9"/>
      <c r="AX199" s="9"/>
      <c r="AY199" s="9"/>
      <c r="AZ199" s="99"/>
      <c r="BA199" s="59"/>
      <c r="BE199" s="100"/>
      <c r="BO199" s="101"/>
      <c r="BP199" s="92"/>
      <c r="BQ199" s="21"/>
      <c r="BR199" s="21"/>
      <c r="BS199" s="21"/>
      <c r="BT199" s="68"/>
      <c r="BU199" s="1">
        <v>532</v>
      </c>
    </row>
    <row r="200" spans="1:73" ht="20.25" customHeight="1" thickBot="1" x14ac:dyDescent="0.35">
      <c r="A200" s="1">
        <v>533</v>
      </c>
      <c r="E200" s="261" t="s">
        <v>33</v>
      </c>
      <c r="F200" s="103"/>
      <c r="G200" s="104">
        <v>1</v>
      </c>
      <c r="H200" s="105"/>
      <c r="I200" s="104">
        <v>1</v>
      </c>
      <c r="J200" s="105"/>
      <c r="K200" s="104">
        <v>1</v>
      </c>
      <c r="L200" s="105"/>
      <c r="M200" s="104">
        <v>1</v>
      </c>
      <c r="N200" s="105"/>
      <c r="O200" s="104">
        <v>1</v>
      </c>
      <c r="P200" s="105"/>
      <c r="Q200" s="104">
        <v>1</v>
      </c>
      <c r="R200" s="111">
        <f t="shared" si="475"/>
        <v>1</v>
      </c>
      <c r="S200" s="10"/>
      <c r="T200" s="11"/>
      <c r="U200" s="94"/>
      <c r="V200" s="40"/>
      <c r="W200" s="42"/>
      <c r="X200" s="9"/>
      <c r="Y200" s="9"/>
      <c r="Z200" s="9"/>
      <c r="AA200" s="9"/>
      <c r="AB200" s="42"/>
      <c r="AC200" s="9"/>
      <c r="AD200" s="9"/>
      <c r="AE200" s="9"/>
      <c r="AF200" s="9"/>
      <c r="AG200" s="42"/>
      <c r="AH200" s="9"/>
      <c r="AI200" s="9"/>
      <c r="AJ200" s="9"/>
      <c r="AK200" s="9"/>
      <c r="AL200" s="9"/>
      <c r="AM200" s="9"/>
      <c r="AN200" s="9"/>
      <c r="AO200" s="9"/>
      <c r="AP200" s="9"/>
      <c r="AQ200" s="42"/>
      <c r="AR200" s="9"/>
      <c r="AS200" s="9"/>
      <c r="AT200" s="9"/>
      <c r="AU200" s="9"/>
      <c r="AV200" s="42"/>
      <c r="AW200" s="9"/>
      <c r="AX200" s="9"/>
      <c r="AY200" s="9"/>
      <c r="AZ200" s="99"/>
      <c r="BA200" s="59"/>
      <c r="BE200" s="100"/>
      <c r="BO200" s="101"/>
      <c r="BP200" s="92"/>
      <c r="BQ200" s="21"/>
      <c r="BR200" s="21"/>
      <c r="BS200" s="21"/>
      <c r="BT200" s="68"/>
      <c r="BU200" s="1">
        <v>533</v>
      </c>
    </row>
    <row r="201" spans="1:73" ht="20.25" customHeight="1" thickBot="1" x14ac:dyDescent="0.35">
      <c r="A201" s="1">
        <v>534</v>
      </c>
      <c r="E201" s="102" t="s">
        <v>68</v>
      </c>
      <c r="F201" s="103"/>
      <c r="G201" s="104">
        <v>1</v>
      </c>
      <c r="H201" s="105"/>
      <c r="I201" s="104">
        <v>1</v>
      </c>
      <c r="J201" s="105"/>
      <c r="K201" s="104">
        <v>2</v>
      </c>
      <c r="L201" s="105"/>
      <c r="M201" s="104">
        <v>2</v>
      </c>
      <c r="N201" s="105"/>
      <c r="O201" s="104">
        <v>2</v>
      </c>
      <c r="P201" s="105"/>
      <c r="Q201" s="104">
        <v>2</v>
      </c>
      <c r="R201" s="111">
        <f t="shared" si="475"/>
        <v>1.6666666666666667</v>
      </c>
      <c r="S201" s="10"/>
      <c r="T201" s="11"/>
      <c r="U201" s="94"/>
      <c r="V201" s="40"/>
      <c r="W201" s="42"/>
      <c r="X201" s="9"/>
      <c r="Y201" s="9"/>
      <c r="Z201" s="9"/>
      <c r="AA201" s="9"/>
      <c r="AB201" s="42"/>
      <c r="AC201" s="9"/>
      <c r="AD201" s="9"/>
      <c r="AE201" s="9"/>
      <c r="AF201" s="9"/>
      <c r="AG201" s="42"/>
      <c r="AH201" s="9"/>
      <c r="AI201" s="9"/>
      <c r="AJ201" s="9"/>
      <c r="AK201" s="9"/>
      <c r="AL201" s="9"/>
      <c r="AM201" s="9"/>
      <c r="AN201" s="9"/>
      <c r="AO201" s="9"/>
      <c r="AP201" s="9"/>
      <c r="AQ201" s="42"/>
      <c r="AR201" s="9"/>
      <c r="AS201" s="9"/>
      <c r="AT201" s="9"/>
      <c r="AU201" s="9"/>
      <c r="AV201" s="42"/>
      <c r="AW201" s="9"/>
      <c r="AX201" s="9"/>
      <c r="AY201" s="9"/>
      <c r="AZ201" s="99"/>
      <c r="BA201" s="59"/>
      <c r="BE201" s="100"/>
      <c r="BO201" s="101"/>
      <c r="BP201" s="92"/>
      <c r="BQ201" s="21"/>
      <c r="BR201" s="21"/>
      <c r="BS201" s="21"/>
      <c r="BT201" s="68"/>
      <c r="BU201" s="1">
        <v>534</v>
      </c>
    </row>
    <row r="202" spans="1:73" ht="20.25" customHeight="1" thickBot="1" x14ac:dyDescent="0.35">
      <c r="A202" s="1"/>
      <c r="E202" s="264" t="s">
        <v>84</v>
      </c>
      <c r="F202" s="103"/>
      <c r="G202" s="104">
        <v>1</v>
      </c>
      <c r="H202" s="105"/>
      <c r="I202" s="104">
        <v>1</v>
      </c>
      <c r="J202" s="105"/>
      <c r="K202" s="104">
        <v>1</v>
      </c>
      <c r="L202" s="105"/>
      <c r="M202" s="104">
        <v>1</v>
      </c>
      <c r="N202" s="105"/>
      <c r="O202" s="104">
        <v>1</v>
      </c>
      <c r="P202" s="105"/>
      <c r="Q202" s="104">
        <v>1</v>
      </c>
      <c r="R202" s="111">
        <f t="shared" si="475"/>
        <v>1</v>
      </c>
      <c r="S202" s="10"/>
      <c r="T202" s="11"/>
      <c r="U202" s="94"/>
      <c r="V202" s="40"/>
      <c r="W202" s="42"/>
      <c r="X202" s="9"/>
      <c r="Y202" s="9"/>
      <c r="Z202" s="9"/>
      <c r="AA202" s="9"/>
      <c r="AB202" s="42"/>
      <c r="AC202" s="9"/>
      <c r="AD202" s="9"/>
      <c r="AE202" s="9"/>
      <c r="AF202" s="9"/>
      <c r="AG202" s="42"/>
      <c r="AH202" s="9"/>
      <c r="AI202" s="9"/>
      <c r="AJ202" s="9"/>
      <c r="AK202" s="9"/>
      <c r="AL202" s="9"/>
      <c r="AM202" s="9"/>
      <c r="AN202" s="9"/>
      <c r="AO202" s="9"/>
      <c r="AP202" s="9"/>
      <c r="AQ202" s="42"/>
      <c r="AR202" s="9"/>
      <c r="AS202" s="9"/>
      <c r="AT202" s="9"/>
      <c r="AU202" s="9"/>
      <c r="AV202" s="42"/>
      <c r="AW202" s="9"/>
      <c r="AX202" s="9"/>
      <c r="AY202" s="9"/>
      <c r="AZ202" s="99"/>
      <c r="BA202" s="59"/>
      <c r="BE202" s="100"/>
      <c r="BO202" s="101"/>
      <c r="BP202" s="92"/>
      <c r="BQ202" s="21"/>
      <c r="BR202" s="21"/>
      <c r="BS202" s="21"/>
      <c r="BT202" s="68"/>
      <c r="BU202" s="1"/>
    </row>
    <row r="203" spans="1:73" ht="20.25" customHeight="1" thickBot="1" x14ac:dyDescent="0.35">
      <c r="A203" s="1">
        <v>535</v>
      </c>
      <c r="E203" s="386" t="s">
        <v>69</v>
      </c>
      <c r="F203" s="103"/>
      <c r="G203" s="104">
        <v>1</v>
      </c>
      <c r="H203" s="105"/>
      <c r="I203" s="104">
        <v>1</v>
      </c>
      <c r="J203" s="105"/>
      <c r="K203" s="104">
        <v>1</v>
      </c>
      <c r="L203" s="105"/>
      <c r="M203" s="104">
        <v>1</v>
      </c>
      <c r="N203" s="105"/>
      <c r="O203" s="104">
        <v>1</v>
      </c>
      <c r="P203" s="105"/>
      <c r="Q203" s="104">
        <v>1</v>
      </c>
      <c r="R203" s="111">
        <f t="shared" si="475"/>
        <v>1</v>
      </c>
      <c r="S203" s="10"/>
      <c r="T203" s="11"/>
      <c r="U203" s="94"/>
      <c r="V203" s="40"/>
      <c r="W203" s="42"/>
      <c r="X203" s="9"/>
      <c r="Y203" s="9"/>
      <c r="Z203" s="9"/>
      <c r="AA203" s="9"/>
      <c r="AB203" s="42"/>
      <c r="AC203" s="9"/>
      <c r="AD203" s="9"/>
      <c r="AE203" s="9"/>
      <c r="AF203" s="9"/>
      <c r="AG203" s="42"/>
      <c r="AH203" s="9"/>
      <c r="AI203" s="9"/>
      <c r="AJ203" s="9"/>
      <c r="AK203" s="9"/>
      <c r="AL203" s="9"/>
      <c r="AM203" s="9"/>
      <c r="AN203" s="9"/>
      <c r="AO203" s="9"/>
      <c r="AP203" s="9"/>
      <c r="AQ203" s="42"/>
      <c r="AR203" s="9"/>
      <c r="AS203" s="9"/>
      <c r="AT203" s="9"/>
      <c r="AU203" s="9"/>
      <c r="AV203" s="42"/>
      <c r="AW203" s="9"/>
      <c r="AX203" s="9"/>
      <c r="AY203" s="9"/>
      <c r="AZ203" s="99"/>
      <c r="BA203" s="59"/>
      <c r="BE203" s="100"/>
      <c r="BO203" s="101"/>
      <c r="BP203" s="92"/>
      <c r="BQ203" s="21"/>
      <c r="BR203" s="21"/>
      <c r="BS203" s="21"/>
      <c r="BT203" s="68"/>
      <c r="BU203" s="1">
        <v>535</v>
      </c>
    </row>
    <row r="204" spans="1:73" ht="20.25" customHeight="1" thickBot="1" x14ac:dyDescent="0.35">
      <c r="A204" s="1">
        <v>536</v>
      </c>
      <c r="E204" s="108"/>
      <c r="F204" s="109"/>
      <c r="G204" s="110">
        <f>SUM(G193:G203)</f>
        <v>10</v>
      </c>
      <c r="H204" s="110"/>
      <c r="I204" s="110">
        <f>SUM(I193:I203)</f>
        <v>10</v>
      </c>
      <c r="J204" s="110"/>
      <c r="K204" s="110">
        <f>SUM(K193:K203)</f>
        <v>11</v>
      </c>
      <c r="L204" s="110"/>
      <c r="M204" s="110">
        <f>SUM(M193:M203)</f>
        <v>11</v>
      </c>
      <c r="N204" s="110"/>
      <c r="O204" s="110">
        <f>SUM(O193:O203)</f>
        <v>11</v>
      </c>
      <c r="P204" s="110"/>
      <c r="Q204" s="110">
        <f>SUM(Q189:Q203)</f>
        <v>11</v>
      </c>
      <c r="R204" s="111">
        <f>AVERAGE(G204,I204,K204,M204,O204,Q204)</f>
        <v>10.666666666666666</v>
      </c>
      <c r="S204" s="10"/>
      <c r="T204" s="11"/>
      <c r="U204" s="94"/>
      <c r="V204" s="40"/>
      <c r="W204" s="42"/>
      <c r="X204" s="9"/>
      <c r="Y204" s="9"/>
      <c r="Z204" s="9"/>
      <c r="AA204" s="9"/>
      <c r="AB204" s="42"/>
      <c r="AC204" s="9"/>
      <c r="AD204" s="9"/>
      <c r="AE204" s="9"/>
      <c r="AF204" s="9"/>
      <c r="AG204" s="42"/>
      <c r="AH204" s="9"/>
      <c r="AI204" s="9"/>
      <c r="AJ204" s="9"/>
      <c r="AK204" s="9"/>
      <c r="AL204" s="9"/>
      <c r="AM204" s="9"/>
      <c r="AN204" s="9"/>
      <c r="AO204" s="9"/>
      <c r="AP204" s="9"/>
      <c r="AQ204" s="42"/>
      <c r="AR204" s="9"/>
      <c r="AS204" s="9"/>
      <c r="AT204" s="9"/>
      <c r="AU204" s="9"/>
      <c r="AV204" s="42"/>
      <c r="AW204" s="9"/>
      <c r="AX204" s="9"/>
      <c r="AY204" s="9"/>
      <c r="AZ204" s="99"/>
      <c r="BA204" s="59"/>
      <c r="BE204" s="100"/>
      <c r="BO204" s="101"/>
      <c r="BP204" s="92"/>
      <c r="BQ204" s="21"/>
      <c r="BR204" s="21"/>
      <c r="BS204" s="21"/>
      <c r="BT204" s="68"/>
      <c r="BU204" s="1">
        <v>536</v>
      </c>
    </row>
    <row r="205" spans="1:73" ht="20.25" customHeight="1" x14ac:dyDescent="0.4">
      <c r="A205" s="1">
        <v>537</v>
      </c>
      <c r="E205" s="8"/>
      <c r="F205" s="85"/>
      <c r="G205" s="8"/>
      <c r="H205" s="22"/>
      <c r="I205" s="8"/>
      <c r="J205" s="22"/>
      <c r="K205" s="8"/>
      <c r="L205" s="22"/>
      <c r="M205" s="8"/>
      <c r="N205" s="22"/>
      <c r="O205" s="8"/>
      <c r="P205" s="22"/>
      <c r="Q205" s="8"/>
      <c r="R205" s="82"/>
      <c r="S205" s="51"/>
      <c r="T205" s="11"/>
      <c r="U205" s="11"/>
      <c r="V205" s="52"/>
      <c r="W205" s="9"/>
      <c r="X205" s="9"/>
      <c r="Y205" s="9"/>
      <c r="Z205" s="9"/>
      <c r="AA205" s="42"/>
      <c r="AB205" s="9"/>
      <c r="AC205" s="9"/>
      <c r="AD205" s="9"/>
      <c r="AE205" s="9"/>
      <c r="AF205" s="42"/>
      <c r="AG205" s="9"/>
      <c r="AH205" s="9"/>
      <c r="AI205" s="9"/>
      <c r="AJ205" s="9"/>
      <c r="AK205" s="9"/>
      <c r="AL205" s="9"/>
      <c r="AM205" s="9"/>
      <c r="AN205" s="9"/>
      <c r="AO205" s="9"/>
      <c r="AP205" s="42"/>
      <c r="AQ205" s="9"/>
      <c r="AR205" s="9"/>
      <c r="AS205" s="9"/>
      <c r="AT205" s="9"/>
      <c r="AU205" s="42"/>
      <c r="AV205" s="9"/>
      <c r="AW205" s="9"/>
      <c r="AX205" s="9"/>
      <c r="AY205" s="9"/>
      <c r="AZ205" s="58"/>
      <c r="BA205" s="59"/>
      <c r="BG205" s="83"/>
      <c r="BO205" s="86"/>
      <c r="BP205" s="87"/>
      <c r="BQ205" s="21"/>
      <c r="BT205" s="68"/>
      <c r="BU205" s="1">
        <v>537</v>
      </c>
    </row>
    <row r="206" spans="1:73" ht="20.25" customHeight="1" thickBot="1" x14ac:dyDescent="0.45">
      <c r="A206" s="1">
        <v>539</v>
      </c>
      <c r="B206" s="147"/>
      <c r="D206" s="21"/>
      <c r="E206" s="8"/>
      <c r="F206" s="85"/>
      <c r="G206" s="8"/>
      <c r="H206" s="22"/>
      <c r="I206" s="8"/>
      <c r="J206" s="22"/>
      <c r="K206" s="8"/>
      <c r="L206" s="22"/>
      <c r="M206" s="8"/>
      <c r="N206" s="22"/>
      <c r="O206" s="8"/>
      <c r="P206" s="22"/>
      <c r="Q206" s="8"/>
      <c r="R206" s="82"/>
      <c r="S206" s="51"/>
      <c r="T206" s="11"/>
      <c r="U206" s="11"/>
      <c r="V206" s="52"/>
      <c r="W206" s="9"/>
      <c r="X206" s="9"/>
      <c r="Y206" s="9"/>
      <c r="Z206" s="9"/>
      <c r="AA206" s="42"/>
      <c r="AB206" s="9"/>
      <c r="AC206" s="9"/>
      <c r="AD206" s="9"/>
      <c r="AE206" s="9"/>
      <c r="AF206" s="42"/>
      <c r="AG206" s="9"/>
      <c r="AH206" s="9"/>
      <c r="AI206" s="9"/>
      <c r="AJ206" s="9"/>
      <c r="AK206" s="9"/>
      <c r="AL206" s="9"/>
      <c r="AM206" s="9"/>
      <c r="AN206" s="9"/>
      <c r="AO206" s="9"/>
      <c r="AP206" s="42"/>
      <c r="AQ206" s="9"/>
      <c r="AR206" s="9"/>
      <c r="AS206" s="9"/>
      <c r="AT206" s="9"/>
      <c r="AU206" s="42"/>
      <c r="AV206" s="9"/>
      <c r="AW206" s="9"/>
      <c r="AX206" s="9"/>
      <c r="AY206" s="9"/>
      <c r="AZ206" s="58"/>
      <c r="BA206" s="59"/>
      <c r="BG206" s="83"/>
      <c r="BO206" s="86"/>
      <c r="BP206" s="87"/>
      <c r="BQ206" s="21"/>
      <c r="BT206" s="68"/>
      <c r="BU206" s="1">
        <v>539</v>
      </c>
    </row>
    <row r="207" spans="1:73" ht="28.5" customHeight="1" thickBot="1" x14ac:dyDescent="0.45">
      <c r="A207" s="1">
        <v>540</v>
      </c>
      <c r="B207" s="847" t="s">
        <v>70</v>
      </c>
      <c r="C207" s="848"/>
      <c r="D207" s="848" t="s">
        <v>35</v>
      </c>
      <c r="E207" s="848"/>
      <c r="F207" s="848"/>
      <c r="G207" s="848"/>
      <c r="H207" s="848"/>
      <c r="I207" s="848"/>
      <c r="J207" s="848"/>
      <c r="K207" s="848"/>
      <c r="L207" s="848"/>
      <c r="M207" s="848"/>
      <c r="N207" s="848"/>
      <c r="O207" s="848"/>
      <c r="P207" s="848"/>
      <c r="Q207" s="849"/>
      <c r="R207" s="23" t="str">
        <f>$V2</f>
        <v>DEL 08 AL 14 ENERO 24</v>
      </c>
      <c r="S207" s="51"/>
      <c r="T207" s="11"/>
      <c r="U207" s="11"/>
      <c r="V207" s="52"/>
      <c r="W207" s="53"/>
      <c r="X207" s="53"/>
      <c r="Y207" s="53"/>
      <c r="Z207" s="54"/>
      <c r="AA207" s="55"/>
      <c r="AB207" s="53"/>
      <c r="AC207" s="53"/>
      <c r="AD207" s="53"/>
      <c r="AE207" s="54"/>
      <c r="AF207" s="56"/>
      <c r="AG207" s="53"/>
      <c r="AH207" s="53"/>
      <c r="AI207" s="53"/>
      <c r="AJ207" s="54"/>
      <c r="AK207" s="57"/>
      <c r="AL207" s="53"/>
      <c r="AM207" s="53"/>
      <c r="AN207" s="53"/>
      <c r="AO207" s="54"/>
      <c r="AP207" s="56"/>
      <c r="AQ207" s="53"/>
      <c r="AR207" s="53"/>
      <c r="AS207" s="53"/>
      <c r="AT207" s="54"/>
      <c r="AU207" s="56"/>
      <c r="AV207" s="53"/>
      <c r="AW207" s="53"/>
      <c r="AX207" s="53"/>
      <c r="AY207" s="54"/>
      <c r="AZ207" s="58"/>
      <c r="BA207" s="59"/>
      <c r="BG207" s="83"/>
      <c r="BO207" s="116"/>
      <c r="BP207" s="67"/>
      <c r="BQ207" s="21"/>
      <c r="BR207" s="74"/>
      <c r="BS207" s="74"/>
      <c r="BT207" s="68"/>
      <c r="BU207" s="1">
        <v>540</v>
      </c>
    </row>
    <row r="208" spans="1:73" ht="14.25" customHeight="1" thickBot="1" x14ac:dyDescent="0.35">
      <c r="A208" s="1">
        <v>541</v>
      </c>
      <c r="B208" s="117"/>
      <c r="C208" s="118"/>
      <c r="D208" s="119"/>
      <c r="E208" s="120" t="s">
        <v>8</v>
      </c>
      <c r="F208" s="121"/>
      <c r="G208" s="120" t="s">
        <v>9</v>
      </c>
      <c r="H208" s="122"/>
      <c r="I208" s="120" t="s">
        <v>9</v>
      </c>
      <c r="J208" s="122"/>
      <c r="K208" s="120" t="s">
        <v>10</v>
      </c>
      <c r="L208" s="122"/>
      <c r="M208" s="120" t="s">
        <v>11</v>
      </c>
      <c r="N208" s="122"/>
      <c r="O208" s="120" t="s">
        <v>12</v>
      </c>
      <c r="P208" s="120"/>
      <c r="Q208" s="122"/>
      <c r="R208" s="123"/>
      <c r="S208" s="51"/>
      <c r="T208" s="11"/>
      <c r="U208" s="11"/>
      <c r="V208" s="52"/>
      <c r="W208" s="53"/>
      <c r="X208" s="53"/>
      <c r="Y208" s="53"/>
      <c r="Z208" s="54"/>
      <c r="AA208" s="55"/>
      <c r="AB208" s="53"/>
      <c r="AC208" s="53"/>
      <c r="AD208" s="53"/>
      <c r="AE208" s="54"/>
      <c r="AF208" s="56"/>
      <c r="AG208" s="53"/>
      <c r="AH208" s="53"/>
      <c r="AI208" s="53"/>
      <c r="AJ208" s="54"/>
      <c r="AK208" s="57"/>
      <c r="AL208" s="53"/>
      <c r="AM208" s="53"/>
      <c r="AN208" s="53"/>
      <c r="AO208" s="54"/>
      <c r="AP208" s="56"/>
      <c r="AQ208" s="53"/>
      <c r="AR208" s="53"/>
      <c r="AS208" s="53"/>
      <c r="AT208" s="54"/>
      <c r="AU208" s="56"/>
      <c r="AV208" s="53"/>
      <c r="AW208" s="53"/>
      <c r="AX208" s="53"/>
      <c r="AY208" s="54"/>
      <c r="AZ208" s="58"/>
      <c r="BA208" s="59"/>
      <c r="BB208" s="124"/>
      <c r="BC208" s="124"/>
      <c r="BD208" s="124"/>
      <c r="BE208" s="124"/>
      <c r="BF208" s="124"/>
      <c r="BG208" s="124"/>
      <c r="BH208" s="124"/>
      <c r="BJ208" s="19"/>
      <c r="BK208" s="19"/>
      <c r="BL208" s="19"/>
      <c r="BM208" s="19"/>
      <c r="BN208" s="124"/>
      <c r="BO208" s="125"/>
      <c r="BP208" s="126"/>
      <c r="BQ208" s="21"/>
      <c r="BR208" s="68"/>
      <c r="BS208" s="68"/>
      <c r="BT208" s="68"/>
      <c r="BU208" s="1">
        <v>541</v>
      </c>
    </row>
    <row r="209" spans="1:214" s="69" customFormat="1" ht="15.75" customHeight="1" thickBot="1" x14ac:dyDescent="0.35">
      <c r="A209" s="1">
        <v>542</v>
      </c>
      <c r="B209" s="145">
        <v>82332</v>
      </c>
      <c r="C209" s="76">
        <f>+C208+1</f>
        <v>1</v>
      </c>
      <c r="D209" s="146" t="s">
        <v>71</v>
      </c>
      <c r="E209" s="266">
        <v>1</v>
      </c>
      <c r="F209" s="267"/>
      <c r="G209" s="140">
        <v>1</v>
      </c>
      <c r="H209" s="141"/>
      <c r="I209" s="140">
        <v>1</v>
      </c>
      <c r="J209" s="141"/>
      <c r="K209" s="140">
        <v>1</v>
      </c>
      <c r="L209" s="141"/>
      <c r="M209" s="140">
        <v>1</v>
      </c>
      <c r="N209" s="141"/>
      <c r="O209" s="140">
        <v>1</v>
      </c>
      <c r="P209" s="141"/>
      <c r="Q209" s="77">
        <f>IF((E209+G209+I209+K209+M209+O209)=6,1,0)</f>
        <v>1</v>
      </c>
      <c r="R209" s="127">
        <f>IF(Q209=1,9210,600)</f>
        <v>9210</v>
      </c>
      <c r="S209" s="51">
        <f>+BH209</f>
        <v>0</v>
      </c>
      <c r="T209" s="11">
        <f>+BA209</f>
        <v>9210</v>
      </c>
      <c r="U209" s="52">
        <f>+BP209</f>
        <v>0</v>
      </c>
      <c r="V209" s="52">
        <f>+BG209</f>
        <v>0</v>
      </c>
      <c r="W209" s="53">
        <f>(R209-86.16)/6*E209</f>
        <v>1520.64</v>
      </c>
      <c r="X209" s="53">
        <f>$Y$2*E209*Q209</f>
        <v>7.18</v>
      </c>
      <c r="Y209" s="53">
        <f>$Y$2*E209*Q209</f>
        <v>7.18</v>
      </c>
      <c r="Z209" s="54">
        <f>Y209+X209+W209</f>
        <v>1535</v>
      </c>
      <c r="AA209" s="55"/>
      <c r="AB209" s="53">
        <f>(R209-86.16)/6*G209</f>
        <v>1520.64</v>
      </c>
      <c r="AC209" s="53">
        <f>$Y$2*G209*Q209</f>
        <v>7.18</v>
      </c>
      <c r="AD209" s="53">
        <f>$Y$2*G209*Q209</f>
        <v>7.18</v>
      </c>
      <c r="AE209" s="54">
        <f>AD209+AC209+AB209</f>
        <v>1535</v>
      </c>
      <c r="AF209" s="56"/>
      <c r="AG209" s="53">
        <f>(R209-86.16)/6*I209</f>
        <v>1520.64</v>
      </c>
      <c r="AH209" s="53">
        <f>$Y$2*I209*Q209</f>
        <v>7.18</v>
      </c>
      <c r="AI209" s="53">
        <f>$Y$2*I209*Q209</f>
        <v>7.18</v>
      </c>
      <c r="AJ209" s="54">
        <f>AI209+AH209+AG209</f>
        <v>1535</v>
      </c>
      <c r="AK209" s="57"/>
      <c r="AL209" s="53">
        <f>(R209-86.16)/6*K209</f>
        <v>1520.64</v>
      </c>
      <c r="AM209" s="53">
        <f>$Y$2*K209*Q209</f>
        <v>7.18</v>
      </c>
      <c r="AN209" s="53">
        <f>$Y$2*K209*Q209</f>
        <v>7.18</v>
      </c>
      <c r="AO209" s="54">
        <f>AN209+AM209+AL209</f>
        <v>1535</v>
      </c>
      <c r="AP209" s="56"/>
      <c r="AQ209" s="53">
        <f>(R209-86.16)/6*M209</f>
        <v>1520.64</v>
      </c>
      <c r="AR209" s="53">
        <f>$Y$2*M209*Q209</f>
        <v>7.18</v>
      </c>
      <c r="AS209" s="53">
        <f>$Y$2*M209*Q209</f>
        <v>7.18</v>
      </c>
      <c r="AT209" s="54">
        <f>AS209+AR209+AQ209</f>
        <v>1535</v>
      </c>
      <c r="AU209" s="56"/>
      <c r="AV209" s="53">
        <f>(R209-86.16)/6*O209</f>
        <v>1520.64</v>
      </c>
      <c r="AW209" s="53">
        <f>$Y$2*O209*Q209</f>
        <v>7.18</v>
      </c>
      <c r="AX209" s="53">
        <f>$Y$2*O209*Q209</f>
        <v>7.18</v>
      </c>
      <c r="AY209" s="54">
        <f>AX209+AW209+AV209</f>
        <v>1535</v>
      </c>
      <c r="AZ209" s="58">
        <f>+AY209+AT209+AO209++AJ209+AE209+Z209</f>
        <v>9210</v>
      </c>
      <c r="BA209" s="59">
        <f>((AZ209-BB209-BC209-BD209-BE209-BF209)+BI209+BJ209+BK209+BL209+BM209+BN209+BO209)</f>
        <v>9210</v>
      </c>
      <c r="BB209" s="70"/>
      <c r="BC209" s="70"/>
      <c r="BD209" s="70"/>
      <c r="BE209" s="70"/>
      <c r="BF209" s="70"/>
      <c r="BG209" s="61"/>
      <c r="BH209" s="71"/>
      <c r="BI209" s="63"/>
      <c r="BJ209" s="63"/>
      <c r="BK209" s="63"/>
      <c r="BL209" s="64"/>
      <c r="BM209" s="18"/>
      <c r="BN209" s="64"/>
      <c r="BO209" s="66"/>
      <c r="BP209" s="72"/>
      <c r="BQ209" s="73"/>
      <c r="BR209" s="74"/>
      <c r="BS209" s="75"/>
      <c r="BU209" s="1">
        <v>542</v>
      </c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</row>
    <row r="210" spans="1:214" ht="15.75" customHeight="1" thickBot="1" x14ac:dyDescent="0.35">
      <c r="A210" s="1">
        <v>544</v>
      </c>
      <c r="B210" s="78"/>
      <c r="C210" s="79"/>
      <c r="D210" s="21"/>
      <c r="E210" s="80">
        <f>SUM(E209:E209)</f>
        <v>1</v>
      </c>
      <c r="F210" s="80"/>
      <c r="G210" s="80">
        <f>SUM(G209:G209)</f>
        <v>1</v>
      </c>
      <c r="H210" s="80"/>
      <c r="I210" s="80">
        <f>SUM(I209:I209)</f>
        <v>1</v>
      </c>
      <c r="J210" s="81"/>
      <c r="K210" s="80">
        <f>SUM(K209:K209)</f>
        <v>1</v>
      </c>
      <c r="L210" s="81"/>
      <c r="M210" s="80">
        <f>SUM(M209:M209)</f>
        <v>1</v>
      </c>
      <c r="N210" s="81"/>
      <c r="O210" s="80">
        <f>SUM(O209:O209)</f>
        <v>1</v>
      </c>
      <c r="P210" s="80"/>
      <c r="Q210" s="8"/>
      <c r="R210" s="82"/>
      <c r="S210" s="51"/>
      <c r="T210" s="11"/>
      <c r="U210" s="52"/>
      <c r="V210" s="52"/>
      <c r="W210" s="53"/>
      <c r="X210" s="53"/>
      <c r="Y210" s="53"/>
      <c r="Z210" s="54"/>
      <c r="AA210" s="55"/>
      <c r="AB210" s="53"/>
      <c r="AC210" s="53"/>
      <c r="AD210" s="53"/>
      <c r="AE210" s="54"/>
      <c r="AF210" s="56"/>
      <c r="AG210" s="53"/>
      <c r="AH210" s="53"/>
      <c r="AI210" s="53"/>
      <c r="AJ210" s="54"/>
      <c r="AK210" s="57"/>
      <c r="AL210" s="53"/>
      <c r="AM210" s="53"/>
      <c r="AN210" s="53"/>
      <c r="AO210" s="54"/>
      <c r="AP210" s="56"/>
      <c r="AQ210" s="53"/>
      <c r="AR210" s="53"/>
      <c r="AS210" s="53"/>
      <c r="AT210" s="54"/>
      <c r="AU210" s="56"/>
      <c r="AV210" s="53"/>
      <c r="AW210" s="53"/>
      <c r="AX210" s="53"/>
      <c r="AY210" s="54"/>
      <c r="AZ210" s="58"/>
      <c r="BA210" s="59"/>
      <c r="BG210" s="83"/>
      <c r="BO210" s="67"/>
      <c r="BP210" s="67"/>
      <c r="BQ210" s="21"/>
      <c r="BR210" s="84"/>
      <c r="BS210" s="84"/>
      <c r="BU210" s="1">
        <v>544</v>
      </c>
    </row>
    <row r="211" spans="1:214" ht="15.75" customHeight="1" thickBot="1" x14ac:dyDescent="0.45">
      <c r="A211" s="1">
        <v>545</v>
      </c>
      <c r="C211" s="79"/>
      <c r="D211" s="21"/>
      <c r="E211" s="8"/>
      <c r="F211" s="85"/>
      <c r="G211" s="8"/>
      <c r="H211" s="22"/>
      <c r="I211" s="8"/>
      <c r="J211" s="22"/>
      <c r="K211" s="8"/>
      <c r="L211" s="22"/>
      <c r="M211" s="8"/>
      <c r="N211" s="22"/>
      <c r="O211" s="8"/>
      <c r="P211" s="22"/>
      <c r="Q211" s="8"/>
      <c r="R211" s="82"/>
      <c r="S211" s="51"/>
      <c r="T211" s="11"/>
      <c r="U211" s="52"/>
      <c r="V211" s="52"/>
      <c r="W211" s="53"/>
      <c r="X211" s="53"/>
      <c r="Y211" s="53"/>
      <c r="Z211" s="54"/>
      <c r="AA211" s="55"/>
      <c r="AB211" s="53"/>
      <c r="AC211" s="53"/>
      <c r="AD211" s="53"/>
      <c r="AE211" s="54"/>
      <c r="AF211" s="56"/>
      <c r="AG211" s="53"/>
      <c r="AH211" s="53"/>
      <c r="AI211" s="53"/>
      <c r="AJ211" s="54"/>
      <c r="AK211" s="57"/>
      <c r="AL211" s="53"/>
      <c r="AM211" s="53"/>
      <c r="AN211" s="53"/>
      <c r="AO211" s="54"/>
      <c r="AP211" s="56"/>
      <c r="AQ211" s="53"/>
      <c r="AR211" s="53"/>
      <c r="AS211" s="53"/>
      <c r="AT211" s="54"/>
      <c r="AU211" s="56"/>
      <c r="AV211" s="53"/>
      <c r="AW211" s="53"/>
      <c r="AX211" s="53"/>
      <c r="AY211" s="54"/>
      <c r="AZ211" s="58"/>
      <c r="BA211" s="59"/>
      <c r="BG211" s="83"/>
      <c r="BO211" s="86"/>
      <c r="BP211" s="87"/>
      <c r="BQ211" s="21"/>
      <c r="BT211" s="68"/>
      <c r="BU211" s="1">
        <v>545</v>
      </c>
    </row>
    <row r="212" spans="1:214" ht="15.75" customHeight="1" thickBot="1" x14ac:dyDescent="0.35">
      <c r="A212" s="1">
        <v>546</v>
      </c>
      <c r="B212" s="88" t="s">
        <v>26</v>
      </c>
      <c r="C212" s="89" t="s">
        <v>27</v>
      </c>
      <c r="D212" s="90"/>
      <c r="E212" s="8"/>
      <c r="F212" s="91"/>
      <c r="G212" s="42" t="s">
        <v>8</v>
      </c>
      <c r="H212" s="42"/>
      <c r="I212" s="42" t="s">
        <v>9</v>
      </c>
      <c r="J212" s="42"/>
      <c r="K212" s="42" t="s">
        <v>9</v>
      </c>
      <c r="L212" s="42"/>
      <c r="M212" s="42" t="s">
        <v>10</v>
      </c>
      <c r="N212" s="42"/>
      <c r="O212" s="42" t="s">
        <v>11</v>
      </c>
      <c r="P212" s="42"/>
      <c r="Q212" s="42" t="s">
        <v>12</v>
      </c>
      <c r="R212" s="42"/>
      <c r="S212" s="9"/>
      <c r="T212" s="11"/>
      <c r="U212" s="11"/>
      <c r="V212" s="11"/>
      <c r="W212" s="12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59"/>
      <c r="BO212" s="92"/>
      <c r="BP212" s="92"/>
      <c r="BQ212" s="21"/>
      <c r="BR212" s="21"/>
      <c r="BS212" s="21"/>
      <c r="BT212" s="68"/>
      <c r="BU212" s="1">
        <v>546</v>
      </c>
    </row>
    <row r="213" spans="1:214" ht="20.25" customHeight="1" x14ac:dyDescent="0.3">
      <c r="A213" s="1">
        <v>547</v>
      </c>
      <c r="B213" s="21">
        <f>E210</f>
        <v>1</v>
      </c>
      <c r="C213" s="93">
        <f>G215</f>
        <v>1</v>
      </c>
      <c r="D213" s="94">
        <f t="shared" ref="D213:D218" si="476">+B213-C213</f>
        <v>0</v>
      </c>
      <c r="E213" s="95"/>
      <c r="F213" s="96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8" t="s">
        <v>28</v>
      </c>
      <c r="S213" s="10"/>
      <c r="T213" s="10"/>
      <c r="U213" s="94"/>
      <c r="V213" s="40"/>
      <c r="W213" s="42"/>
      <c r="X213" s="9"/>
      <c r="Y213" s="9"/>
      <c r="Z213" s="9"/>
      <c r="AA213" s="9"/>
      <c r="AB213" s="42"/>
      <c r="AC213" s="9"/>
      <c r="AD213" s="9"/>
      <c r="AE213" s="9"/>
      <c r="AF213" s="9"/>
      <c r="AG213" s="42"/>
      <c r="AH213" s="9"/>
      <c r="AI213" s="9"/>
      <c r="AJ213" s="9"/>
      <c r="AK213" s="9"/>
      <c r="AL213" s="9"/>
      <c r="AM213" s="9"/>
      <c r="AN213" s="9"/>
      <c r="AO213" s="9"/>
      <c r="AP213" s="9"/>
      <c r="AQ213" s="42"/>
      <c r="AR213" s="9"/>
      <c r="AS213" s="9"/>
      <c r="AT213" s="9"/>
      <c r="AU213" s="9"/>
      <c r="AV213" s="42"/>
      <c r="AW213" s="9"/>
      <c r="AX213" s="9"/>
      <c r="AY213" s="9"/>
      <c r="AZ213" s="99"/>
      <c r="BA213" s="59"/>
      <c r="BE213" s="100"/>
      <c r="BO213" s="101"/>
      <c r="BP213" s="92"/>
      <c r="BQ213" s="21"/>
      <c r="BR213" s="21"/>
      <c r="BS213" s="21"/>
      <c r="BT213" s="68"/>
      <c r="BU213" s="1">
        <v>547</v>
      </c>
    </row>
    <row r="214" spans="1:214" ht="20.25" customHeight="1" thickBot="1" x14ac:dyDescent="0.35">
      <c r="A214" s="1">
        <v>548</v>
      </c>
      <c r="B214" s="21">
        <f>G210</f>
        <v>1</v>
      </c>
      <c r="C214" s="93">
        <f>I215</f>
        <v>1</v>
      </c>
      <c r="D214" s="94">
        <f t="shared" si="476"/>
        <v>0</v>
      </c>
      <c r="E214" s="102" t="s">
        <v>72</v>
      </c>
      <c r="F214" s="103"/>
      <c r="G214" s="104">
        <v>1</v>
      </c>
      <c r="H214" s="105"/>
      <c r="I214" s="104">
        <v>1</v>
      </c>
      <c r="J214" s="105"/>
      <c r="K214" s="104">
        <v>1</v>
      </c>
      <c r="L214" s="105"/>
      <c r="M214" s="104">
        <v>1</v>
      </c>
      <c r="N214" s="105"/>
      <c r="O214" s="104">
        <v>1</v>
      </c>
      <c r="P214" s="105"/>
      <c r="Q214" s="104">
        <v>0</v>
      </c>
      <c r="R214" s="106">
        <f>AVERAGE(G214,I214,K214,M214,O214)</f>
        <v>1</v>
      </c>
      <c r="S214" s="10"/>
      <c r="T214" s="11"/>
      <c r="U214" s="94"/>
      <c r="V214" s="40"/>
      <c r="W214" s="42"/>
      <c r="X214" s="9"/>
      <c r="Y214" s="9"/>
      <c r="Z214" s="9"/>
      <c r="AA214" s="9"/>
      <c r="AB214" s="42"/>
      <c r="AC214" s="9"/>
      <c r="AD214" s="9"/>
      <c r="AE214" s="9"/>
      <c r="AF214" s="9"/>
      <c r="AG214" s="42"/>
      <c r="AH214" s="9"/>
      <c r="AI214" s="9"/>
      <c r="AJ214" s="9"/>
      <c r="AK214" s="9"/>
      <c r="AL214" s="9"/>
      <c r="AM214" s="9"/>
      <c r="AN214" s="9"/>
      <c r="AO214" s="9"/>
      <c r="AP214" s="9"/>
      <c r="AQ214" s="42"/>
      <c r="AR214" s="9"/>
      <c r="AS214" s="9"/>
      <c r="AT214" s="9"/>
      <c r="AU214" s="9"/>
      <c r="AV214" s="42"/>
      <c r="AW214" s="9"/>
      <c r="AX214" s="9"/>
      <c r="AY214" s="9"/>
      <c r="AZ214" s="99"/>
      <c r="BA214" s="59"/>
      <c r="BE214" s="100"/>
      <c r="BO214" s="101"/>
      <c r="BP214" s="92"/>
      <c r="BQ214" s="21"/>
      <c r="BR214" s="21"/>
      <c r="BS214" s="21"/>
      <c r="BT214" s="68"/>
      <c r="BU214" s="1">
        <v>548</v>
      </c>
    </row>
    <row r="215" spans="1:214" ht="20.25" customHeight="1" thickBot="1" x14ac:dyDescent="0.35">
      <c r="A215" s="1">
        <v>549</v>
      </c>
      <c r="B215" s="21">
        <f>I210</f>
        <v>1</v>
      </c>
      <c r="C215" s="93">
        <f>K215</f>
        <v>1</v>
      </c>
      <c r="D215" s="94">
        <f t="shared" si="476"/>
        <v>0</v>
      </c>
      <c r="E215" s="108"/>
      <c r="F215" s="109"/>
      <c r="G215" s="110">
        <f>SUM(G214:G214)</f>
        <v>1</v>
      </c>
      <c r="H215" s="110"/>
      <c r="I215" s="110">
        <f>SUM(I214:I214)</f>
        <v>1</v>
      </c>
      <c r="J215" s="110"/>
      <c r="K215" s="110">
        <f>SUM(K214:K214)</f>
        <v>1</v>
      </c>
      <c r="L215" s="110"/>
      <c r="M215" s="110">
        <f>SUM(M214:M214)</f>
        <v>1</v>
      </c>
      <c r="N215" s="110"/>
      <c r="O215" s="110">
        <f>SUM(O214:O214)</f>
        <v>1</v>
      </c>
      <c r="P215" s="110"/>
      <c r="Q215" s="110">
        <v>1</v>
      </c>
      <c r="R215" s="111">
        <f>AVERAGE(G215,I215,K215,M215,O215)</f>
        <v>1</v>
      </c>
      <c r="S215" s="10"/>
      <c r="T215" s="11"/>
      <c r="U215" s="94"/>
      <c r="V215" s="40"/>
      <c r="W215" s="42"/>
      <c r="X215" s="9"/>
      <c r="Y215" s="9"/>
      <c r="Z215" s="9"/>
      <c r="AA215" s="9"/>
      <c r="AB215" s="42"/>
      <c r="AC215" s="9"/>
      <c r="AD215" s="9"/>
      <c r="AE215" s="9"/>
      <c r="AF215" s="9"/>
      <c r="AG215" s="42"/>
      <c r="AH215" s="9"/>
      <c r="AI215" s="9"/>
      <c r="AJ215" s="9"/>
      <c r="AK215" s="9"/>
      <c r="AL215" s="9"/>
      <c r="AM215" s="9"/>
      <c r="AN215" s="9"/>
      <c r="AO215" s="9"/>
      <c r="AP215" s="9"/>
      <c r="AQ215" s="42"/>
      <c r="AR215" s="9"/>
      <c r="AS215" s="9"/>
      <c r="AT215" s="9"/>
      <c r="AU215" s="9"/>
      <c r="AV215" s="42"/>
      <c r="AW215" s="9"/>
      <c r="AX215" s="9"/>
      <c r="AY215" s="9"/>
      <c r="AZ215" s="99"/>
      <c r="BA215" s="59"/>
      <c r="BE215" s="100"/>
      <c r="BO215" s="101"/>
      <c r="BP215" s="92"/>
      <c r="BQ215" s="21"/>
      <c r="BR215" s="21"/>
      <c r="BS215" s="21"/>
      <c r="BT215" s="68"/>
      <c r="BU215" s="1">
        <v>549</v>
      </c>
    </row>
    <row r="216" spans="1:214" ht="20.25" customHeight="1" x14ac:dyDescent="0.3">
      <c r="A216" s="1">
        <v>550</v>
      </c>
      <c r="B216" s="21">
        <f>K210</f>
        <v>1</v>
      </c>
      <c r="C216" s="93">
        <f>M215</f>
        <v>1</v>
      </c>
      <c r="D216" s="94">
        <f t="shared" si="476"/>
        <v>0</v>
      </c>
      <c r="E216" s="112"/>
      <c r="F216" s="113"/>
      <c r="G216" s="112"/>
      <c r="H216" s="114"/>
      <c r="I216" s="112"/>
      <c r="J216" s="114"/>
      <c r="K216" s="112"/>
      <c r="L216" s="114"/>
      <c r="M216" s="112"/>
      <c r="N216" s="114"/>
      <c r="O216" s="112"/>
      <c r="P216" s="114"/>
      <c r="Q216" s="112"/>
      <c r="R216" s="115"/>
      <c r="S216" s="10"/>
      <c r="T216" s="128">
        <f>SUM(R214:R214)</f>
        <v>1</v>
      </c>
      <c r="U216" s="94"/>
      <c r="V216" s="40"/>
      <c r="W216" s="42"/>
      <c r="X216" s="9"/>
      <c r="Y216" s="9"/>
      <c r="Z216" s="9"/>
      <c r="AA216" s="9"/>
      <c r="AB216" s="42"/>
      <c r="AC216" s="9"/>
      <c r="AD216" s="9"/>
      <c r="AE216" s="9"/>
      <c r="AF216" s="9"/>
      <c r="AG216" s="42"/>
      <c r="AH216" s="9"/>
      <c r="AI216" s="9"/>
      <c r="AJ216" s="9"/>
      <c r="AK216" s="9"/>
      <c r="AL216" s="9"/>
      <c r="AM216" s="9"/>
      <c r="AN216" s="9"/>
      <c r="AO216" s="9"/>
      <c r="AP216" s="9"/>
      <c r="AQ216" s="42"/>
      <c r="AR216" s="9"/>
      <c r="AS216" s="9"/>
      <c r="AT216" s="9"/>
      <c r="AU216" s="9"/>
      <c r="AV216" s="42"/>
      <c r="AW216" s="9"/>
      <c r="AX216" s="9"/>
      <c r="AY216" s="9"/>
      <c r="AZ216" s="99"/>
      <c r="BA216" s="59"/>
      <c r="BE216" s="100"/>
      <c r="BO216" s="101"/>
      <c r="BP216" s="92"/>
      <c r="BQ216" s="21"/>
      <c r="BR216" s="21"/>
      <c r="BS216" s="21"/>
      <c r="BT216" s="68"/>
      <c r="BU216" s="1">
        <v>550</v>
      </c>
    </row>
    <row r="217" spans="1:214" ht="20.25" customHeight="1" x14ac:dyDescent="0.4">
      <c r="A217" s="1">
        <v>551</v>
      </c>
      <c r="B217" s="21">
        <f>M210</f>
        <v>1</v>
      </c>
      <c r="C217" s="93">
        <f>O215</f>
        <v>1</v>
      </c>
      <c r="D217" s="94">
        <f t="shared" si="476"/>
        <v>0</v>
      </c>
      <c r="E217" s="8"/>
      <c r="F217" s="85"/>
      <c r="G217" s="8"/>
      <c r="H217" s="22"/>
      <c r="I217" s="8"/>
      <c r="J217" s="22"/>
      <c r="K217" s="8"/>
      <c r="L217" s="22"/>
      <c r="M217" s="8"/>
      <c r="N217" s="22"/>
      <c r="O217" s="8"/>
      <c r="P217" s="22"/>
      <c r="Q217" s="8"/>
      <c r="R217" s="82"/>
      <c r="S217" s="51"/>
      <c r="T217" s="11"/>
      <c r="U217" s="11"/>
      <c r="V217" s="52"/>
      <c r="W217" s="9"/>
      <c r="X217" s="9"/>
      <c r="Y217" s="9"/>
      <c r="Z217" s="9"/>
      <c r="AA217" s="42"/>
      <c r="AB217" s="9"/>
      <c r="AC217" s="9"/>
      <c r="AD217" s="9"/>
      <c r="AE217" s="9"/>
      <c r="AF217" s="42"/>
      <c r="AG217" s="9"/>
      <c r="AH217" s="9"/>
      <c r="AI217" s="9"/>
      <c r="AJ217" s="9"/>
      <c r="AK217" s="9"/>
      <c r="AL217" s="9"/>
      <c r="AM217" s="9"/>
      <c r="AN217" s="9"/>
      <c r="AO217" s="9"/>
      <c r="AP217" s="42"/>
      <c r="AQ217" s="9"/>
      <c r="AR217" s="9"/>
      <c r="AS217" s="9"/>
      <c r="AT217" s="9"/>
      <c r="AU217" s="42"/>
      <c r="AV217" s="9"/>
      <c r="AW217" s="9"/>
      <c r="AX217" s="9"/>
      <c r="AY217" s="9"/>
      <c r="AZ217" s="58"/>
      <c r="BA217" s="59"/>
      <c r="BG217" s="83"/>
      <c r="BO217" s="86"/>
      <c r="BP217" s="87"/>
      <c r="BQ217" s="21"/>
      <c r="BT217" s="68"/>
      <c r="BU217" s="1">
        <v>551</v>
      </c>
    </row>
    <row r="218" spans="1:214" ht="20.25" customHeight="1" x14ac:dyDescent="0.4">
      <c r="A218" s="1">
        <v>552</v>
      </c>
      <c r="B218" s="21">
        <f>O210</f>
        <v>1</v>
      </c>
      <c r="C218" s="93">
        <f>Q215</f>
        <v>1</v>
      </c>
      <c r="D218" s="94">
        <f t="shared" si="476"/>
        <v>0</v>
      </c>
      <c r="E218" s="8"/>
      <c r="F218" s="85"/>
      <c r="G218" s="8"/>
      <c r="H218" s="22"/>
      <c r="I218" s="8"/>
      <c r="J218" s="22"/>
      <c r="K218" s="8"/>
      <c r="L218" s="22"/>
      <c r="M218" s="8"/>
      <c r="N218" s="22"/>
      <c r="O218" s="8"/>
      <c r="P218" s="22"/>
      <c r="Q218" s="8"/>
      <c r="R218" s="82"/>
      <c r="S218" s="51"/>
      <c r="T218" s="11"/>
      <c r="U218" s="11"/>
      <c r="V218" s="52"/>
      <c r="W218" s="9"/>
      <c r="X218" s="9"/>
      <c r="Y218" s="9"/>
      <c r="Z218" s="9"/>
      <c r="AA218" s="42"/>
      <c r="AB218" s="9"/>
      <c r="AC218" s="9"/>
      <c r="AD218" s="9"/>
      <c r="AE218" s="9"/>
      <c r="AF218" s="42"/>
      <c r="AG218" s="9"/>
      <c r="AH218" s="9"/>
      <c r="AI218" s="9"/>
      <c r="AJ218" s="9"/>
      <c r="AK218" s="9"/>
      <c r="AL218" s="9"/>
      <c r="AM218" s="9"/>
      <c r="AN218" s="9"/>
      <c r="AO218" s="9"/>
      <c r="AP218" s="42"/>
      <c r="AQ218" s="9"/>
      <c r="AR218" s="9"/>
      <c r="AS218" s="9"/>
      <c r="AT218" s="9"/>
      <c r="AU218" s="42"/>
      <c r="AV218" s="9"/>
      <c r="AW218" s="9"/>
      <c r="AX218" s="9"/>
      <c r="AY218" s="9"/>
      <c r="AZ218" s="58"/>
      <c r="BA218" s="59"/>
      <c r="BG218" s="83"/>
      <c r="BO218" s="86"/>
      <c r="BP218" s="87"/>
      <c r="BQ218" s="21"/>
      <c r="BT218" s="68"/>
      <c r="BU218" s="1">
        <v>552</v>
      </c>
    </row>
    <row r="219" spans="1:214" ht="20.25" customHeight="1" thickBot="1" x14ac:dyDescent="0.45">
      <c r="A219" s="1"/>
      <c r="B219" s="21"/>
      <c r="C219" s="148"/>
      <c r="D219" s="94"/>
      <c r="E219" s="8"/>
      <c r="F219" s="85"/>
      <c r="G219" s="8"/>
      <c r="H219" s="22"/>
      <c r="I219" s="8"/>
      <c r="J219" s="22"/>
      <c r="K219" s="8"/>
      <c r="L219" s="22"/>
      <c r="M219" s="8"/>
      <c r="N219" s="22"/>
      <c r="O219" s="8"/>
      <c r="P219" s="22"/>
      <c r="Q219" s="8"/>
      <c r="R219" s="82"/>
      <c r="S219" s="51"/>
      <c r="T219" s="11"/>
      <c r="U219" s="11"/>
      <c r="V219" s="52"/>
      <c r="W219" s="9"/>
      <c r="X219" s="9"/>
      <c r="Y219" s="9"/>
      <c r="Z219" s="9"/>
      <c r="AA219" s="42"/>
      <c r="AB219" s="9"/>
      <c r="AC219" s="9"/>
      <c r="AD219" s="9"/>
      <c r="AE219" s="9"/>
      <c r="AF219" s="42"/>
      <c r="AG219" s="9"/>
      <c r="AH219" s="9"/>
      <c r="AI219" s="9"/>
      <c r="AJ219" s="9"/>
      <c r="AK219" s="9"/>
      <c r="AL219" s="9"/>
      <c r="AM219" s="9"/>
      <c r="AN219" s="9"/>
      <c r="AO219" s="9"/>
      <c r="AP219" s="42"/>
      <c r="AQ219" s="9"/>
      <c r="AR219" s="9"/>
      <c r="AS219" s="9"/>
      <c r="AT219" s="9"/>
      <c r="AU219" s="42"/>
      <c r="AV219" s="9"/>
      <c r="AW219" s="9"/>
      <c r="AX219" s="9"/>
      <c r="AY219" s="9"/>
      <c r="AZ219" s="58"/>
      <c r="BA219" s="59"/>
      <c r="BG219" s="83"/>
      <c r="BO219" s="86"/>
      <c r="BP219" s="87"/>
      <c r="BQ219" s="21"/>
      <c r="BT219" s="68"/>
      <c r="BU219" s="1"/>
    </row>
    <row r="220" spans="1:214" ht="20.25" customHeight="1" thickBot="1" x14ac:dyDescent="0.45">
      <c r="A220" s="1"/>
      <c r="B220" s="21"/>
      <c r="C220" s="148"/>
      <c r="D220" s="234" t="s">
        <v>5</v>
      </c>
      <c r="E220" s="235">
        <f>AVERAGE(G220,I220,K220,M220,O220,Q220)</f>
        <v>15</v>
      </c>
      <c r="F220" s="236"/>
      <c r="G220" s="237">
        <v>16</v>
      </c>
      <c r="H220" s="238"/>
      <c r="I220" s="237">
        <v>16</v>
      </c>
      <c r="J220" s="238"/>
      <c r="K220" s="237">
        <v>16</v>
      </c>
      <c r="L220" s="238"/>
      <c r="M220" s="237">
        <v>14</v>
      </c>
      <c r="N220" s="238"/>
      <c r="O220" s="237">
        <v>14</v>
      </c>
      <c r="P220" s="238"/>
      <c r="Q220" s="239">
        <v>14</v>
      </c>
      <c r="S220" s="51"/>
      <c r="T220" s="11"/>
      <c r="U220" s="11"/>
      <c r="V220" s="52"/>
      <c r="W220" s="9"/>
      <c r="X220" s="9"/>
      <c r="Y220" s="9"/>
      <c r="Z220" s="9"/>
      <c r="AA220" s="42"/>
      <c r="AB220" s="9"/>
      <c r="AC220" s="9"/>
      <c r="AD220" s="9"/>
      <c r="AE220" s="9"/>
      <c r="AF220" s="42"/>
      <c r="AG220" s="9"/>
      <c r="AH220" s="9"/>
      <c r="AI220" s="9"/>
      <c r="AJ220" s="9"/>
      <c r="AK220" s="9"/>
      <c r="AL220" s="9"/>
      <c r="AM220" s="9"/>
      <c r="AN220" s="9"/>
      <c r="AO220" s="9"/>
      <c r="AP220" s="42"/>
      <c r="AQ220" s="9"/>
      <c r="AR220" s="9"/>
      <c r="AS220" s="9"/>
      <c r="AT220" s="9"/>
      <c r="AU220" s="42"/>
      <c r="AV220" s="9"/>
      <c r="AW220" s="9"/>
      <c r="AX220" s="9"/>
      <c r="AY220" s="9"/>
      <c r="AZ220" s="58"/>
      <c r="BA220" s="59"/>
      <c r="BG220" s="83"/>
      <c r="BO220" s="86"/>
      <c r="BP220" s="87"/>
      <c r="BQ220" s="21"/>
      <c r="BT220" s="68"/>
      <c r="BU220" s="1"/>
    </row>
    <row r="221" spans="1:214" ht="20.25" customHeight="1" thickBot="1" x14ac:dyDescent="0.45">
      <c r="A221" s="1"/>
      <c r="B221" s="21"/>
      <c r="C221" s="148"/>
      <c r="D221" s="234" t="s">
        <v>34</v>
      </c>
      <c r="E221" s="235">
        <f t="shared" ref="E221:E228" si="477">AVERAGE(G221,I221,K221,M221,O221,Q221)</f>
        <v>10.166666666666666</v>
      </c>
      <c r="F221" s="236"/>
      <c r="G221" s="237">
        <v>9</v>
      </c>
      <c r="H221" s="238"/>
      <c r="I221" s="237">
        <v>10</v>
      </c>
      <c r="J221" s="238"/>
      <c r="K221" s="237">
        <v>10</v>
      </c>
      <c r="L221" s="238"/>
      <c r="M221" s="237">
        <v>11</v>
      </c>
      <c r="N221" s="238"/>
      <c r="O221" s="237">
        <v>11</v>
      </c>
      <c r="P221" s="238"/>
      <c r="Q221" s="239">
        <v>10</v>
      </c>
      <c r="S221" s="51"/>
      <c r="T221" s="11"/>
      <c r="U221" s="11"/>
      <c r="V221" s="52"/>
      <c r="W221" s="9"/>
      <c r="X221" s="9"/>
      <c r="Y221" s="9"/>
      <c r="Z221" s="9"/>
      <c r="AA221" s="42"/>
      <c r="AB221" s="9"/>
      <c r="AC221" s="9"/>
      <c r="AD221" s="9"/>
      <c r="AE221" s="9"/>
      <c r="AF221" s="42"/>
      <c r="AG221" s="9"/>
      <c r="AH221" s="9"/>
      <c r="AI221" s="9"/>
      <c r="AJ221" s="9"/>
      <c r="AK221" s="9"/>
      <c r="AL221" s="9"/>
      <c r="AM221" s="9"/>
      <c r="AN221" s="9"/>
      <c r="AO221" s="9"/>
      <c r="AP221" s="42"/>
      <c r="AQ221" s="9"/>
      <c r="AR221" s="9"/>
      <c r="AS221" s="9"/>
      <c r="AT221" s="9"/>
      <c r="AU221" s="42"/>
      <c r="AV221" s="9"/>
      <c r="AW221" s="9"/>
      <c r="AX221" s="9"/>
      <c r="AY221" s="9"/>
      <c r="AZ221" s="58"/>
      <c r="BA221" s="59"/>
      <c r="BG221" s="83"/>
      <c r="BO221" s="86"/>
      <c r="BP221" s="87"/>
      <c r="BQ221" s="21"/>
      <c r="BT221" s="68"/>
      <c r="BU221" s="1"/>
    </row>
    <row r="222" spans="1:214" ht="20.25" customHeight="1" thickBot="1" x14ac:dyDescent="0.45">
      <c r="A222" s="1"/>
      <c r="B222" s="21"/>
      <c r="C222" s="148"/>
      <c r="D222" s="234" t="s">
        <v>42</v>
      </c>
      <c r="E222" s="235">
        <f t="shared" si="477"/>
        <v>12.666666666666666</v>
      </c>
      <c r="F222" s="236"/>
      <c r="G222" s="237">
        <v>12</v>
      </c>
      <c r="H222" s="238"/>
      <c r="I222" s="237">
        <v>13</v>
      </c>
      <c r="J222" s="238"/>
      <c r="K222" s="237">
        <v>16</v>
      </c>
      <c r="L222" s="238"/>
      <c r="M222" s="237">
        <v>13</v>
      </c>
      <c r="N222" s="238"/>
      <c r="O222" s="237">
        <v>12</v>
      </c>
      <c r="P222" s="238"/>
      <c r="Q222" s="239">
        <v>10</v>
      </c>
      <c r="S222" s="51"/>
      <c r="T222" s="11"/>
      <c r="U222" s="11"/>
      <c r="V222" s="52"/>
      <c r="W222" s="9"/>
      <c r="X222" s="9"/>
      <c r="Y222" s="9"/>
      <c r="Z222" s="9"/>
      <c r="AA222" s="42"/>
      <c r="AB222" s="9"/>
      <c r="AC222" s="9"/>
      <c r="AD222" s="9"/>
      <c r="AE222" s="9"/>
      <c r="AF222" s="42"/>
      <c r="AG222" s="9"/>
      <c r="AH222" s="9"/>
      <c r="AI222" s="9"/>
      <c r="AJ222" s="9"/>
      <c r="AK222" s="9"/>
      <c r="AL222" s="9"/>
      <c r="AM222" s="9"/>
      <c r="AN222" s="9"/>
      <c r="AO222" s="9"/>
      <c r="AP222" s="42"/>
      <c r="AQ222" s="9"/>
      <c r="AR222" s="9"/>
      <c r="AS222" s="9"/>
      <c r="AT222" s="9"/>
      <c r="AU222" s="42"/>
      <c r="AV222" s="9"/>
      <c r="AW222" s="9"/>
      <c r="AX222" s="9"/>
      <c r="AY222" s="9"/>
      <c r="AZ222" s="58"/>
      <c r="BA222" s="59"/>
      <c r="BG222" s="83"/>
      <c r="BO222" s="86"/>
      <c r="BP222" s="87"/>
      <c r="BQ222" s="21"/>
      <c r="BT222" s="68"/>
      <c r="BU222" s="1"/>
    </row>
    <row r="223" spans="1:214" ht="20.25" customHeight="1" thickBot="1" x14ac:dyDescent="0.45">
      <c r="A223" s="1"/>
      <c r="B223" s="21"/>
      <c r="C223" s="148"/>
      <c r="D223" s="234" t="s">
        <v>44</v>
      </c>
      <c r="E223" s="235">
        <f t="shared" si="477"/>
        <v>17</v>
      </c>
      <c r="F223" s="236"/>
      <c r="G223" s="237">
        <v>17</v>
      </c>
      <c r="H223" s="238"/>
      <c r="I223" s="237">
        <v>17</v>
      </c>
      <c r="J223" s="238"/>
      <c r="K223" s="237">
        <v>17</v>
      </c>
      <c r="L223" s="238"/>
      <c r="M223" s="237">
        <v>17</v>
      </c>
      <c r="N223" s="238"/>
      <c r="O223" s="237">
        <v>17</v>
      </c>
      <c r="P223" s="238"/>
      <c r="Q223" s="239">
        <v>17</v>
      </c>
      <c r="S223" s="51"/>
      <c r="T223" s="11"/>
      <c r="U223" s="11"/>
      <c r="V223" s="52"/>
      <c r="W223" s="9"/>
      <c r="X223" s="9"/>
      <c r="Y223" s="9"/>
      <c r="Z223" s="9"/>
      <c r="AA223" s="42"/>
      <c r="AB223" s="9"/>
      <c r="AC223" s="9"/>
      <c r="AD223" s="9"/>
      <c r="AE223" s="9"/>
      <c r="AF223" s="42"/>
      <c r="AG223" s="9"/>
      <c r="AH223" s="9"/>
      <c r="AI223" s="9"/>
      <c r="AJ223" s="9"/>
      <c r="AK223" s="9"/>
      <c r="AL223" s="9"/>
      <c r="AM223" s="9"/>
      <c r="AN223" s="9"/>
      <c r="AO223" s="9"/>
      <c r="AP223" s="42"/>
      <c r="AQ223" s="9"/>
      <c r="AR223" s="9"/>
      <c r="AS223" s="9"/>
      <c r="AT223" s="9"/>
      <c r="AU223" s="42"/>
      <c r="AV223" s="9"/>
      <c r="AW223" s="9"/>
      <c r="AX223" s="9"/>
      <c r="AY223" s="9"/>
      <c r="AZ223" s="58"/>
      <c r="BA223" s="59"/>
      <c r="BG223" s="83"/>
      <c r="BO223" s="86"/>
      <c r="BP223" s="87"/>
      <c r="BQ223" s="21"/>
      <c r="BT223" s="68"/>
      <c r="BU223" s="1"/>
    </row>
    <row r="224" spans="1:214" ht="20.25" customHeight="1" thickBot="1" x14ac:dyDescent="0.45">
      <c r="A224" s="1"/>
      <c r="B224" s="21"/>
      <c r="C224" s="148"/>
      <c r="D224" s="234" t="s">
        <v>47</v>
      </c>
      <c r="E224" s="235">
        <f t="shared" si="477"/>
        <v>7</v>
      </c>
      <c r="F224" s="236"/>
      <c r="G224" s="237">
        <v>7</v>
      </c>
      <c r="H224" s="238"/>
      <c r="I224" s="237">
        <v>7</v>
      </c>
      <c r="J224" s="238"/>
      <c r="K224" s="237">
        <v>7</v>
      </c>
      <c r="L224" s="238"/>
      <c r="M224" s="237">
        <v>7</v>
      </c>
      <c r="N224" s="238"/>
      <c r="O224" s="237">
        <v>7</v>
      </c>
      <c r="P224" s="238"/>
      <c r="Q224" s="239">
        <v>7</v>
      </c>
      <c r="S224" s="51"/>
      <c r="T224" s="11"/>
      <c r="U224" s="11"/>
      <c r="V224" s="52"/>
      <c r="W224" s="9"/>
      <c r="X224" s="9"/>
      <c r="Y224" s="9"/>
      <c r="Z224" s="9"/>
      <c r="AA224" s="42"/>
      <c r="AB224" s="9"/>
      <c r="AC224" s="9"/>
      <c r="AD224" s="9"/>
      <c r="AE224" s="9"/>
      <c r="AF224" s="42"/>
      <c r="AG224" s="9"/>
      <c r="AH224" s="9"/>
      <c r="AI224" s="9"/>
      <c r="AJ224" s="9"/>
      <c r="AK224" s="9"/>
      <c r="AL224" s="9"/>
      <c r="AM224" s="9"/>
      <c r="AN224" s="9"/>
      <c r="AO224" s="9"/>
      <c r="AP224" s="42"/>
      <c r="AQ224" s="9"/>
      <c r="AR224" s="9"/>
      <c r="AS224" s="9"/>
      <c r="AT224" s="9"/>
      <c r="AU224" s="42"/>
      <c r="AV224" s="9"/>
      <c r="AW224" s="9"/>
      <c r="AX224" s="9"/>
      <c r="AY224" s="9"/>
      <c r="AZ224" s="58"/>
      <c r="BA224" s="59"/>
      <c r="BG224" s="83"/>
      <c r="BO224" s="86"/>
      <c r="BP224" s="87"/>
      <c r="BQ224" s="21"/>
      <c r="BT224" s="68"/>
      <c r="BU224" s="1"/>
    </row>
    <row r="225" spans="1:74" ht="20.25" customHeight="1" thickBot="1" x14ac:dyDescent="0.45">
      <c r="A225" s="1"/>
      <c r="B225" s="21"/>
      <c r="C225" s="148"/>
      <c r="D225" s="234" t="s">
        <v>51</v>
      </c>
      <c r="E225" s="235">
        <f t="shared" si="477"/>
        <v>5</v>
      </c>
      <c r="F225" s="236"/>
      <c r="G225" s="237">
        <v>5</v>
      </c>
      <c r="H225" s="238"/>
      <c r="I225" s="237">
        <v>5</v>
      </c>
      <c r="J225" s="238"/>
      <c r="K225" s="237">
        <v>5</v>
      </c>
      <c r="L225" s="238"/>
      <c r="M225" s="237">
        <v>5</v>
      </c>
      <c r="N225" s="238"/>
      <c r="O225" s="237">
        <v>5</v>
      </c>
      <c r="P225" s="238"/>
      <c r="Q225" s="239">
        <v>5</v>
      </c>
      <c r="S225" s="51"/>
      <c r="T225" s="11"/>
      <c r="U225" s="11"/>
      <c r="V225" s="52"/>
      <c r="W225" s="9"/>
      <c r="X225" s="9"/>
      <c r="Y225" s="9"/>
      <c r="Z225" s="9"/>
      <c r="AA225" s="42"/>
      <c r="AB225" s="9"/>
      <c r="AC225" s="9"/>
      <c r="AD225" s="9"/>
      <c r="AE225" s="9"/>
      <c r="AF225" s="42"/>
      <c r="AG225" s="9"/>
      <c r="AH225" s="9"/>
      <c r="AI225" s="9"/>
      <c r="AJ225" s="9"/>
      <c r="AK225" s="9"/>
      <c r="AL225" s="9"/>
      <c r="AM225" s="9"/>
      <c r="AN225" s="9"/>
      <c r="AO225" s="9"/>
      <c r="AP225" s="42"/>
      <c r="AQ225" s="9"/>
      <c r="AR225" s="9"/>
      <c r="AS225" s="9"/>
      <c r="AT225" s="9"/>
      <c r="AU225" s="42"/>
      <c r="AV225" s="9"/>
      <c r="AW225" s="9"/>
      <c r="AX225" s="9"/>
      <c r="AY225" s="9"/>
      <c r="AZ225" s="58"/>
      <c r="BA225" s="59"/>
      <c r="BG225" s="83"/>
      <c r="BO225" s="86"/>
      <c r="BP225" s="87"/>
      <c r="BQ225" s="21"/>
      <c r="BT225" s="68"/>
      <c r="BU225" s="1"/>
    </row>
    <row r="226" spans="1:74" ht="20.25" customHeight="1" thickBot="1" x14ac:dyDescent="0.45">
      <c r="A226" s="1"/>
      <c r="B226" s="21"/>
      <c r="C226" s="148"/>
      <c r="D226" s="234" t="s">
        <v>56</v>
      </c>
      <c r="E226" s="235">
        <f t="shared" si="477"/>
        <v>4.833333333333333</v>
      </c>
      <c r="F226" s="236"/>
      <c r="G226" s="237">
        <v>5</v>
      </c>
      <c r="H226" s="238"/>
      <c r="I226" s="237">
        <v>5</v>
      </c>
      <c r="J226" s="238"/>
      <c r="K226" s="237">
        <v>5</v>
      </c>
      <c r="L226" s="238"/>
      <c r="M226" s="237">
        <v>4</v>
      </c>
      <c r="N226" s="238"/>
      <c r="O226" s="237">
        <v>5</v>
      </c>
      <c r="P226" s="238"/>
      <c r="Q226" s="239">
        <v>5</v>
      </c>
      <c r="S226" s="51"/>
      <c r="T226" s="11"/>
      <c r="U226" s="11"/>
      <c r="V226" s="52"/>
      <c r="W226" s="9"/>
      <c r="X226" s="9"/>
      <c r="Y226" s="9"/>
      <c r="Z226" s="9"/>
      <c r="AA226" s="42"/>
      <c r="AB226" s="9"/>
      <c r="AC226" s="9"/>
      <c r="AD226" s="9"/>
      <c r="AE226" s="9"/>
      <c r="AF226" s="42"/>
      <c r="AG226" s="9"/>
      <c r="AH226" s="9"/>
      <c r="AI226" s="9"/>
      <c r="AJ226" s="9"/>
      <c r="AK226" s="9"/>
      <c r="AL226" s="9"/>
      <c r="AM226" s="9"/>
      <c r="AN226" s="9"/>
      <c r="AO226" s="9"/>
      <c r="AP226" s="42"/>
      <c r="AQ226" s="9"/>
      <c r="AR226" s="9"/>
      <c r="AS226" s="9"/>
      <c r="AT226" s="9"/>
      <c r="AU226" s="42"/>
      <c r="AV226" s="9"/>
      <c r="AW226" s="9"/>
      <c r="AX226" s="9"/>
      <c r="AY226" s="9"/>
      <c r="AZ226" s="58"/>
      <c r="BA226" s="59"/>
      <c r="BG226" s="83"/>
      <c r="BO226" s="86"/>
      <c r="BP226" s="87"/>
      <c r="BQ226" s="21"/>
      <c r="BT226" s="68"/>
      <c r="BU226" s="1"/>
    </row>
    <row r="227" spans="1:74" ht="20.25" customHeight="1" thickBot="1" x14ac:dyDescent="0.45">
      <c r="A227" s="1"/>
      <c r="B227" s="21"/>
      <c r="C227" s="148"/>
      <c r="D227" s="234" t="s">
        <v>60</v>
      </c>
      <c r="E227" s="235">
        <f t="shared" si="477"/>
        <v>10</v>
      </c>
      <c r="F227" s="236"/>
      <c r="G227" s="237">
        <v>10</v>
      </c>
      <c r="H227" s="238"/>
      <c r="I227" s="237">
        <v>10</v>
      </c>
      <c r="J227" s="238"/>
      <c r="K227" s="237">
        <v>10</v>
      </c>
      <c r="L227" s="238"/>
      <c r="M227" s="237">
        <v>10</v>
      </c>
      <c r="N227" s="238"/>
      <c r="O227" s="237">
        <v>10</v>
      </c>
      <c r="P227" s="238"/>
      <c r="Q227" s="239">
        <v>10</v>
      </c>
      <c r="S227" s="51"/>
      <c r="T227" s="11"/>
      <c r="U227" s="11"/>
      <c r="V227" s="52"/>
      <c r="W227" s="9"/>
      <c r="X227" s="9"/>
      <c r="Y227" s="9"/>
      <c r="Z227" s="9"/>
      <c r="AA227" s="42"/>
      <c r="AB227" s="9"/>
      <c r="AC227" s="9"/>
      <c r="AD227" s="9"/>
      <c r="AE227" s="9"/>
      <c r="AF227" s="42"/>
      <c r="AG227" s="9"/>
      <c r="AH227" s="9"/>
      <c r="AI227" s="9"/>
      <c r="AJ227" s="9"/>
      <c r="AK227" s="9"/>
      <c r="AL227" s="9"/>
      <c r="AM227" s="9"/>
      <c r="AN227" s="9"/>
      <c r="AO227" s="9"/>
      <c r="AP227" s="42"/>
      <c r="AQ227" s="9"/>
      <c r="AR227" s="9"/>
      <c r="AS227" s="9"/>
      <c r="AT227" s="9"/>
      <c r="AU227" s="42"/>
      <c r="AV227" s="9"/>
      <c r="AW227" s="9"/>
      <c r="AX227" s="9"/>
      <c r="AY227" s="9"/>
      <c r="AZ227" s="58"/>
      <c r="BA227" s="59"/>
      <c r="BG227" s="83"/>
      <c r="BO227" s="86"/>
      <c r="BP227" s="87"/>
      <c r="BQ227" s="21"/>
      <c r="BT227" s="68"/>
      <c r="BU227" s="1"/>
    </row>
    <row r="228" spans="1:74" ht="20.25" customHeight="1" thickBot="1" x14ac:dyDescent="0.45">
      <c r="A228" s="1"/>
      <c r="B228" s="21"/>
      <c r="C228" s="148"/>
      <c r="D228" s="234" t="s">
        <v>70</v>
      </c>
      <c r="E228" s="235">
        <f t="shared" si="477"/>
        <v>1</v>
      </c>
      <c r="F228" s="236"/>
      <c r="G228" s="237">
        <v>1</v>
      </c>
      <c r="H228" s="238"/>
      <c r="I228" s="237">
        <v>1</v>
      </c>
      <c r="J228" s="238"/>
      <c r="K228" s="237">
        <v>1</v>
      </c>
      <c r="L228" s="238"/>
      <c r="M228" s="237">
        <v>1</v>
      </c>
      <c r="N228" s="238"/>
      <c r="O228" s="237">
        <v>1</v>
      </c>
      <c r="P228" s="238"/>
      <c r="Q228" s="239">
        <v>1</v>
      </c>
      <c r="S228" s="51"/>
      <c r="T228" s="11"/>
      <c r="U228" s="11"/>
      <c r="V228" s="52"/>
      <c r="W228" s="9"/>
      <c r="X228" s="9"/>
      <c r="Y228" s="9"/>
      <c r="Z228" s="9"/>
      <c r="AA228" s="42"/>
      <c r="AB228" s="9"/>
      <c r="AC228" s="9"/>
      <c r="AD228" s="9"/>
      <c r="AE228" s="9"/>
      <c r="AF228" s="42"/>
      <c r="AG228" s="9"/>
      <c r="AH228" s="9"/>
      <c r="AI228" s="9"/>
      <c r="AJ228" s="9"/>
      <c r="AK228" s="9"/>
      <c r="AL228" s="9"/>
      <c r="AM228" s="9"/>
      <c r="AN228" s="9"/>
      <c r="AO228" s="9"/>
      <c r="AP228" s="42"/>
      <c r="AQ228" s="9"/>
      <c r="AR228" s="9"/>
      <c r="AS228" s="9"/>
      <c r="AT228" s="9"/>
      <c r="AU228" s="42"/>
      <c r="AV228" s="9"/>
      <c r="AW228" s="9"/>
      <c r="AX228" s="9"/>
      <c r="AY228" s="9"/>
      <c r="AZ228" s="58"/>
      <c r="BA228" s="59"/>
      <c r="BG228" s="83"/>
      <c r="BO228" s="86"/>
      <c r="BP228" s="87"/>
      <c r="BQ228" s="21"/>
      <c r="BT228" s="68"/>
      <c r="BU228" s="1"/>
    </row>
    <row r="229" spans="1:74" ht="20.25" customHeight="1" thickBot="1" x14ac:dyDescent="0.45">
      <c r="A229" s="1"/>
      <c r="B229" s="21"/>
      <c r="C229" s="148"/>
      <c r="D229" s="240"/>
      <c r="E229" s="235"/>
      <c r="F229" s="236"/>
      <c r="G229" s="237"/>
      <c r="H229" s="238"/>
      <c r="I229" s="237"/>
      <c r="J229" s="238"/>
      <c r="K229" s="237"/>
      <c r="L229" s="238"/>
      <c r="M229" s="237"/>
      <c r="N229" s="238"/>
      <c r="O229" s="237"/>
      <c r="P229" s="238"/>
      <c r="Q229" s="239"/>
      <c r="S229" s="51"/>
      <c r="T229" s="11"/>
      <c r="U229" s="11"/>
      <c r="V229" s="52"/>
      <c r="W229" s="9"/>
      <c r="X229" s="9"/>
      <c r="Y229" s="9"/>
      <c r="Z229" s="9"/>
      <c r="AA229" s="42"/>
      <c r="AB229" s="9"/>
      <c r="AC229" s="9"/>
      <c r="AD229" s="9"/>
      <c r="AE229" s="9"/>
      <c r="AF229" s="42"/>
      <c r="AG229" s="9"/>
      <c r="AH229" s="9"/>
      <c r="AI229" s="9"/>
      <c r="AJ229" s="9"/>
      <c r="AK229" s="9"/>
      <c r="AL229" s="9"/>
      <c r="AM229" s="9"/>
      <c r="AN229" s="9"/>
      <c r="AO229" s="9"/>
      <c r="AP229" s="42"/>
      <c r="AQ229" s="9"/>
      <c r="AR229" s="9"/>
      <c r="AS229" s="9"/>
      <c r="AT229" s="9"/>
      <c r="AU229" s="42"/>
      <c r="AV229" s="9"/>
      <c r="AW229" s="9"/>
      <c r="AX229" s="9"/>
      <c r="AY229" s="9"/>
      <c r="AZ229" s="58"/>
      <c r="BA229" s="59"/>
      <c r="BG229" s="83"/>
      <c r="BO229" s="86"/>
      <c r="BP229" s="87"/>
      <c r="BQ229" s="21"/>
      <c r="BT229" s="68"/>
      <c r="BU229" s="1"/>
    </row>
    <row r="230" spans="1:74" ht="20.25" customHeight="1" thickBot="1" x14ac:dyDescent="0.45">
      <c r="A230" s="1"/>
      <c r="B230" s="21"/>
      <c r="C230" s="148"/>
      <c r="D230" s="241" t="s">
        <v>82</v>
      </c>
      <c r="E230" s="242">
        <f>AVERAGE(G230,I230,K230,M230,O230,Q230)</f>
        <v>82.666666666666671</v>
      </c>
      <c r="F230" s="243"/>
      <c r="G230" s="244">
        <f>+G220+G221+G222+G223+G224+G225+G226+G227+G228</f>
        <v>82</v>
      </c>
      <c r="H230" s="244">
        <f t="shared" ref="H230:P230" si="478">+H220+H221+H222+H223+H224+H225+H226+H227+H228</f>
        <v>0</v>
      </c>
      <c r="I230" s="244">
        <f>+I220+I221+I222+I223+I224+I225+I226+I227+I228</f>
        <v>84</v>
      </c>
      <c r="J230" s="244">
        <f t="shared" si="478"/>
        <v>0</v>
      </c>
      <c r="K230" s="244">
        <f>+K220+K221+K222+K223+K224+K225+K226+K227+K228</f>
        <v>87</v>
      </c>
      <c r="L230" s="244">
        <f t="shared" si="478"/>
        <v>0</v>
      </c>
      <c r="M230" s="244">
        <f>+M220+M221+M222+M223+M224+M225+M226+M227+M228</f>
        <v>82</v>
      </c>
      <c r="N230" s="244">
        <f t="shared" si="478"/>
        <v>0</v>
      </c>
      <c r="O230" s="244">
        <f>+O220+O221+O222+O223+O224+O225+O226+O227+O228</f>
        <v>82</v>
      </c>
      <c r="P230" s="244">
        <f t="shared" si="478"/>
        <v>0</v>
      </c>
      <c r="Q230" s="245">
        <f>+Q220+Q221+Q222+Q223+Q224+Q225+Q226+Q227+Q228</f>
        <v>79</v>
      </c>
      <c r="S230" s="51"/>
      <c r="T230" s="11"/>
      <c r="U230" s="11"/>
      <c r="V230" s="52"/>
      <c r="W230" s="9"/>
      <c r="X230" s="9"/>
      <c r="Y230" s="9"/>
      <c r="Z230" s="9"/>
      <c r="AA230" s="42"/>
      <c r="AB230" s="9"/>
      <c r="AC230" s="9"/>
      <c r="AD230" s="9"/>
      <c r="AE230" s="9"/>
      <c r="AF230" s="42"/>
      <c r="AG230" s="9"/>
      <c r="AH230" s="9"/>
      <c r="AI230" s="9"/>
      <c r="AJ230" s="9"/>
      <c r="AK230" s="9"/>
      <c r="AL230" s="9"/>
      <c r="AM230" s="9"/>
      <c r="AN230" s="9"/>
      <c r="AO230" s="9"/>
      <c r="AP230" s="42"/>
      <c r="AQ230" s="9"/>
      <c r="AR230" s="9"/>
      <c r="AS230" s="9"/>
      <c r="AT230" s="9"/>
      <c r="AU230" s="42"/>
      <c r="AV230" s="9"/>
      <c r="AW230" s="9"/>
      <c r="AX230" s="9"/>
      <c r="AY230" s="9"/>
      <c r="AZ230" s="58"/>
      <c r="BA230" s="59"/>
      <c r="BG230" s="83"/>
      <c r="BO230" s="86"/>
      <c r="BP230" s="87"/>
      <c r="BQ230" s="21"/>
      <c r="BT230" s="68"/>
      <c r="BU230" s="1"/>
    </row>
    <row r="231" spans="1:74" ht="20.25" customHeight="1" thickBot="1" x14ac:dyDescent="0.45">
      <c r="A231" s="1"/>
      <c r="B231" s="21"/>
      <c r="C231" s="148"/>
      <c r="D231" s="246"/>
      <c r="E231" s="247" t="s">
        <v>83</v>
      </c>
      <c r="F231" s="248"/>
      <c r="G231" s="249">
        <v>0</v>
      </c>
      <c r="H231" s="249"/>
      <c r="I231" s="249">
        <v>0</v>
      </c>
      <c r="J231" s="249"/>
      <c r="K231" s="249">
        <v>0</v>
      </c>
      <c r="L231" s="249"/>
      <c r="M231" s="249">
        <v>0</v>
      </c>
      <c r="N231" s="249"/>
      <c r="O231" s="249">
        <v>0</v>
      </c>
      <c r="P231" s="250"/>
      <c r="Q231" s="251">
        <v>0</v>
      </c>
      <c r="S231" s="51"/>
      <c r="T231" s="11"/>
      <c r="U231" s="11"/>
      <c r="V231" s="52"/>
      <c r="W231" s="9"/>
      <c r="X231" s="9"/>
      <c r="Y231" s="9"/>
      <c r="Z231" s="9"/>
      <c r="AA231" s="42"/>
      <c r="AB231" s="9"/>
      <c r="AC231" s="9"/>
      <c r="AD231" s="9"/>
      <c r="AE231" s="9"/>
      <c r="AF231" s="42"/>
      <c r="AG231" s="9"/>
      <c r="AH231" s="9"/>
      <c r="AI231" s="9"/>
      <c r="AJ231" s="9"/>
      <c r="AK231" s="9"/>
      <c r="AL231" s="9"/>
      <c r="AM231" s="9"/>
      <c r="AN231" s="9"/>
      <c r="AO231" s="9"/>
      <c r="AP231" s="42"/>
      <c r="AQ231" s="9"/>
      <c r="AR231" s="9"/>
      <c r="AS231" s="9"/>
      <c r="AT231" s="9"/>
      <c r="AU231" s="42"/>
      <c r="AV231" s="9"/>
      <c r="AW231" s="9"/>
      <c r="AX231" s="9"/>
      <c r="AY231" s="9"/>
      <c r="AZ231" s="58"/>
      <c r="BA231" s="59"/>
      <c r="BG231" s="83"/>
      <c r="BO231" s="86"/>
      <c r="BP231" s="87"/>
      <c r="BQ231" s="21"/>
      <c r="BT231" s="68"/>
      <c r="BU231" s="1"/>
    </row>
    <row r="232" spans="1:74" ht="20.25" customHeight="1" thickBot="1" x14ac:dyDescent="0.45">
      <c r="A232" s="1"/>
      <c r="B232" s="21"/>
      <c r="C232" s="148"/>
      <c r="D232" s="252" t="s">
        <v>17</v>
      </c>
      <c r="E232" s="253">
        <f>AVERAGE(G232,I232,K232,M232,O232,Q232)</f>
        <v>82.666666666666671</v>
      </c>
      <c r="F232" s="254"/>
      <c r="G232" s="255">
        <f>+G230+G231</f>
        <v>82</v>
      </c>
      <c r="H232" s="256"/>
      <c r="I232" s="255">
        <f>+I230+I231</f>
        <v>84</v>
      </c>
      <c r="J232" s="256"/>
      <c r="K232" s="255">
        <f>+K230+K231</f>
        <v>87</v>
      </c>
      <c r="L232" s="256"/>
      <c r="M232" s="255">
        <f>+M230+M231</f>
        <v>82</v>
      </c>
      <c r="N232" s="255"/>
      <c r="O232" s="255">
        <f>+O230+O231</f>
        <v>82</v>
      </c>
      <c r="P232" s="256"/>
      <c r="Q232" s="257">
        <f>+Q220+Q221+Q222+Q223+Q224+Q225+Q226+Q227+Q228</f>
        <v>79</v>
      </c>
      <c r="S232" s="51"/>
      <c r="T232" s="11"/>
      <c r="U232" s="11"/>
      <c r="V232" s="52"/>
      <c r="W232" s="9"/>
      <c r="X232" s="9"/>
      <c r="Y232" s="9"/>
      <c r="Z232" s="9"/>
      <c r="AA232" s="42"/>
      <c r="AB232" s="9"/>
      <c r="AC232" s="9"/>
      <c r="AD232" s="9"/>
      <c r="AE232" s="9"/>
      <c r="AF232" s="42"/>
      <c r="AG232" s="9"/>
      <c r="AH232" s="9"/>
      <c r="AI232" s="9"/>
      <c r="AJ232" s="9"/>
      <c r="AK232" s="9"/>
      <c r="AL232" s="9"/>
      <c r="AM232" s="9"/>
      <c r="AN232" s="9"/>
      <c r="AO232" s="9"/>
      <c r="AP232" s="42"/>
      <c r="AQ232" s="9"/>
      <c r="AR232" s="9"/>
      <c r="AS232" s="9"/>
      <c r="AT232" s="9"/>
      <c r="AU232" s="42"/>
      <c r="AV232" s="9"/>
      <c r="AW232" s="9"/>
      <c r="AX232" s="9"/>
      <c r="AY232" s="9"/>
      <c r="AZ232" s="58"/>
      <c r="BA232" s="59"/>
      <c r="BG232" s="83"/>
      <c r="BO232" s="86"/>
      <c r="BP232" s="87"/>
      <c r="BQ232" s="21"/>
      <c r="BT232" s="68"/>
      <c r="BU232" s="1"/>
    </row>
    <row r="233" spans="1:74" ht="20.25" customHeight="1" x14ac:dyDescent="0.4">
      <c r="A233" s="1"/>
      <c r="B233" s="21"/>
      <c r="C233" s="148"/>
      <c r="D233" s="323"/>
      <c r="E233" s="324"/>
      <c r="F233" s="325"/>
      <c r="G233" s="42"/>
      <c r="H233" s="326"/>
      <c r="I233" s="42"/>
      <c r="J233" s="326"/>
      <c r="K233" s="42"/>
      <c r="L233" s="326"/>
      <c r="M233" s="42"/>
      <c r="N233" s="42"/>
      <c r="O233" s="42"/>
      <c r="P233" s="326"/>
      <c r="Q233" s="42"/>
      <c r="S233" s="51"/>
      <c r="T233" s="11"/>
      <c r="U233" s="11"/>
      <c r="V233" s="52"/>
      <c r="W233" s="9"/>
      <c r="X233" s="9"/>
      <c r="Y233" s="9"/>
      <c r="Z233" s="9"/>
      <c r="AA233" s="42"/>
      <c r="AB233" s="9"/>
      <c r="AC233" s="9"/>
      <c r="AD233" s="9"/>
      <c r="AE233" s="9"/>
      <c r="AF233" s="42"/>
      <c r="AG233" s="9"/>
      <c r="AH233" s="9"/>
      <c r="AI233" s="9"/>
      <c r="AJ233" s="9"/>
      <c r="AK233" s="9"/>
      <c r="AL233" s="9"/>
      <c r="AM233" s="9"/>
      <c r="AN233" s="9"/>
      <c r="AO233" s="9"/>
      <c r="AP233" s="42"/>
      <c r="AQ233" s="9"/>
      <c r="AR233" s="9"/>
      <c r="AS233" s="9"/>
      <c r="AT233" s="9"/>
      <c r="AU233" s="42"/>
      <c r="AV233" s="9"/>
      <c r="AW233" s="9"/>
      <c r="AX233" s="9"/>
      <c r="AY233" s="9"/>
      <c r="AZ233" s="58"/>
      <c r="BA233" s="59"/>
      <c r="BG233" s="83"/>
      <c r="BO233" s="86"/>
      <c r="BP233" s="87"/>
      <c r="BQ233" s="21"/>
      <c r="BT233" s="68"/>
      <c r="BU233" s="1"/>
    </row>
    <row r="234" spans="1:74" ht="20.25" customHeight="1" thickBot="1" x14ac:dyDescent="0.45">
      <c r="A234" s="1"/>
      <c r="B234" s="21"/>
      <c r="C234" s="148"/>
      <c r="D234" s="94"/>
      <c r="E234" s="8"/>
      <c r="F234" s="85"/>
      <c r="G234" s="8"/>
      <c r="H234" s="22"/>
      <c r="I234" s="8"/>
      <c r="J234" s="22"/>
      <c r="K234" s="8"/>
      <c r="L234" s="22"/>
      <c r="M234" s="8"/>
      <c r="N234" s="22"/>
      <c r="O234" s="8"/>
      <c r="P234" s="22"/>
      <c r="Q234" s="8"/>
      <c r="R234" s="82"/>
      <c r="S234" s="51"/>
      <c r="T234" s="11"/>
      <c r="U234" s="11"/>
      <c r="V234" s="52"/>
      <c r="W234" s="9"/>
      <c r="X234" s="9"/>
      <c r="Y234" s="9"/>
      <c r="Z234" s="9"/>
      <c r="AA234" s="42"/>
      <c r="AB234" s="9"/>
      <c r="AC234" s="9"/>
      <c r="AD234" s="9"/>
      <c r="AE234" s="9"/>
      <c r="AF234" s="42"/>
      <c r="AG234" s="9"/>
      <c r="AH234" s="9"/>
      <c r="AI234" s="9"/>
      <c r="AJ234" s="9"/>
      <c r="AK234" s="9"/>
      <c r="AL234" s="9"/>
      <c r="AM234" s="9"/>
      <c r="AN234" s="9"/>
      <c r="AO234" s="9"/>
      <c r="AP234" s="42"/>
      <c r="AQ234" s="9"/>
      <c r="AR234" s="9"/>
      <c r="AS234" s="9"/>
      <c r="AT234" s="9"/>
      <c r="AU234" s="42"/>
      <c r="AV234" s="9"/>
      <c r="AW234" s="9"/>
      <c r="AX234" s="9"/>
      <c r="AY234" s="9"/>
      <c r="AZ234" s="58"/>
      <c r="BA234" s="59"/>
      <c r="BG234" s="83"/>
      <c r="BO234" s="86"/>
      <c r="BP234" s="87"/>
      <c r="BQ234" s="21"/>
      <c r="BT234" s="68"/>
      <c r="BU234" s="1"/>
    </row>
    <row r="235" spans="1:74" customFormat="1" ht="15.75" customHeight="1" thickBot="1" x14ac:dyDescent="0.35">
      <c r="A235" s="1">
        <v>175</v>
      </c>
      <c r="B235" s="288"/>
      <c r="C235" s="289"/>
      <c r="D235" s="290" t="s">
        <v>112</v>
      </c>
      <c r="E235" s="291"/>
      <c r="F235" s="292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93"/>
      <c r="R235" s="294"/>
      <c r="S235" s="51"/>
      <c r="T235" s="11"/>
      <c r="U235" s="52"/>
      <c r="V235" s="52"/>
      <c r="W235" s="53">
        <f>(R235-86.16)/6*E235</f>
        <v>0</v>
      </c>
      <c r="X235" s="53">
        <f>$Y$2*E235*Q235</f>
        <v>0</v>
      </c>
      <c r="Y235" s="53">
        <f>$Y$2*E235*Q235</f>
        <v>0</v>
      </c>
      <c r="Z235" s="54">
        <f>Y235+X235+W235</f>
        <v>0</v>
      </c>
      <c r="AA235" s="295"/>
      <c r="AB235" s="53">
        <f>(R235-86.16)/6*G235</f>
        <v>0</v>
      </c>
      <c r="AC235" s="53">
        <f>$Y$2*G235*Q235</f>
        <v>0</v>
      </c>
      <c r="AD235" s="53">
        <f>$Y$2*G235*Q235</f>
        <v>0</v>
      </c>
      <c r="AE235" s="54">
        <f>AD235+AC235+AB235</f>
        <v>0</v>
      </c>
      <c r="AF235" s="296"/>
      <c r="AG235" s="53">
        <f>(R235-86.16)/6*I235</f>
        <v>0</v>
      </c>
      <c r="AH235" s="53">
        <f>$Y$2*I235*Q235</f>
        <v>0</v>
      </c>
      <c r="AI235" s="53">
        <f>$Y$2*I235*Q235</f>
        <v>0</v>
      </c>
      <c r="AJ235" s="54">
        <f>AI235+AH235+AG235</f>
        <v>0</v>
      </c>
      <c r="AK235" s="57"/>
      <c r="AL235" s="53">
        <f>(R235-86.16)/6*K235</f>
        <v>0</v>
      </c>
      <c r="AM235" s="53">
        <f>$Y$2*K235*Q235</f>
        <v>0</v>
      </c>
      <c r="AN235" s="53">
        <f>$Y$2*K235*Q235</f>
        <v>0</v>
      </c>
      <c r="AO235" s="54">
        <f>AN235+AM235+AL235</f>
        <v>0</v>
      </c>
      <c r="AP235" s="296"/>
      <c r="AQ235" s="53">
        <f>(R235-86.16)/6*M235</f>
        <v>0</v>
      </c>
      <c r="AR235" s="53">
        <f>$Y$2*M235*Q235</f>
        <v>0</v>
      </c>
      <c r="AS235" s="53">
        <f>$Y$2*M235*Q235</f>
        <v>0</v>
      </c>
      <c r="AT235" s="54">
        <f>AS235+AR235+AQ235</f>
        <v>0</v>
      </c>
      <c r="AU235" s="296"/>
      <c r="AV235" s="53">
        <f>(R235-86.16)/6*O235</f>
        <v>0</v>
      </c>
      <c r="AW235" s="53">
        <f>$Y$2*O235*Q235</f>
        <v>0</v>
      </c>
      <c r="AX235" s="53">
        <f>$Y$2*O235*Q235</f>
        <v>0</v>
      </c>
      <c r="AY235" s="54">
        <f>AX235+AW235+AV235</f>
        <v>0</v>
      </c>
      <c r="AZ235" s="297"/>
      <c r="BA235" s="298"/>
      <c r="BB235" s="299"/>
      <c r="BC235" s="299"/>
      <c r="BD235" s="299"/>
      <c r="BE235" s="300"/>
      <c r="BF235" s="301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3"/>
      <c r="BQ235" s="304"/>
      <c r="BR235" s="305"/>
      <c r="BS235" s="74"/>
      <c r="BT235" s="74"/>
      <c r="BV235" s="1">
        <v>175</v>
      </c>
    </row>
    <row r="236" spans="1:74" customFormat="1" ht="15" customHeight="1" thickBot="1" x14ac:dyDescent="0.35">
      <c r="A236" s="1">
        <v>351</v>
      </c>
      <c r="B236" s="306"/>
      <c r="C236" s="307">
        <v>55</v>
      </c>
      <c r="D236" s="308" t="s">
        <v>169</v>
      </c>
      <c r="E236" s="309">
        <v>0</v>
      </c>
      <c r="F236" s="310"/>
      <c r="G236" s="309">
        <v>0</v>
      </c>
      <c r="H236" s="310"/>
      <c r="I236" s="309">
        <v>0</v>
      </c>
      <c r="J236" s="310"/>
      <c r="K236" s="309">
        <v>0</v>
      </c>
      <c r="L236" s="310"/>
      <c r="M236" s="309">
        <v>0</v>
      </c>
      <c r="N236" s="310"/>
      <c r="O236" s="309">
        <v>0</v>
      </c>
      <c r="P236" s="310"/>
      <c r="Q236" s="309">
        <f>IF((E236+G236+I236+K236+M236+O236)=6,1,0)</f>
        <v>0</v>
      </c>
      <c r="R236" s="50"/>
      <c r="S236" s="51">
        <f>+BF236</f>
        <v>0</v>
      </c>
      <c r="T236" s="11">
        <f>+BA236</f>
        <v>2700</v>
      </c>
      <c r="U236" s="52">
        <f>+BP236</f>
        <v>0</v>
      </c>
      <c r="V236" s="52" t="str">
        <f>+BE236</f>
        <v>FIN 2/2</v>
      </c>
      <c r="W236" s="53">
        <f>(R236-86.16)/6*E236</f>
        <v>0</v>
      </c>
      <c r="X236" s="53">
        <f>$Y$2*E236*Q236</f>
        <v>0</v>
      </c>
      <c r="Y236" s="53">
        <f>$Y$2*E236*Q236</f>
        <v>0</v>
      </c>
      <c r="Z236" s="54">
        <f>Y236+X236+W236</f>
        <v>0</v>
      </c>
      <c r="AA236" s="295"/>
      <c r="AB236" s="53">
        <f>(R236-86.16)/6*G236</f>
        <v>0</v>
      </c>
      <c r="AC236" s="53">
        <f>$Y$2*G236*Q236</f>
        <v>0</v>
      </c>
      <c r="AD236" s="53">
        <f>$Y$2*G236*Q236</f>
        <v>0</v>
      </c>
      <c r="AE236" s="54">
        <f>AD236+AC236+AB236</f>
        <v>0</v>
      </c>
      <c r="AF236" s="296"/>
      <c r="AG236" s="53">
        <f>(R236-86.16)/6*I236</f>
        <v>0</v>
      </c>
      <c r="AH236" s="53">
        <f>$Y$2*I236*Q236</f>
        <v>0</v>
      </c>
      <c r="AI236" s="53">
        <f>$Y$2*I236*Q236</f>
        <v>0</v>
      </c>
      <c r="AJ236" s="54">
        <f>AI236+AH236+AG236</f>
        <v>0</v>
      </c>
      <c r="AK236" s="57"/>
      <c r="AL236" s="53">
        <f>(R236-86.16)/6*K236</f>
        <v>0</v>
      </c>
      <c r="AM236" s="53">
        <f>$Y$2*K236*Q236</f>
        <v>0</v>
      </c>
      <c r="AN236" s="53">
        <f>$Y$2*K236*Q236</f>
        <v>0</v>
      </c>
      <c r="AO236" s="54">
        <f>AN236+AM236+AL236</f>
        <v>0</v>
      </c>
      <c r="AP236" s="296"/>
      <c r="AQ236" s="53">
        <f>(R236-86.16)/6*M236</f>
        <v>0</v>
      </c>
      <c r="AR236" s="53">
        <f>$Y$2*M236*Q236</f>
        <v>0</v>
      </c>
      <c r="AS236" s="53">
        <f>$Y$2*M236*Q236</f>
        <v>0</v>
      </c>
      <c r="AT236" s="54">
        <f>AS236+AR236+AQ236</f>
        <v>0</v>
      </c>
      <c r="AU236" s="296"/>
      <c r="AV236" s="53">
        <f>(R236-86.16)/6*O236</f>
        <v>0</v>
      </c>
      <c r="AW236" s="53">
        <f>$Y$2*O236*Q236</f>
        <v>0</v>
      </c>
      <c r="AX236" s="53">
        <f>$Y$2*O236*Q236</f>
        <v>0</v>
      </c>
      <c r="AY236" s="54">
        <f>AX236+AW236+AV236</f>
        <v>0</v>
      </c>
      <c r="AZ236" s="297">
        <f>+AY236+AT236+AO236++AJ236+AE236+Z236</f>
        <v>0</v>
      </c>
      <c r="BA236" s="298">
        <v>2700</v>
      </c>
      <c r="BB236" s="311"/>
      <c r="BC236" s="311"/>
      <c r="BD236" s="311"/>
      <c r="BE236" s="312" t="s">
        <v>170</v>
      </c>
      <c r="BF236" s="313"/>
      <c r="BG236" s="314"/>
      <c r="BH236" s="314"/>
      <c r="BI236" s="314"/>
      <c r="BJ236" s="314"/>
      <c r="BK236" s="314"/>
      <c r="BL236" s="315"/>
      <c r="BM236" s="316"/>
      <c r="BN236" s="302"/>
      <c r="BO236" s="314"/>
      <c r="BP236" s="317"/>
      <c r="BQ236" s="305"/>
      <c r="BR236" s="9"/>
      <c r="BV236" s="1">
        <v>351</v>
      </c>
    </row>
    <row r="237" spans="1:74" customFormat="1" ht="15" customHeight="1" thickBot="1" x14ac:dyDescent="0.35">
      <c r="A237" s="1">
        <v>351</v>
      </c>
      <c r="B237" s="306"/>
      <c r="C237" s="307">
        <v>31</v>
      </c>
      <c r="D237" s="308" t="s">
        <v>172</v>
      </c>
      <c r="E237" s="309">
        <v>0</v>
      </c>
      <c r="F237" s="310"/>
      <c r="G237" s="309">
        <v>0</v>
      </c>
      <c r="H237" s="310"/>
      <c r="I237" s="309">
        <v>0</v>
      </c>
      <c r="J237" s="310"/>
      <c r="K237" s="309">
        <v>0</v>
      </c>
      <c r="L237" s="310"/>
      <c r="M237" s="309">
        <v>0</v>
      </c>
      <c r="N237" s="310"/>
      <c r="O237" s="309">
        <v>0</v>
      </c>
      <c r="P237" s="310"/>
      <c r="Q237" s="309">
        <f>IF((E237+G237+I237+K237+M237+O237)=6,1,0)</f>
        <v>0</v>
      </c>
      <c r="R237" s="50"/>
      <c r="S237" s="51">
        <f>+BF237</f>
        <v>0</v>
      </c>
      <c r="T237" s="11">
        <f t="shared" ref="T237:T239" si="479">+BA237</f>
        <v>4457.1400000000003</v>
      </c>
      <c r="U237" s="52">
        <f>+BP237</f>
        <v>0</v>
      </c>
      <c r="V237" s="52" t="str">
        <f>+BE237</f>
        <v>FIN  1/2</v>
      </c>
      <c r="W237" s="53">
        <f>(R237-86.16)/6*E237</f>
        <v>0</v>
      </c>
      <c r="X237" s="53">
        <f>$Y$2*E237*Q237</f>
        <v>0</v>
      </c>
      <c r="Y237" s="53">
        <f>$Y$2*E237*Q237</f>
        <v>0</v>
      </c>
      <c r="Z237" s="54">
        <f>Y237+X237+W237</f>
        <v>0</v>
      </c>
      <c r="AA237" s="295"/>
      <c r="AB237" s="53">
        <f>(R237-86.16)/6*G237</f>
        <v>0</v>
      </c>
      <c r="AC237" s="53">
        <f>$Y$2*G237*Q237</f>
        <v>0</v>
      </c>
      <c r="AD237" s="53">
        <f>$Y$2*G237*Q237</f>
        <v>0</v>
      </c>
      <c r="AE237" s="54">
        <f>AD237+AC237+AB237</f>
        <v>0</v>
      </c>
      <c r="AF237" s="296"/>
      <c r="AG237" s="53">
        <f>(R237-86.16)/6*I237</f>
        <v>0</v>
      </c>
      <c r="AH237" s="53">
        <f>$Y$2*I237*Q237</f>
        <v>0</v>
      </c>
      <c r="AI237" s="53">
        <f>$Y$2*I237*Q237</f>
        <v>0</v>
      </c>
      <c r="AJ237" s="54">
        <f>AI237+AH237+AG237</f>
        <v>0</v>
      </c>
      <c r="AK237" s="57"/>
      <c r="AL237" s="53">
        <f>(R237-86.16)/6*K237</f>
        <v>0</v>
      </c>
      <c r="AM237" s="53">
        <f>$Y$2*K237*Q237</f>
        <v>0</v>
      </c>
      <c r="AN237" s="53">
        <f>$Y$2*K237*Q237</f>
        <v>0</v>
      </c>
      <c r="AO237" s="54">
        <f>AN237+AM237+AL237</f>
        <v>0</v>
      </c>
      <c r="AP237" s="296"/>
      <c r="AQ237" s="53">
        <f>(R237-86.16)/6*M237</f>
        <v>0</v>
      </c>
      <c r="AR237" s="53">
        <f>$Y$2*M237*Q237</f>
        <v>0</v>
      </c>
      <c r="AS237" s="53">
        <f>$Y$2*M237*Q237</f>
        <v>0</v>
      </c>
      <c r="AT237" s="54">
        <f>AS237+AR237+AQ237</f>
        <v>0</v>
      </c>
      <c r="AU237" s="296"/>
      <c r="AV237" s="53">
        <f>(R237-86.16)/6*O237</f>
        <v>0</v>
      </c>
      <c r="AW237" s="53">
        <f>$Y$2*O237*Q237</f>
        <v>0</v>
      </c>
      <c r="AX237" s="53">
        <f>$Y$2*O237*Q237</f>
        <v>0</v>
      </c>
      <c r="AY237" s="54">
        <f>AX237+AW237+AV237</f>
        <v>0</v>
      </c>
      <c r="AZ237" s="297">
        <f t="shared" ref="AZ237" si="480">+AY237+AT237+AO237++AJ237+AE237+Z237</f>
        <v>0</v>
      </c>
      <c r="BA237" s="298">
        <v>4457.1400000000003</v>
      </c>
      <c r="BB237" s="311"/>
      <c r="BC237" s="311"/>
      <c r="BD237" s="311"/>
      <c r="BE237" s="312" t="s">
        <v>173</v>
      </c>
      <c r="BF237" s="313"/>
      <c r="BG237" s="314"/>
      <c r="BH237" s="314"/>
      <c r="BI237" s="314"/>
      <c r="BJ237" s="314"/>
      <c r="BK237" s="314"/>
      <c r="BL237" s="315"/>
      <c r="BM237" s="316"/>
      <c r="BN237" s="302"/>
      <c r="BO237" s="314"/>
      <c r="BP237" s="317"/>
      <c r="BQ237" s="305"/>
      <c r="BR237" s="9"/>
      <c r="BV237" s="1">
        <v>351</v>
      </c>
    </row>
    <row r="238" spans="1:74" customFormat="1" ht="15" customHeight="1" thickBot="1" x14ac:dyDescent="0.35">
      <c r="A238" s="1">
        <v>351</v>
      </c>
      <c r="B238" s="306"/>
      <c r="C238" s="307"/>
      <c r="D238" s="308"/>
      <c r="E238" s="309">
        <v>0</v>
      </c>
      <c r="F238" s="310"/>
      <c r="G238" s="309">
        <v>0</v>
      </c>
      <c r="H238" s="310"/>
      <c r="I238" s="309">
        <v>0</v>
      </c>
      <c r="J238" s="310"/>
      <c r="K238" s="309">
        <v>0</v>
      </c>
      <c r="L238" s="310"/>
      <c r="M238" s="309">
        <v>0</v>
      </c>
      <c r="N238" s="310"/>
      <c r="O238" s="309">
        <v>0</v>
      </c>
      <c r="P238" s="310"/>
      <c r="Q238" s="309">
        <f>IF((E238+G238+I238+K238+M238+O238)=6,1,0)</f>
        <v>0</v>
      </c>
      <c r="R238" s="50"/>
      <c r="S238" s="51">
        <f>+BF238</f>
        <v>0</v>
      </c>
      <c r="T238" s="11">
        <f t="shared" si="479"/>
        <v>0</v>
      </c>
      <c r="U238" s="52">
        <f>+BP238</f>
        <v>0</v>
      </c>
      <c r="V238" s="52">
        <f>+BE238</f>
        <v>0</v>
      </c>
      <c r="W238" s="53">
        <f>(R238-86.16)/6*E238</f>
        <v>0</v>
      </c>
      <c r="X238" s="53">
        <f>$Y$2*E238*Q238</f>
        <v>0</v>
      </c>
      <c r="Y238" s="53">
        <f>$Y$2*E238*Q238</f>
        <v>0</v>
      </c>
      <c r="Z238" s="54">
        <f>Y238+X238+W238</f>
        <v>0</v>
      </c>
      <c r="AA238" s="295"/>
      <c r="AB238" s="53">
        <f>(R238-86.16)/6*G238</f>
        <v>0</v>
      </c>
      <c r="AC238" s="53">
        <f>$Y$2*G238*Q238</f>
        <v>0</v>
      </c>
      <c r="AD238" s="53">
        <f>$Y$2*G238*Q238</f>
        <v>0</v>
      </c>
      <c r="AE238" s="54">
        <f>AD238+AC238+AB238</f>
        <v>0</v>
      </c>
      <c r="AF238" s="296"/>
      <c r="AG238" s="53">
        <f>(R238-86.16)/6*I238</f>
        <v>0</v>
      </c>
      <c r="AH238" s="53">
        <f>$Y$2*I238*Q238</f>
        <v>0</v>
      </c>
      <c r="AI238" s="53">
        <f>$Y$2*I238*Q238</f>
        <v>0</v>
      </c>
      <c r="AJ238" s="54">
        <f>AI238+AH238+AG238</f>
        <v>0</v>
      </c>
      <c r="AK238" s="57"/>
      <c r="AL238" s="53">
        <f>(R238-86.16)/6*K238</f>
        <v>0</v>
      </c>
      <c r="AM238" s="53">
        <f>$Y$2*K238*Q238</f>
        <v>0</v>
      </c>
      <c r="AN238" s="53">
        <f>$Y$2*K238*Q238</f>
        <v>0</v>
      </c>
      <c r="AO238" s="54">
        <f>AN238+AM238+AL238</f>
        <v>0</v>
      </c>
      <c r="AP238" s="296"/>
      <c r="AQ238" s="53">
        <f>(R238-86.16)/6*M238</f>
        <v>0</v>
      </c>
      <c r="AR238" s="53">
        <f>$Y$2*M238*Q238</f>
        <v>0</v>
      </c>
      <c r="AS238" s="53">
        <f>$Y$2*M238*Q238</f>
        <v>0</v>
      </c>
      <c r="AT238" s="54">
        <f>AS238+AR238+AQ238</f>
        <v>0</v>
      </c>
      <c r="AU238" s="296"/>
      <c r="AV238" s="53">
        <f>(R238-86.16)/6*O238</f>
        <v>0</v>
      </c>
      <c r="AW238" s="53">
        <f>$Y$2*O238*Q238</f>
        <v>0</v>
      </c>
      <c r="AX238" s="53">
        <f>$Y$2*O238*Q238</f>
        <v>0</v>
      </c>
      <c r="AY238" s="54">
        <f>AX238+AW238+AV238</f>
        <v>0</v>
      </c>
      <c r="AZ238" s="297">
        <f>+AY238+AT238+AO238++AJ238+AE238+Z238</f>
        <v>0</v>
      </c>
      <c r="BA238" s="298"/>
      <c r="BB238" s="311"/>
      <c r="BC238" s="311"/>
      <c r="BD238" s="311"/>
      <c r="BE238" s="312"/>
      <c r="BF238" s="313"/>
      <c r="BG238" s="314"/>
      <c r="BH238" s="314"/>
      <c r="BI238" s="314"/>
      <c r="BJ238" s="314"/>
      <c r="BK238" s="314"/>
      <c r="BL238" s="315"/>
      <c r="BM238" s="316"/>
      <c r="BN238" s="302"/>
      <c r="BO238" s="314"/>
      <c r="BP238" s="317"/>
      <c r="BQ238" s="305"/>
      <c r="BR238" s="9"/>
      <c r="BV238" s="1">
        <v>351</v>
      </c>
    </row>
    <row r="239" spans="1:74" customFormat="1" ht="15" customHeight="1" thickBot="1" x14ac:dyDescent="0.35">
      <c r="A239" s="1">
        <v>351</v>
      </c>
      <c r="B239" s="318"/>
      <c r="C239" s="319"/>
      <c r="D239" s="320"/>
      <c r="E239" s="321">
        <v>0</v>
      </c>
      <c r="F239" s="322"/>
      <c r="G239" s="321">
        <v>0</v>
      </c>
      <c r="H239" s="322"/>
      <c r="I239" s="321">
        <v>0</v>
      </c>
      <c r="J239" s="322"/>
      <c r="K239" s="321">
        <v>0</v>
      </c>
      <c r="L239" s="322"/>
      <c r="M239" s="321">
        <v>0</v>
      </c>
      <c r="N239" s="322"/>
      <c r="O239" s="321">
        <v>0</v>
      </c>
      <c r="P239" s="322"/>
      <c r="Q239" s="321">
        <f>IF((E239+G239+I239+K239+M239+O239)=6,1,0)</f>
        <v>0</v>
      </c>
      <c r="R239" s="127"/>
      <c r="S239" s="51">
        <f>+BF239</f>
        <v>0</v>
      </c>
      <c r="T239" s="11">
        <f t="shared" si="479"/>
        <v>0</v>
      </c>
      <c r="U239" s="52">
        <f>+BP239</f>
        <v>0</v>
      </c>
      <c r="V239" s="52">
        <f>+BE239</f>
        <v>0</v>
      </c>
      <c r="W239" s="53">
        <f>(R239-86.16)/6*E239</f>
        <v>0</v>
      </c>
      <c r="X239" s="53">
        <f>$Y$2*E239*Q239</f>
        <v>0</v>
      </c>
      <c r="Y239" s="53">
        <f>$Y$2*E239*Q239</f>
        <v>0</v>
      </c>
      <c r="Z239" s="54">
        <f>Y239+X239+W239</f>
        <v>0</v>
      </c>
      <c r="AA239" s="295"/>
      <c r="AB239" s="53">
        <f>(R239-86.16)/6*G239</f>
        <v>0</v>
      </c>
      <c r="AC239" s="53">
        <f>$Y$2*G239*Q239</f>
        <v>0</v>
      </c>
      <c r="AD239" s="53">
        <f>$Y$2*G239*Q239</f>
        <v>0</v>
      </c>
      <c r="AE239" s="54">
        <f>AD239+AC239+AB239</f>
        <v>0</v>
      </c>
      <c r="AF239" s="296"/>
      <c r="AG239" s="53">
        <f>(R239-86.16)/6*I239</f>
        <v>0</v>
      </c>
      <c r="AH239" s="53">
        <f>$Y$2*I239*Q239</f>
        <v>0</v>
      </c>
      <c r="AI239" s="53">
        <f>$Y$2*I239*Q239</f>
        <v>0</v>
      </c>
      <c r="AJ239" s="54">
        <f>AI239+AH239+AG239</f>
        <v>0</v>
      </c>
      <c r="AK239" s="57"/>
      <c r="AL239" s="53">
        <f>(R239-86.16)/6*K239</f>
        <v>0</v>
      </c>
      <c r="AM239" s="53">
        <f>$Y$2*K239*Q239</f>
        <v>0</v>
      </c>
      <c r="AN239" s="53">
        <f>$Y$2*K239*Q239</f>
        <v>0</v>
      </c>
      <c r="AO239" s="54">
        <f>AN239+AM239+AL239</f>
        <v>0</v>
      </c>
      <c r="AP239" s="296"/>
      <c r="AQ239" s="53">
        <f>(R239-86.16)/6*M239</f>
        <v>0</v>
      </c>
      <c r="AR239" s="53">
        <f>$Y$2*M239*Q239</f>
        <v>0</v>
      </c>
      <c r="AS239" s="53">
        <f>$Y$2*M239*Q239</f>
        <v>0</v>
      </c>
      <c r="AT239" s="54">
        <f>AS239+AR239+AQ239</f>
        <v>0</v>
      </c>
      <c r="AU239" s="296"/>
      <c r="AV239" s="53">
        <f>(R239-86.16)/6*O239</f>
        <v>0</v>
      </c>
      <c r="AW239" s="53">
        <f>$Y$2*O239*Q239</f>
        <v>0</v>
      </c>
      <c r="AX239" s="53">
        <f>$Y$2*O239*Q239</f>
        <v>0</v>
      </c>
      <c r="AY239" s="54">
        <f>AX239+AW239+AV239</f>
        <v>0</v>
      </c>
      <c r="AZ239" s="297">
        <f>+AY239+AT239+AO239++AJ239+AE239+Z239</f>
        <v>0</v>
      </c>
      <c r="BA239" s="298"/>
      <c r="BB239" s="311"/>
      <c r="BC239" s="311"/>
      <c r="BD239" s="311"/>
      <c r="BE239" s="312"/>
      <c r="BF239" s="313"/>
      <c r="BG239" s="314"/>
      <c r="BH239" s="314"/>
      <c r="BI239" s="314"/>
      <c r="BJ239" s="314"/>
      <c r="BK239" s="314"/>
      <c r="BL239" s="315"/>
      <c r="BM239" s="316"/>
      <c r="BN239" s="302"/>
      <c r="BO239" s="314"/>
      <c r="BP239" s="317"/>
      <c r="BQ239" s="305"/>
      <c r="BR239" s="9"/>
      <c r="BV239" s="1">
        <v>351</v>
      </c>
    </row>
    <row r="240" spans="1:74" customFormat="1" ht="15" customHeight="1" x14ac:dyDescent="0.3">
      <c r="A240" s="1"/>
      <c r="B240" s="327"/>
      <c r="C240" s="327"/>
      <c r="D240" s="328"/>
      <c r="E240" s="329"/>
      <c r="F240" s="330"/>
      <c r="G240" s="329"/>
      <c r="H240" s="330"/>
      <c r="I240" s="329"/>
      <c r="J240" s="330"/>
      <c r="K240" s="329"/>
      <c r="L240" s="330"/>
      <c r="M240" s="329"/>
      <c r="N240" s="330"/>
      <c r="O240" s="329"/>
      <c r="P240" s="330"/>
      <c r="Q240" s="329"/>
      <c r="R240" s="82"/>
      <c r="S240" s="51"/>
      <c r="T240" s="11"/>
      <c r="U240" s="52"/>
      <c r="V240" s="52"/>
      <c r="W240" s="9"/>
      <c r="X240" s="9"/>
      <c r="Y240" s="9"/>
      <c r="Z240" s="9"/>
      <c r="AA240" s="331"/>
      <c r="AB240" s="9"/>
      <c r="AC240" s="9"/>
      <c r="AD240" s="9"/>
      <c r="AE240" s="9"/>
      <c r="AF240" s="331"/>
      <c r="AG240" s="9"/>
      <c r="AH240" s="9"/>
      <c r="AI240" s="9"/>
      <c r="AJ240" s="9"/>
      <c r="AK240" s="9"/>
      <c r="AL240" s="9"/>
      <c r="AM240" s="9"/>
      <c r="AN240" s="9"/>
      <c r="AO240" s="9"/>
      <c r="AP240" s="331"/>
      <c r="AQ240" s="9"/>
      <c r="AR240" s="9"/>
      <c r="AS240" s="9"/>
      <c r="AT240" s="9"/>
      <c r="AU240" s="331"/>
      <c r="AV240" s="9"/>
      <c r="AW240" s="9"/>
      <c r="AX240" s="9"/>
      <c r="AY240" s="9"/>
      <c r="AZ240" s="297"/>
      <c r="BA240" s="298"/>
      <c r="BB240" s="332"/>
      <c r="BC240" s="332"/>
      <c r="BD240" s="332"/>
      <c r="BE240" s="333"/>
      <c r="BF240" s="313"/>
      <c r="BG240" s="314"/>
      <c r="BH240" s="314"/>
      <c r="BI240" s="314"/>
      <c r="BJ240" s="314"/>
      <c r="BK240" s="314"/>
      <c r="BL240" s="315"/>
      <c r="BM240" s="316"/>
      <c r="BN240" s="302"/>
      <c r="BO240" s="314"/>
      <c r="BP240" s="317"/>
      <c r="BQ240" s="305"/>
      <c r="BR240" s="9"/>
      <c r="BV240" s="1"/>
    </row>
    <row r="241" spans="1:74" customFormat="1" ht="15" customHeight="1" x14ac:dyDescent="0.3">
      <c r="A241" s="1"/>
      <c r="B241" s="327"/>
      <c r="C241" s="327"/>
      <c r="D241" s="328"/>
      <c r="E241" s="329"/>
      <c r="F241" s="330"/>
      <c r="G241" s="329"/>
      <c r="H241" s="330"/>
      <c r="I241" s="329"/>
      <c r="J241" s="330"/>
      <c r="K241" s="329"/>
      <c r="L241" s="330"/>
      <c r="M241" s="329"/>
      <c r="N241" s="330"/>
      <c r="O241" s="329"/>
      <c r="P241" s="330"/>
      <c r="Q241" s="329"/>
      <c r="R241" s="82"/>
      <c r="S241" s="51"/>
      <c r="T241" s="11"/>
      <c r="U241" s="52"/>
      <c r="V241" s="52"/>
      <c r="W241" s="9"/>
      <c r="X241" s="9"/>
      <c r="Y241" s="9"/>
      <c r="Z241" s="9"/>
      <c r="AA241" s="331"/>
      <c r="AB241" s="9"/>
      <c r="AC241" s="9"/>
      <c r="AD241" s="9"/>
      <c r="AE241" s="9"/>
      <c r="AF241" s="331"/>
      <c r="AG241" s="9"/>
      <c r="AH241" s="9"/>
      <c r="AI241" s="9"/>
      <c r="AJ241" s="9"/>
      <c r="AK241" s="9"/>
      <c r="AL241" s="9"/>
      <c r="AM241" s="9"/>
      <c r="AN241" s="9"/>
      <c r="AO241" s="9"/>
      <c r="AP241" s="331"/>
      <c r="AQ241" s="9"/>
      <c r="AR241" s="9"/>
      <c r="AS241" s="9"/>
      <c r="AT241" s="9"/>
      <c r="AU241" s="331"/>
      <c r="AV241" s="9"/>
      <c r="AW241" s="9"/>
      <c r="AX241" s="9"/>
      <c r="AY241" s="9"/>
      <c r="AZ241" s="297"/>
      <c r="BA241" s="298"/>
      <c r="BB241" s="332"/>
      <c r="BC241" s="332"/>
      <c r="BD241" s="332"/>
      <c r="BE241" s="333"/>
      <c r="BF241" s="313"/>
      <c r="BG241" s="314"/>
      <c r="BH241" s="314"/>
      <c r="BI241" s="314"/>
      <c r="BJ241" s="314"/>
      <c r="BK241" s="314"/>
      <c r="BL241" s="315"/>
      <c r="BM241" s="316"/>
      <c r="BN241" s="302"/>
      <c r="BO241" s="314"/>
      <c r="BP241" s="317"/>
      <c r="BQ241" s="305"/>
      <c r="BR241" s="9"/>
      <c r="BV241" s="1"/>
    </row>
    <row r="242" spans="1:74" ht="20.25" customHeight="1" thickBot="1" x14ac:dyDescent="0.45">
      <c r="A242" s="1">
        <v>553</v>
      </c>
      <c r="C242" s="148"/>
      <c r="D242" s="149"/>
      <c r="E242" s="150"/>
      <c r="F242" s="151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15"/>
      <c r="S242" s="153"/>
      <c r="T242" s="11"/>
      <c r="U242" s="11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99"/>
      <c r="BA242" s="99"/>
      <c r="BE242" s="86"/>
      <c r="BF242" s="86"/>
      <c r="BG242" s="86"/>
      <c r="BH242" s="86"/>
      <c r="BJ242" s="86"/>
      <c r="BK242" s="86"/>
      <c r="BL242" s="86"/>
      <c r="BM242" s="86"/>
      <c r="BN242" s="86"/>
      <c r="BO242" s="156"/>
      <c r="BP242" s="87"/>
      <c r="BQ242" s="21"/>
      <c r="BR242" s="153"/>
      <c r="BS242" s="153"/>
      <c r="BT242" s="68"/>
      <c r="BU242" s="1">
        <v>553</v>
      </c>
    </row>
    <row r="243" spans="1:74" ht="15.75" customHeight="1" x14ac:dyDescent="0.4">
      <c r="A243" s="1">
        <v>554</v>
      </c>
      <c r="B243" s="850" t="s">
        <v>73</v>
      </c>
      <c r="C243" s="851"/>
      <c r="D243" s="851"/>
      <c r="E243" s="851"/>
      <c r="F243" s="852"/>
      <c r="G243" s="68"/>
      <c r="H243" s="850" t="s">
        <v>74</v>
      </c>
      <c r="I243" s="851"/>
      <c r="J243" s="851"/>
      <c r="K243" s="851"/>
      <c r="L243" s="851"/>
      <c r="M243" s="851"/>
      <c r="N243" s="851"/>
      <c r="O243" s="851"/>
      <c r="P243" s="852"/>
      <c r="Q243" s="22"/>
      <c r="R243" s="157"/>
      <c r="S243" s="153"/>
      <c r="T243" s="158"/>
      <c r="U243" s="153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59"/>
      <c r="AT243" s="159"/>
      <c r="AU243" s="159"/>
      <c r="AV243" s="159"/>
      <c r="AW243" s="159"/>
      <c r="AX243" s="159"/>
      <c r="AY243" s="159"/>
      <c r="AZ243" s="99"/>
      <c r="BA243" s="99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156"/>
      <c r="BP243" s="21"/>
      <c r="BQ243" s="74"/>
      <c r="BR243" s="68"/>
      <c r="BS243" s="68"/>
      <c r="BT243" s="68"/>
      <c r="BU243" s="1">
        <v>554</v>
      </c>
    </row>
    <row r="244" spans="1:74" ht="15.75" customHeight="1" x14ac:dyDescent="0.45">
      <c r="A244" s="1">
        <v>555</v>
      </c>
      <c r="B244" s="160"/>
      <c r="C244" s="161"/>
      <c r="D244" s="833"/>
      <c r="E244" s="834"/>
      <c r="F244" s="265"/>
      <c r="G244" s="163"/>
      <c r="H244" s="835"/>
      <c r="I244" s="836"/>
      <c r="J244" s="836"/>
      <c r="K244" s="836"/>
      <c r="L244" s="836"/>
      <c r="M244" s="836"/>
      <c r="N244" s="836"/>
      <c r="O244" s="834"/>
      <c r="P244" s="164"/>
      <c r="Q244" s="153"/>
      <c r="R244" s="165"/>
      <c r="S244" s="153"/>
      <c r="T244" s="166"/>
      <c r="U244" s="153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99"/>
      <c r="BA244" s="99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156"/>
      <c r="BP244" s="21"/>
      <c r="BQ244" s="153"/>
      <c r="BR244" s="68"/>
      <c r="BS244" s="68"/>
      <c r="BT244" s="68"/>
      <c r="BU244" s="1">
        <v>555</v>
      </c>
    </row>
    <row r="245" spans="1:74" ht="15.75" customHeight="1" x14ac:dyDescent="0.45">
      <c r="A245" s="1">
        <v>556</v>
      </c>
      <c r="B245" s="160"/>
      <c r="C245" s="167"/>
      <c r="D245" s="833"/>
      <c r="E245" s="834"/>
      <c r="F245" s="162"/>
      <c r="G245" s="168"/>
      <c r="H245" s="835"/>
      <c r="I245" s="836"/>
      <c r="J245" s="836"/>
      <c r="K245" s="836"/>
      <c r="L245" s="836"/>
      <c r="M245" s="836"/>
      <c r="N245" s="836"/>
      <c r="O245" s="834"/>
      <c r="P245" s="164"/>
      <c r="Q245" s="153"/>
      <c r="R245" s="165"/>
      <c r="S245" s="153"/>
      <c r="T245" s="166"/>
      <c r="U245" s="153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99"/>
      <c r="BA245" s="99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156"/>
      <c r="BP245" s="21"/>
      <c r="BQ245" s="153"/>
      <c r="BR245" s="68"/>
      <c r="BS245" s="68"/>
      <c r="BT245" s="68"/>
      <c r="BU245" s="1">
        <v>556</v>
      </c>
    </row>
    <row r="246" spans="1:74" ht="15.75" customHeight="1" x14ac:dyDescent="0.4">
      <c r="A246" s="1">
        <v>557</v>
      </c>
      <c r="B246" s="160"/>
      <c r="C246" s="161"/>
      <c r="D246" s="833"/>
      <c r="E246" s="834"/>
      <c r="F246" s="162"/>
      <c r="G246" s="168"/>
      <c r="H246" s="835"/>
      <c r="I246" s="836"/>
      <c r="J246" s="836"/>
      <c r="K246" s="836"/>
      <c r="L246" s="836"/>
      <c r="M246" s="836"/>
      <c r="N246" s="836"/>
      <c r="O246" s="834"/>
      <c r="P246" s="164"/>
      <c r="Q246" s="153"/>
      <c r="R246" s="169"/>
      <c r="S246" s="153"/>
      <c r="T246" s="166"/>
      <c r="U246" s="153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s="159"/>
      <c r="AV246" s="159"/>
      <c r="AW246" s="159"/>
      <c r="AX246" s="159"/>
      <c r="AY246" s="159"/>
      <c r="AZ246" s="99"/>
      <c r="BA246" s="99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156"/>
      <c r="BP246" s="21"/>
      <c r="BQ246" s="153"/>
      <c r="BR246" s="68"/>
      <c r="BS246" s="68"/>
      <c r="BT246" s="68"/>
      <c r="BU246" s="1">
        <v>557</v>
      </c>
    </row>
    <row r="247" spans="1:74" ht="15.75" customHeight="1" thickBot="1" x14ac:dyDescent="0.5">
      <c r="A247" s="1">
        <v>558</v>
      </c>
      <c r="B247" s="160"/>
      <c r="C247" s="167"/>
      <c r="D247" s="833"/>
      <c r="E247" s="834"/>
      <c r="F247" s="162"/>
      <c r="G247" s="168"/>
      <c r="H247" s="835"/>
      <c r="I247" s="836"/>
      <c r="J247" s="836"/>
      <c r="K247" s="836"/>
      <c r="L247" s="836"/>
      <c r="M247" s="836"/>
      <c r="N247" s="836"/>
      <c r="O247" s="834"/>
      <c r="P247" s="164"/>
      <c r="Q247" s="153"/>
      <c r="R247" s="170"/>
      <c r="S247" s="153"/>
      <c r="T247" s="166"/>
      <c r="U247" s="153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59"/>
      <c r="AR247" s="159"/>
      <c r="AS247" s="159"/>
      <c r="AT247" s="159"/>
      <c r="AU247" s="159"/>
      <c r="AV247" s="159"/>
      <c r="AW247" s="159"/>
      <c r="AX247" s="159"/>
      <c r="AY247" s="159"/>
      <c r="AZ247" s="99"/>
      <c r="BA247" s="99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156"/>
      <c r="BP247" s="21"/>
      <c r="BQ247" s="153"/>
      <c r="BR247" s="68"/>
      <c r="BS247" s="68"/>
      <c r="BT247" s="68"/>
      <c r="BU247" s="1">
        <v>558</v>
      </c>
    </row>
    <row r="248" spans="1:74" ht="15.75" customHeight="1" thickBot="1" x14ac:dyDescent="0.45">
      <c r="A248" s="1">
        <v>572</v>
      </c>
      <c r="B248" s="171"/>
      <c r="C248" s="172"/>
      <c r="D248" s="837"/>
      <c r="E248" s="838"/>
      <c r="F248" s="173"/>
      <c r="G248" s="168"/>
      <c r="H248" s="839"/>
      <c r="I248" s="840"/>
      <c r="J248" s="840"/>
      <c r="K248" s="840"/>
      <c r="L248" s="840"/>
      <c r="M248" s="840"/>
      <c r="N248" s="840"/>
      <c r="O248" s="838"/>
      <c r="P248" s="174"/>
      <c r="Q248" s="153"/>
      <c r="R248" s="166"/>
      <c r="S248" s="153"/>
      <c r="T248" s="166"/>
      <c r="U248" s="153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  <c r="AN248" s="159"/>
      <c r="AO248" s="159"/>
      <c r="AP248" s="159"/>
      <c r="AQ248" s="159"/>
      <c r="AR248" s="159"/>
      <c r="AS248" s="159"/>
      <c r="AT248" s="159"/>
      <c r="AU248" s="159"/>
      <c r="AV248" s="159"/>
      <c r="AW248" s="159"/>
      <c r="AX248" s="159"/>
      <c r="AY248" s="159"/>
      <c r="AZ248" s="99"/>
      <c r="BA248" s="99"/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156"/>
      <c r="BP248" s="21"/>
      <c r="BQ248" s="153"/>
      <c r="BR248" s="68"/>
      <c r="BS248" s="68"/>
      <c r="BT248" s="68"/>
      <c r="BU248" s="1">
        <v>572</v>
      </c>
    </row>
    <row r="249" spans="1:74" ht="16.5" customHeight="1" thickBot="1" x14ac:dyDescent="0.45">
      <c r="A249" s="1">
        <v>583</v>
      </c>
      <c r="B249" s="78"/>
      <c r="C249" s="153"/>
      <c r="D249" s="841"/>
      <c r="E249" s="842"/>
      <c r="F249" s="175">
        <f>SUM(F244:F248)</f>
        <v>0</v>
      </c>
      <c r="G249" s="163"/>
      <c r="H249" s="176"/>
      <c r="I249" s="176"/>
      <c r="J249" s="176"/>
      <c r="K249" s="176"/>
      <c r="L249" s="176"/>
      <c r="M249" s="176"/>
      <c r="N249" s="176"/>
      <c r="O249" s="177"/>
      <c r="P249" s="175">
        <f>SUM(P244:P248)</f>
        <v>0</v>
      </c>
      <c r="Q249" s="22"/>
      <c r="R249" s="178"/>
      <c r="S249" s="153"/>
      <c r="T249" s="153"/>
      <c r="U249" s="153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59"/>
      <c r="AR249" s="159"/>
      <c r="AS249" s="159"/>
      <c r="AT249" s="159"/>
      <c r="AU249" s="159"/>
      <c r="AV249" s="159"/>
      <c r="AW249" s="159"/>
      <c r="AX249" s="159"/>
      <c r="AY249" s="159"/>
      <c r="AZ249" s="99"/>
      <c r="BA249" s="99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156"/>
      <c r="BP249" s="21"/>
      <c r="BQ249" s="153"/>
      <c r="BR249" s="68"/>
      <c r="BS249" s="68"/>
      <c r="BT249" s="68"/>
      <c r="BU249" s="1">
        <v>583</v>
      </c>
    </row>
    <row r="250" spans="1:74" ht="15.75" customHeight="1" x14ac:dyDescent="0.4">
      <c r="A250" s="1">
        <v>603</v>
      </c>
      <c r="B250" s="183"/>
      <c r="C250" s="184"/>
      <c r="D250" s="843"/>
      <c r="E250" s="843"/>
      <c r="F250" s="179"/>
      <c r="G250" s="163"/>
      <c r="H250" s="181"/>
      <c r="I250" s="176"/>
      <c r="J250" s="176"/>
      <c r="K250" s="342"/>
      <c r="L250" s="342"/>
      <c r="M250" s="342"/>
      <c r="N250" s="342"/>
      <c r="O250" s="180"/>
      <c r="S250" s="153"/>
      <c r="T250" s="153"/>
      <c r="U250" s="153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99"/>
      <c r="BA250" s="99"/>
      <c r="BE250" s="86"/>
      <c r="BF250" s="86"/>
      <c r="BG250" s="86"/>
      <c r="BH250" s="86"/>
      <c r="BJ250" s="86"/>
      <c r="BK250" s="86"/>
      <c r="BL250" s="86"/>
      <c r="BM250" s="86"/>
      <c r="BN250" s="86"/>
      <c r="BO250" s="156"/>
      <c r="BP250" s="87"/>
      <c r="BQ250" s="21"/>
      <c r="BR250" s="153"/>
      <c r="BS250" s="153"/>
      <c r="BT250" s="68"/>
      <c r="BU250" s="1">
        <v>603</v>
      </c>
    </row>
    <row r="251" spans="1:74" ht="15.75" customHeight="1" x14ac:dyDescent="0.4">
      <c r="A251" s="1">
        <v>603</v>
      </c>
      <c r="C251" s="22"/>
      <c r="D251" s="844"/>
      <c r="E251" s="844"/>
      <c r="F251" s="179"/>
      <c r="G251" s="163"/>
      <c r="H251" s="181"/>
      <c r="I251" s="176"/>
      <c r="J251" s="176"/>
      <c r="K251" s="342"/>
      <c r="L251" s="342"/>
      <c r="M251" s="342"/>
      <c r="N251" s="342"/>
      <c r="O251" s="180"/>
      <c r="S251" s="153"/>
      <c r="T251" s="153"/>
      <c r="U251" s="153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99"/>
      <c r="BA251" s="99"/>
      <c r="BE251" s="86"/>
      <c r="BF251" s="86"/>
      <c r="BG251" s="86"/>
      <c r="BH251" s="86"/>
      <c r="BJ251" s="86"/>
      <c r="BK251" s="86"/>
      <c r="BL251" s="86"/>
      <c r="BM251" s="86"/>
      <c r="BN251" s="86"/>
      <c r="BO251" s="156"/>
      <c r="BP251" s="87"/>
      <c r="BQ251" s="21"/>
      <c r="BR251" s="153"/>
      <c r="BS251" s="153"/>
      <c r="BT251" s="68"/>
      <c r="BU251" s="1">
        <v>603</v>
      </c>
    </row>
    <row r="252" spans="1:74" ht="15.75" customHeight="1" thickBot="1" x14ac:dyDescent="0.45">
      <c r="A252" s="1">
        <v>603</v>
      </c>
      <c r="C252" s="22"/>
      <c r="D252" s="832"/>
      <c r="E252" s="832"/>
      <c r="F252" s="179"/>
      <c r="G252" s="163"/>
      <c r="H252" s="181"/>
      <c r="I252" s="176"/>
      <c r="J252" s="176"/>
      <c r="K252" s="342"/>
      <c r="L252" s="342"/>
      <c r="M252" s="342"/>
      <c r="N252" s="342"/>
      <c r="O252" s="180"/>
      <c r="S252" s="153"/>
      <c r="T252" s="153"/>
      <c r="U252" s="153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99"/>
      <c r="BA252" s="99"/>
      <c r="BE252" s="86"/>
      <c r="BF252" s="86"/>
      <c r="BG252" s="86"/>
      <c r="BH252" s="86"/>
      <c r="BJ252" s="86"/>
      <c r="BK252" s="86"/>
      <c r="BL252" s="86"/>
      <c r="BM252" s="86"/>
      <c r="BN252" s="86"/>
      <c r="BO252" s="156"/>
      <c r="BP252" s="87"/>
      <c r="BQ252" s="21"/>
      <c r="BR252" s="153"/>
      <c r="BS252" s="153"/>
      <c r="BT252" s="68"/>
      <c r="BU252" s="1">
        <v>603</v>
      </c>
    </row>
    <row r="253" spans="1:74" ht="15.75" customHeight="1" x14ac:dyDescent="0.4">
      <c r="A253" s="1">
        <v>604</v>
      </c>
      <c r="B253" s="185"/>
      <c r="C253" s="186"/>
      <c r="D253" s="187" t="s">
        <v>75</v>
      </c>
      <c r="E253" s="188" t="s">
        <v>76</v>
      </c>
      <c r="F253" s="827" t="s">
        <v>77</v>
      </c>
      <c r="G253" s="828"/>
      <c r="H253" s="181"/>
      <c r="I253" s="176"/>
      <c r="J253" s="176"/>
      <c r="K253" s="829" t="s">
        <v>78</v>
      </c>
      <c r="L253" s="830"/>
      <c r="M253" s="830"/>
      <c r="N253" s="830"/>
      <c r="O253" s="830"/>
      <c r="P253" s="831"/>
      <c r="Q253" s="189"/>
      <c r="S253" s="153"/>
      <c r="T253" s="153"/>
      <c r="U253" s="153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99"/>
      <c r="BA253" s="99"/>
      <c r="BE253" s="86"/>
      <c r="BF253" s="86"/>
      <c r="BG253" s="86"/>
      <c r="BH253" s="86"/>
      <c r="BJ253" s="86"/>
      <c r="BK253" s="86"/>
      <c r="BL253" s="86"/>
      <c r="BM253" s="86"/>
      <c r="BN253" s="86"/>
      <c r="BO253" s="156"/>
      <c r="BP253" s="87"/>
      <c r="BQ253" s="21"/>
      <c r="BR253" s="153"/>
      <c r="BS253" s="153"/>
      <c r="BT253" s="68"/>
      <c r="BU253" s="1">
        <v>604</v>
      </c>
    </row>
    <row r="254" spans="1:74" ht="15.75" customHeight="1" x14ac:dyDescent="0.4">
      <c r="A254" s="1">
        <v>605</v>
      </c>
      <c r="B254" s="190"/>
      <c r="C254" s="118"/>
      <c r="D254" s="191" t="s">
        <v>45</v>
      </c>
      <c r="E254" s="192">
        <v>2</v>
      </c>
      <c r="F254" s="809">
        <v>44551</v>
      </c>
      <c r="G254" s="810"/>
      <c r="H254" t="s">
        <v>181</v>
      </c>
      <c r="I254" s="193"/>
      <c r="J254" s="194">
        <v>3500</v>
      </c>
      <c r="K254" s="195"/>
      <c r="L254" s="824"/>
      <c r="M254" s="825"/>
      <c r="N254" s="825"/>
      <c r="O254" s="825"/>
      <c r="P254" s="826"/>
      <c r="Q254" s="196"/>
      <c r="S254" s="153"/>
      <c r="T254" s="153"/>
      <c r="U254" s="22"/>
      <c r="V254" s="197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99"/>
      <c r="BA254" s="99"/>
      <c r="BE254" s="86"/>
      <c r="BF254" s="86"/>
      <c r="BG254" s="86"/>
      <c r="BH254" s="86"/>
      <c r="BJ254" s="86"/>
      <c r="BK254" s="86"/>
      <c r="BL254" s="86"/>
      <c r="BM254" s="86"/>
      <c r="BN254" s="86"/>
      <c r="BO254" s="156"/>
      <c r="BP254" s="87"/>
      <c r="BQ254" s="21"/>
      <c r="BR254" s="153"/>
      <c r="BS254" s="153"/>
      <c r="BT254" s="68"/>
      <c r="BU254" s="1">
        <v>605</v>
      </c>
    </row>
    <row r="255" spans="1:74" ht="15.75" customHeight="1" x14ac:dyDescent="0.4">
      <c r="A255" s="1">
        <v>606</v>
      </c>
      <c r="B255" s="190"/>
      <c r="C255" s="118"/>
      <c r="D255" s="191"/>
      <c r="E255" s="192"/>
      <c r="F255" s="809"/>
      <c r="G255" s="810"/>
      <c r="I255" s="193"/>
      <c r="J255" s="22"/>
      <c r="K255" s="195"/>
      <c r="L255" s="824"/>
      <c r="M255" s="825"/>
      <c r="N255" s="825"/>
      <c r="O255" s="825"/>
      <c r="P255" s="826"/>
      <c r="Q255" s="196"/>
      <c r="S255" s="153"/>
      <c r="T255" s="153"/>
      <c r="U255" s="22"/>
      <c r="V255" s="197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99"/>
      <c r="BA255" s="99"/>
      <c r="BE255" s="86"/>
      <c r="BF255" s="86"/>
      <c r="BG255" s="86"/>
      <c r="BH255" s="86"/>
      <c r="BJ255" s="86"/>
      <c r="BK255" s="86"/>
      <c r="BL255" s="86"/>
      <c r="BM255" s="86"/>
      <c r="BN255" s="86"/>
      <c r="BO255" s="156"/>
      <c r="BP255" s="87"/>
      <c r="BQ255" s="21"/>
      <c r="BR255" s="153"/>
      <c r="BS255" s="153"/>
      <c r="BT255" s="68"/>
      <c r="BU255" s="1">
        <v>606</v>
      </c>
    </row>
    <row r="256" spans="1:74" ht="15.75" customHeight="1" x14ac:dyDescent="0.4">
      <c r="A256" s="1">
        <v>607</v>
      </c>
      <c r="B256" s="198"/>
      <c r="C256" s="199"/>
      <c r="D256" s="200"/>
      <c r="E256" s="201"/>
      <c r="F256" s="817"/>
      <c r="G256" s="818"/>
      <c r="I256" s="193"/>
      <c r="J256" s="22"/>
      <c r="K256" s="819" t="s">
        <v>79</v>
      </c>
      <c r="L256" s="820"/>
      <c r="M256" s="820"/>
      <c r="N256" s="820"/>
      <c r="O256" s="820"/>
      <c r="P256" s="820"/>
      <c r="Q256" s="821"/>
      <c r="S256" s="153"/>
      <c r="T256" s="153"/>
      <c r="U256" s="22"/>
      <c r="V256" s="197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99"/>
      <c r="BA256" s="99"/>
      <c r="BE256" s="86"/>
      <c r="BF256" s="86"/>
      <c r="BG256" s="86"/>
      <c r="BH256" s="86"/>
      <c r="BJ256" s="86"/>
      <c r="BK256" s="86"/>
      <c r="BL256" s="86"/>
      <c r="BM256" s="86"/>
      <c r="BN256" s="86"/>
      <c r="BO256" s="156"/>
      <c r="BP256" s="87"/>
      <c r="BQ256" s="21"/>
      <c r="BR256" s="153"/>
      <c r="BS256" s="153"/>
      <c r="BT256" s="68"/>
      <c r="BU256" s="1">
        <v>607</v>
      </c>
    </row>
    <row r="257" spans="1:73" ht="15.75" customHeight="1" x14ac:dyDescent="0.4">
      <c r="A257" s="1">
        <v>608</v>
      </c>
      <c r="B257" s="190"/>
      <c r="C257" s="118"/>
      <c r="D257" s="191"/>
      <c r="E257" s="192"/>
      <c r="F257" s="822"/>
      <c r="G257" s="823"/>
      <c r="J257" s="22"/>
      <c r="K257" s="143"/>
      <c r="L257" s="824"/>
      <c r="M257" s="825"/>
      <c r="N257" s="825"/>
      <c r="O257" s="825"/>
      <c r="P257" s="826"/>
      <c r="Q257" s="202"/>
      <c r="S257" s="153"/>
      <c r="T257" s="153"/>
      <c r="U257" s="22"/>
      <c r="V257" s="197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99"/>
      <c r="BA257" s="99"/>
      <c r="BE257" s="86"/>
      <c r="BF257" s="86"/>
      <c r="BG257" s="86"/>
      <c r="BH257" s="86"/>
      <c r="BJ257" s="86"/>
      <c r="BK257" s="86"/>
      <c r="BL257" s="86"/>
      <c r="BM257" s="86"/>
      <c r="BN257" s="86"/>
      <c r="BO257" s="156"/>
      <c r="BP257" s="87"/>
      <c r="BQ257" s="21"/>
      <c r="BR257" s="153"/>
      <c r="BS257" s="153"/>
      <c r="BT257" s="68"/>
      <c r="BU257" s="1">
        <v>608</v>
      </c>
    </row>
    <row r="258" spans="1:73" ht="15.75" customHeight="1" x14ac:dyDescent="0.4">
      <c r="A258" s="1">
        <v>609</v>
      </c>
      <c r="B258" s="198"/>
      <c r="C258" s="199"/>
      <c r="D258" s="200"/>
      <c r="E258" s="201"/>
      <c r="F258" s="817"/>
      <c r="G258" s="818"/>
      <c r="I258" s="193"/>
      <c r="J258" s="22"/>
      <c r="K258" s="143"/>
      <c r="L258" s="824"/>
      <c r="M258" s="825"/>
      <c r="N258" s="825"/>
      <c r="O258" s="825"/>
      <c r="P258" s="826"/>
      <c r="Q258" s="202"/>
      <c r="S258" s="153"/>
      <c r="T258" s="153"/>
      <c r="U258" s="22"/>
      <c r="V258" s="197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99"/>
      <c r="BA258" s="99"/>
      <c r="BE258" s="86"/>
      <c r="BF258" s="86"/>
      <c r="BG258" s="86"/>
      <c r="BH258" s="86"/>
      <c r="BJ258" s="86"/>
      <c r="BK258" s="86"/>
      <c r="BL258" s="86"/>
      <c r="BM258" s="86"/>
      <c r="BN258" s="86"/>
      <c r="BO258" s="156"/>
      <c r="BP258" s="87"/>
      <c r="BQ258" s="21"/>
      <c r="BR258" s="153"/>
      <c r="BS258" s="153"/>
      <c r="BT258" s="68"/>
      <c r="BU258" s="1">
        <v>609</v>
      </c>
    </row>
    <row r="259" spans="1:73" ht="15.75" customHeight="1" x14ac:dyDescent="0.4">
      <c r="A259" s="1">
        <v>610</v>
      </c>
      <c r="B259" s="190"/>
      <c r="C259" s="118"/>
      <c r="D259" s="191"/>
      <c r="E259" s="192"/>
      <c r="F259" s="809"/>
      <c r="G259" s="810"/>
      <c r="I259" s="193"/>
      <c r="J259" s="22"/>
      <c r="K259" s="195"/>
      <c r="L259" s="811"/>
      <c r="M259" s="811"/>
      <c r="N259" s="811"/>
      <c r="O259" s="811"/>
      <c r="P259" s="811"/>
      <c r="Q259" s="202"/>
      <c r="S259" s="22"/>
      <c r="T259" s="22"/>
      <c r="U259" s="22"/>
      <c r="V259" s="197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99"/>
      <c r="BA259" s="99"/>
      <c r="BE259" s="86"/>
      <c r="BF259" s="86"/>
      <c r="BG259" s="86"/>
      <c r="BH259" s="86"/>
      <c r="BJ259" s="86"/>
      <c r="BK259" s="86"/>
      <c r="BL259" s="86"/>
      <c r="BM259" s="86"/>
      <c r="BN259" s="86"/>
      <c r="BO259" s="156"/>
      <c r="BP259" s="87"/>
      <c r="BQ259" s="21"/>
      <c r="BR259" s="153"/>
      <c r="BS259" s="153"/>
      <c r="BT259" s="68"/>
      <c r="BU259" s="1">
        <v>610</v>
      </c>
    </row>
    <row r="260" spans="1:73" ht="15.75" customHeight="1" thickBot="1" x14ac:dyDescent="0.45">
      <c r="A260" s="1">
        <v>611</v>
      </c>
      <c r="B260" s="203"/>
      <c r="C260" s="204"/>
      <c r="D260" s="205"/>
      <c r="E260" s="206"/>
      <c r="F260" s="812"/>
      <c r="G260" s="813"/>
      <c r="K260" s="207"/>
      <c r="L260" s="814"/>
      <c r="M260" s="815"/>
      <c r="N260" s="815"/>
      <c r="O260" s="815"/>
      <c r="P260" s="816"/>
      <c r="Q260" s="208"/>
      <c r="S260" s="22"/>
      <c r="T260" s="22"/>
      <c r="U260" s="22"/>
      <c r="V260" s="197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99"/>
      <c r="BA260" s="99"/>
      <c r="BE260" s="86"/>
      <c r="BF260" s="86"/>
      <c r="BG260" s="86"/>
      <c r="BH260" s="86"/>
      <c r="BJ260" s="86"/>
      <c r="BK260" s="86"/>
      <c r="BL260" s="86"/>
      <c r="BM260" s="86"/>
      <c r="BN260" s="86"/>
      <c r="BO260" s="156"/>
      <c r="BP260" s="87"/>
      <c r="BQ260" s="21"/>
      <c r="BR260" s="153"/>
      <c r="BS260" s="153"/>
      <c r="BT260" s="68"/>
      <c r="BU260" s="1">
        <v>611</v>
      </c>
    </row>
    <row r="261" spans="1:73" ht="15.75" customHeight="1" x14ac:dyDescent="0.4">
      <c r="A261" s="1"/>
      <c r="B261" s="209"/>
      <c r="C261" s="210"/>
      <c r="D261" s="211"/>
      <c r="E261" s="150"/>
      <c r="F261" s="85"/>
      <c r="G261" s="212"/>
      <c r="H261" s="68"/>
      <c r="I261" s="213"/>
      <c r="J261" s="68"/>
      <c r="K261" s="214"/>
      <c r="L261" s="84"/>
      <c r="M261" s="84"/>
      <c r="N261" s="84"/>
      <c r="O261" s="84"/>
      <c r="P261" s="84"/>
      <c r="Q261" s="22"/>
      <c r="S261" s="22"/>
      <c r="T261" s="22"/>
      <c r="U261" s="22"/>
      <c r="V261" s="215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59"/>
      <c r="AR261" s="159"/>
      <c r="AS261" s="159"/>
      <c r="AT261" s="159"/>
      <c r="AU261" s="159"/>
      <c r="AV261" s="159"/>
      <c r="AW261" s="159"/>
      <c r="AX261" s="159"/>
      <c r="AY261" s="159"/>
      <c r="AZ261" s="216"/>
      <c r="BA261" s="216"/>
      <c r="BE261" s="217"/>
      <c r="BF261" s="217"/>
      <c r="BG261" s="217"/>
      <c r="BH261" s="217"/>
      <c r="BJ261" s="217"/>
      <c r="BK261" s="217"/>
      <c r="BL261" s="217"/>
      <c r="BM261" s="217"/>
      <c r="BN261" s="217"/>
      <c r="BO261" s="87"/>
      <c r="BP261" s="87"/>
      <c r="BQ261" s="21"/>
      <c r="BR261" s="153"/>
      <c r="BS261" s="153"/>
      <c r="BT261" s="68"/>
      <c r="BU261" s="1"/>
    </row>
    <row r="262" spans="1:73" ht="15.75" customHeight="1" x14ac:dyDescent="0.4">
      <c r="A262" s="1"/>
      <c r="B262" s="209"/>
      <c r="C262" s="218"/>
      <c r="D262" s="219"/>
      <c r="I262" s="222"/>
      <c r="K262" s="214"/>
      <c r="L262" s="84"/>
      <c r="M262" s="84"/>
      <c r="N262" s="84"/>
      <c r="O262" s="84"/>
      <c r="P262" s="84"/>
      <c r="Q262" s="22"/>
      <c r="S262" s="22"/>
      <c r="T262" s="22"/>
      <c r="U262" s="22"/>
      <c r="V262" s="197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99"/>
      <c r="BA262" s="99"/>
      <c r="BE262" s="86"/>
      <c r="BF262" s="86"/>
      <c r="BG262" s="86"/>
      <c r="BH262" s="86"/>
      <c r="BJ262" s="86"/>
      <c r="BK262" s="86"/>
      <c r="BL262" s="86"/>
      <c r="BM262" s="86"/>
      <c r="BN262" s="86"/>
      <c r="BO262" s="156"/>
      <c r="BP262" s="87"/>
      <c r="BQ262" s="21"/>
      <c r="BR262" s="153"/>
      <c r="BS262" s="153"/>
      <c r="BT262" s="68"/>
      <c r="BU262" s="1"/>
    </row>
    <row r="263" spans="1:73" ht="15.75" customHeight="1" x14ac:dyDescent="0.4">
      <c r="A263" s="1"/>
      <c r="B263" s="209"/>
      <c r="C263" s="218"/>
      <c r="D263" s="219"/>
      <c r="H263" s="181"/>
      <c r="K263" s="214"/>
      <c r="L263" s="84"/>
      <c r="M263" s="84"/>
      <c r="N263" s="84"/>
      <c r="O263" s="84"/>
      <c r="P263" s="84"/>
      <c r="Q263" s="22"/>
      <c r="R263" s="178"/>
      <c r="S263" s="22"/>
      <c r="T263" s="22"/>
      <c r="U263" s="22"/>
      <c r="V263" s="197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99"/>
      <c r="BA263" s="99"/>
      <c r="BE263" s="86"/>
      <c r="BF263" s="86"/>
      <c r="BG263" s="86"/>
      <c r="BH263" s="86"/>
      <c r="BJ263" s="86"/>
      <c r="BK263" s="86"/>
      <c r="BL263" s="86"/>
      <c r="BM263" s="86"/>
      <c r="BN263" s="86"/>
      <c r="BO263" s="156"/>
      <c r="BP263" s="87"/>
      <c r="BQ263" s="21"/>
      <c r="BR263" s="153"/>
      <c r="BS263" s="153"/>
      <c r="BT263" s="68"/>
      <c r="BU263" s="1"/>
    </row>
    <row r="264" spans="1:73" ht="15.75" customHeight="1" x14ac:dyDescent="0.4">
      <c r="A264" s="223"/>
      <c r="B264" s="209"/>
      <c r="C264" s="218"/>
      <c r="D264" s="219"/>
      <c r="G264" s="224"/>
      <c r="H264" s="181"/>
      <c r="I264" s="181"/>
      <c r="J264" s="181"/>
      <c r="K264" s="214"/>
      <c r="L264" s="84"/>
      <c r="M264" s="84"/>
      <c r="N264" s="84"/>
      <c r="O264" s="84"/>
      <c r="P264" s="84"/>
      <c r="Q264" s="22"/>
      <c r="R264" s="178"/>
      <c r="S264" s="22"/>
      <c r="T264" s="22"/>
      <c r="U264" s="22"/>
      <c r="V264" s="197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99"/>
      <c r="BA264" s="99"/>
      <c r="BE264" s="86"/>
      <c r="BF264" s="86"/>
      <c r="BG264" s="86"/>
      <c r="BH264" s="86"/>
      <c r="BJ264" s="86"/>
      <c r="BK264" s="86"/>
      <c r="BL264" s="86"/>
      <c r="BM264" s="86"/>
      <c r="BN264" s="86"/>
      <c r="BO264" s="156"/>
      <c r="BP264" s="87"/>
      <c r="BQ264" s="21"/>
      <c r="BR264" s="153"/>
      <c r="BS264" s="153"/>
      <c r="BT264" s="68"/>
      <c r="BU264" s="223"/>
    </row>
    <row r="265" spans="1:73" ht="15.75" customHeight="1" x14ac:dyDescent="0.4">
      <c r="A265" s="1"/>
      <c r="B265" s="209"/>
      <c r="C265" s="218"/>
      <c r="D265" s="219"/>
      <c r="G265" s="224"/>
      <c r="I265" s="181"/>
      <c r="J265" s="181"/>
      <c r="K265" s="214"/>
      <c r="L265" s="84"/>
      <c r="M265" s="84"/>
      <c r="N265" s="84"/>
      <c r="O265" s="84"/>
      <c r="P265" s="84"/>
      <c r="Q265" s="225"/>
      <c r="S265" s="22"/>
      <c r="T265" s="22"/>
      <c r="U265" s="22"/>
      <c r="V265" s="197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99"/>
      <c r="BA265" s="99"/>
      <c r="BE265" s="86"/>
      <c r="BF265" s="86"/>
      <c r="BG265" s="86"/>
      <c r="BH265" s="86"/>
      <c r="BJ265" s="86"/>
      <c r="BK265" s="86"/>
      <c r="BL265" s="86"/>
      <c r="BM265" s="86"/>
      <c r="BN265" s="86"/>
      <c r="BO265" s="156"/>
      <c r="BP265" s="87"/>
      <c r="BQ265" s="21"/>
      <c r="BR265" s="153"/>
      <c r="BS265" s="153"/>
      <c r="BT265" s="68"/>
      <c r="BU265" s="1"/>
    </row>
    <row r="266" spans="1:73" ht="15.75" customHeight="1" x14ac:dyDescent="0.4">
      <c r="A266" s="1"/>
      <c r="B266" s="209"/>
      <c r="C266" s="218"/>
      <c r="D266" s="219"/>
      <c r="G266" s="212"/>
      <c r="H266" s="181"/>
      <c r="I266" s="181"/>
      <c r="J266" s="181"/>
      <c r="K266" s="181"/>
      <c r="P266" s="181"/>
      <c r="Q266" s="225"/>
      <c r="S266" s="22"/>
      <c r="T266" s="22"/>
      <c r="U266" s="22"/>
      <c r="V266" s="197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99"/>
      <c r="BA266" s="99"/>
      <c r="BE266" s="86"/>
      <c r="BF266" s="86"/>
      <c r="BG266" s="86"/>
      <c r="BH266" s="86"/>
      <c r="BJ266" s="86"/>
      <c r="BK266" s="86"/>
      <c r="BL266" s="86"/>
      <c r="BM266" s="86"/>
      <c r="BN266" s="86"/>
      <c r="BO266" s="156"/>
      <c r="BP266" s="87"/>
      <c r="BQ266" s="21"/>
      <c r="BR266" s="153"/>
      <c r="BS266" s="153"/>
      <c r="BT266" s="68"/>
      <c r="BU266" s="1"/>
    </row>
    <row r="267" spans="1:73" ht="15" customHeight="1" x14ac:dyDescent="0.3">
      <c r="A267" s="1"/>
      <c r="B267" s="209"/>
      <c r="C267" s="218"/>
      <c r="D267" s="219"/>
      <c r="G267" s="22"/>
      <c r="H267" s="181"/>
      <c r="I267" s="181"/>
      <c r="J267" s="181"/>
      <c r="K267" s="214"/>
      <c r="L267" s="84"/>
      <c r="M267" s="84"/>
      <c r="N267" s="84"/>
      <c r="O267" s="84"/>
      <c r="P267" s="84"/>
      <c r="Q267" s="22"/>
      <c r="S267" s="22"/>
      <c r="T267" s="22"/>
      <c r="U267" s="22"/>
      <c r="V267" s="197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  <c r="AX267" s="181"/>
      <c r="AY267" s="181"/>
      <c r="AZ267" s="99"/>
      <c r="BA267" s="99"/>
      <c r="BE267" s="226"/>
      <c r="BF267" s="226"/>
      <c r="BG267" s="226"/>
      <c r="BH267" s="226"/>
      <c r="BJ267" s="226"/>
      <c r="BK267" s="226"/>
      <c r="BL267" s="226"/>
      <c r="BM267" s="226"/>
      <c r="BN267" s="226"/>
      <c r="BO267" s="227"/>
      <c r="BP267" s="228"/>
      <c r="BQ267" s="21"/>
      <c r="BU267" s="1"/>
    </row>
    <row r="268" spans="1:73" ht="15" customHeight="1" x14ac:dyDescent="0.3">
      <c r="A268" s="1"/>
      <c r="B268" s="209"/>
      <c r="C268" s="218"/>
      <c r="D268" s="219"/>
      <c r="G268" s="22"/>
      <c r="H268" s="181"/>
      <c r="I268" s="181"/>
      <c r="J268" s="181"/>
      <c r="K268" s="214"/>
      <c r="L268" s="84"/>
      <c r="M268" s="84"/>
      <c r="N268" s="84"/>
      <c r="O268" s="84"/>
      <c r="P268" s="84"/>
      <c r="Q268" s="22"/>
      <c r="S268" s="22"/>
      <c r="T268" s="22"/>
      <c r="U268" s="22"/>
      <c r="V268" s="197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  <c r="AX268" s="181"/>
      <c r="AY268" s="181"/>
      <c r="AZ268" s="99"/>
      <c r="BA268" s="99"/>
      <c r="BE268" s="226"/>
      <c r="BF268" s="226"/>
      <c r="BG268" s="226"/>
      <c r="BH268" s="226"/>
      <c r="BJ268" s="226"/>
      <c r="BK268" s="226"/>
      <c r="BL268" s="226"/>
      <c r="BM268" s="226"/>
      <c r="BN268" s="226"/>
      <c r="BO268" s="227"/>
      <c r="BP268" s="228"/>
      <c r="BQ268" s="21"/>
      <c r="BU268" s="1"/>
    </row>
    <row r="269" spans="1:73" ht="15" customHeight="1" x14ac:dyDescent="0.3">
      <c r="A269" s="223"/>
      <c r="B269" s="209"/>
      <c r="C269" s="218"/>
      <c r="D269" s="219"/>
      <c r="G269" s="22"/>
      <c r="I269" s="181"/>
      <c r="J269" s="181"/>
      <c r="K269" s="214"/>
      <c r="L269" s="84"/>
      <c r="M269" s="84"/>
      <c r="N269" s="84"/>
      <c r="O269" s="84"/>
      <c r="P269" s="84"/>
      <c r="Q269" s="22"/>
      <c r="S269" s="22"/>
      <c r="T269" s="22"/>
      <c r="U269" s="22"/>
      <c r="V269" s="197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  <c r="AX269" s="181"/>
      <c r="AY269" s="181"/>
      <c r="AZ269" s="99"/>
      <c r="BA269" s="99"/>
      <c r="BE269" s="226"/>
      <c r="BF269" s="226"/>
      <c r="BG269" s="226"/>
      <c r="BH269" s="226"/>
      <c r="BJ269" s="226"/>
      <c r="BK269" s="226"/>
      <c r="BL269" s="226"/>
      <c r="BM269" s="226"/>
      <c r="BN269" s="226"/>
      <c r="BO269" s="227"/>
      <c r="BP269" s="228"/>
      <c r="BQ269" s="21"/>
      <c r="BU269" s="223"/>
    </row>
    <row r="270" spans="1:73" ht="15" customHeight="1" x14ac:dyDescent="0.3">
      <c r="A270" s="1"/>
      <c r="B270" s="209"/>
      <c r="C270" s="218"/>
      <c r="D270" s="219"/>
      <c r="G270" s="22"/>
      <c r="I270" s="181"/>
      <c r="J270" s="181"/>
      <c r="K270" s="214"/>
      <c r="L270" s="84"/>
      <c r="M270" s="84"/>
      <c r="N270" s="84"/>
      <c r="O270" s="84"/>
      <c r="P270" s="84"/>
      <c r="Q270" s="225"/>
      <c r="S270" s="22"/>
      <c r="T270" s="22"/>
      <c r="U270" s="22"/>
      <c r="V270" s="197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  <c r="AX270" s="181"/>
      <c r="AY270" s="181"/>
      <c r="AZ270" s="99"/>
      <c r="BA270" s="99"/>
      <c r="BE270" s="226"/>
      <c r="BF270" s="226"/>
      <c r="BG270" s="226"/>
      <c r="BH270" s="226"/>
      <c r="BJ270" s="226"/>
      <c r="BK270" s="226"/>
      <c r="BL270" s="226"/>
      <c r="BM270" s="226"/>
      <c r="BN270" s="226"/>
      <c r="BO270" s="227"/>
      <c r="BP270" s="228"/>
      <c r="BQ270" s="21"/>
      <c r="BU270" s="1"/>
    </row>
    <row r="271" spans="1:73" ht="15" customHeight="1" x14ac:dyDescent="0.3">
      <c r="A271" s="1"/>
      <c r="B271" s="209"/>
      <c r="C271" s="218"/>
      <c r="D271" s="219"/>
      <c r="G271" s="212"/>
      <c r="H271" s="181"/>
      <c r="I271" s="181"/>
      <c r="J271" s="181"/>
      <c r="K271" s="181"/>
      <c r="P271" s="181"/>
      <c r="Q271" s="225"/>
      <c r="S271" s="22"/>
      <c r="T271" s="22"/>
      <c r="U271" s="22"/>
      <c r="V271" s="197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  <c r="AX271" s="181"/>
      <c r="AY271" s="181"/>
      <c r="AZ271" s="99"/>
      <c r="BA271" s="99"/>
      <c r="BE271" s="226"/>
      <c r="BF271" s="226"/>
      <c r="BG271" s="226"/>
      <c r="BH271" s="226"/>
      <c r="BJ271" s="226"/>
      <c r="BK271" s="226"/>
      <c r="BL271" s="226"/>
      <c r="BM271" s="226"/>
      <c r="BN271" s="226"/>
      <c r="BO271" s="227"/>
      <c r="BP271" s="228"/>
      <c r="BQ271" s="21"/>
      <c r="BU271" s="1"/>
    </row>
    <row r="272" spans="1:73" ht="15" customHeight="1" x14ac:dyDescent="0.3">
      <c r="A272" s="1"/>
      <c r="B272" s="209"/>
      <c r="C272" s="218"/>
      <c r="D272" s="219"/>
      <c r="G272" s="22"/>
      <c r="H272" s="181"/>
      <c r="I272" s="181"/>
      <c r="J272" s="181"/>
      <c r="K272" s="214"/>
      <c r="L272" s="84"/>
      <c r="M272" s="84"/>
      <c r="N272" s="84"/>
      <c r="O272" s="84"/>
      <c r="P272" s="84"/>
      <c r="Q272" s="22"/>
      <c r="S272" s="22"/>
      <c r="T272" s="22"/>
      <c r="V272" s="197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  <c r="AX272" s="181"/>
      <c r="AY272" s="181"/>
      <c r="AZ272" s="99"/>
      <c r="BA272" s="99"/>
      <c r="BE272" s="226"/>
      <c r="BF272" s="226"/>
      <c r="BG272" s="226"/>
      <c r="BH272" s="226"/>
      <c r="BJ272" s="226"/>
      <c r="BK272" s="226"/>
      <c r="BL272" s="226"/>
      <c r="BM272" s="226"/>
      <c r="BN272" s="226"/>
      <c r="BO272" s="227"/>
      <c r="BP272" s="228"/>
      <c r="BQ272" s="21"/>
      <c r="BU272" s="1"/>
    </row>
    <row r="273" spans="1:73" ht="15" customHeight="1" x14ac:dyDescent="0.3">
      <c r="A273" s="1"/>
      <c r="B273" s="209"/>
      <c r="C273" s="218"/>
      <c r="D273" s="219"/>
      <c r="G273" s="22"/>
      <c r="H273" s="181"/>
      <c r="I273" s="181"/>
      <c r="J273" s="181"/>
      <c r="K273" s="214"/>
      <c r="L273" s="84"/>
      <c r="M273" s="84"/>
      <c r="N273" s="84"/>
      <c r="O273" s="84"/>
      <c r="P273" s="84"/>
      <c r="Q273" s="22"/>
      <c r="S273" s="22"/>
      <c r="T273" s="22"/>
      <c r="V273" s="197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  <c r="AX273" s="181"/>
      <c r="AY273" s="181"/>
      <c r="AZ273" s="99"/>
      <c r="BA273" s="99"/>
      <c r="BE273" s="226"/>
      <c r="BF273" s="226"/>
      <c r="BG273" s="226"/>
      <c r="BH273" s="226"/>
      <c r="BJ273" s="226"/>
      <c r="BK273" s="226"/>
      <c r="BL273" s="226"/>
      <c r="BM273" s="226"/>
      <c r="BN273" s="226"/>
      <c r="BO273" s="227"/>
      <c r="BP273" s="228"/>
      <c r="BQ273" s="21"/>
      <c r="BU273" s="1"/>
    </row>
    <row r="274" spans="1:73" ht="15" customHeight="1" x14ac:dyDescent="0.3">
      <c r="A274" s="223"/>
      <c r="B274" s="209"/>
      <c r="C274" s="218"/>
      <c r="D274" s="219"/>
      <c r="G274" s="22"/>
      <c r="I274" s="181"/>
      <c r="J274" s="181"/>
      <c r="K274" s="214"/>
      <c r="L274" s="84"/>
      <c r="M274" s="84"/>
      <c r="N274" s="84"/>
      <c r="O274" s="84"/>
      <c r="P274" s="84"/>
      <c r="Q274" s="22"/>
      <c r="S274" s="22"/>
      <c r="T274" s="22"/>
      <c r="V274" s="197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  <c r="AX274" s="181"/>
      <c r="AY274" s="181"/>
      <c r="AZ274" s="99"/>
      <c r="BA274" s="99"/>
      <c r="BE274" s="226"/>
      <c r="BF274" s="226"/>
      <c r="BG274" s="226"/>
      <c r="BH274" s="226"/>
      <c r="BJ274" s="226"/>
      <c r="BK274" s="226"/>
      <c r="BL274" s="226"/>
      <c r="BM274" s="226"/>
      <c r="BN274" s="226"/>
      <c r="BO274" s="227"/>
      <c r="BP274" s="228"/>
      <c r="BQ274" s="21"/>
      <c r="BU274" s="223"/>
    </row>
    <row r="275" spans="1:73" ht="15" customHeight="1" x14ac:dyDescent="0.3">
      <c r="A275" s="1"/>
      <c r="B275" s="209"/>
      <c r="C275" s="218"/>
      <c r="D275" s="219"/>
      <c r="G275" s="22"/>
      <c r="I275" s="181"/>
      <c r="J275" s="181"/>
      <c r="K275" s="214"/>
      <c r="L275" s="84"/>
      <c r="M275" s="84"/>
      <c r="N275" s="84"/>
      <c r="O275" s="84"/>
      <c r="P275" s="84"/>
      <c r="Q275" s="22"/>
      <c r="S275" s="22"/>
      <c r="T275" s="22"/>
      <c r="U275" s="22"/>
      <c r="V275" s="197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  <c r="AX275" s="181"/>
      <c r="AY275" s="181"/>
      <c r="AZ275" s="99"/>
      <c r="BA275" s="99"/>
      <c r="BE275" s="226"/>
      <c r="BF275" s="226"/>
      <c r="BG275" s="226"/>
      <c r="BH275" s="226"/>
      <c r="BJ275" s="226"/>
      <c r="BK275" s="226"/>
      <c r="BL275" s="226"/>
      <c r="BM275" s="226"/>
      <c r="BN275" s="226"/>
      <c r="BO275" s="227"/>
      <c r="BP275" s="228"/>
      <c r="BQ275" s="21"/>
      <c r="BU275" s="1"/>
    </row>
    <row r="276" spans="1:73" ht="15" customHeight="1" x14ac:dyDescent="0.3">
      <c r="A276" s="1"/>
      <c r="B276" s="209"/>
      <c r="C276" s="218"/>
      <c r="D276" s="219"/>
      <c r="G276" s="212"/>
      <c r="H276" s="181"/>
      <c r="I276" s="181"/>
      <c r="J276" s="181"/>
      <c r="K276" s="214"/>
      <c r="L276" s="84"/>
      <c r="M276" s="84"/>
      <c r="N276" s="84"/>
      <c r="O276" s="84"/>
      <c r="P276" s="84"/>
      <c r="Q276" s="225"/>
      <c r="S276" s="22"/>
      <c r="T276" s="22"/>
      <c r="U276" s="22"/>
      <c r="V276" s="197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  <c r="AX276" s="181"/>
      <c r="AY276" s="181"/>
      <c r="AZ276" s="99"/>
      <c r="BA276" s="99"/>
      <c r="BE276" s="226"/>
      <c r="BF276" s="226"/>
      <c r="BG276" s="226"/>
      <c r="BH276" s="226"/>
      <c r="BJ276" s="226"/>
      <c r="BK276" s="226"/>
      <c r="BL276" s="226"/>
      <c r="BM276" s="226"/>
      <c r="BN276" s="226"/>
      <c r="BO276" s="227"/>
      <c r="BP276" s="228"/>
      <c r="BQ276" s="21"/>
      <c r="BU276" s="1"/>
    </row>
    <row r="277" spans="1:73" ht="15" customHeight="1" x14ac:dyDescent="0.3">
      <c r="A277" s="1"/>
      <c r="B277" s="209"/>
      <c r="C277" s="218"/>
      <c r="D277" s="219"/>
      <c r="G277" s="22"/>
      <c r="H277" s="181"/>
      <c r="I277" s="181"/>
      <c r="J277" s="181"/>
      <c r="K277" s="181"/>
      <c r="P277" s="181"/>
      <c r="Q277" s="225"/>
      <c r="S277" s="22"/>
      <c r="T277" s="22"/>
      <c r="V277" s="197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  <c r="AX277" s="181"/>
      <c r="AY277" s="181"/>
      <c r="AZ277" s="99"/>
      <c r="BA277" s="99"/>
      <c r="BE277" s="226"/>
      <c r="BF277" s="226"/>
      <c r="BG277" s="226"/>
      <c r="BH277" s="226"/>
      <c r="BJ277" s="226"/>
      <c r="BK277" s="226"/>
      <c r="BL277" s="226"/>
      <c r="BM277" s="226"/>
      <c r="BN277" s="226"/>
      <c r="BO277" s="227"/>
      <c r="BP277" s="228"/>
      <c r="BQ277" s="21"/>
      <c r="BU277" s="1"/>
    </row>
    <row r="278" spans="1:73" ht="15" customHeight="1" x14ac:dyDescent="0.3">
      <c r="A278" s="1"/>
      <c r="B278" s="209"/>
      <c r="C278" s="218"/>
      <c r="D278" s="219"/>
      <c r="G278" s="22"/>
      <c r="H278" s="181"/>
      <c r="I278" s="181"/>
      <c r="J278" s="181"/>
      <c r="K278" s="214"/>
      <c r="L278" s="84"/>
      <c r="M278" s="84"/>
      <c r="N278" s="84"/>
      <c r="O278" s="84"/>
      <c r="P278" s="84"/>
      <c r="Q278" s="22"/>
      <c r="S278" s="22"/>
      <c r="T278" s="22"/>
      <c r="V278" s="197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  <c r="AX278" s="181"/>
      <c r="AY278" s="181"/>
      <c r="AZ278" s="99"/>
      <c r="BA278" s="99"/>
      <c r="BE278" s="226"/>
      <c r="BF278" s="226"/>
      <c r="BG278" s="226"/>
      <c r="BH278" s="226"/>
      <c r="BJ278" s="226"/>
      <c r="BK278" s="226"/>
      <c r="BL278" s="226"/>
      <c r="BM278" s="226"/>
      <c r="BN278" s="226"/>
      <c r="BO278" s="227"/>
      <c r="BP278" s="228"/>
      <c r="BQ278" s="21"/>
      <c r="BU278" s="1"/>
    </row>
    <row r="279" spans="1:73" ht="15" customHeight="1" x14ac:dyDescent="0.3">
      <c r="A279" s="1"/>
      <c r="B279" s="209"/>
      <c r="C279" s="218"/>
      <c r="D279" s="219"/>
      <c r="G279" s="22"/>
      <c r="I279" s="181"/>
      <c r="J279" s="181"/>
      <c r="K279" s="214"/>
      <c r="L279" s="84"/>
      <c r="M279" s="84"/>
      <c r="N279" s="84"/>
      <c r="O279" s="84"/>
      <c r="P279" s="84"/>
      <c r="Q279" s="22"/>
      <c r="S279" s="22"/>
      <c r="T279" s="22"/>
      <c r="V279" s="197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  <c r="AX279" s="181"/>
      <c r="AY279" s="181"/>
      <c r="AZ279" s="99"/>
      <c r="BA279" s="99"/>
      <c r="BE279" s="226"/>
      <c r="BF279" s="226"/>
      <c r="BG279" s="226"/>
      <c r="BH279" s="226"/>
      <c r="BJ279" s="226"/>
      <c r="BK279" s="226"/>
      <c r="BL279" s="226"/>
      <c r="BM279" s="226"/>
      <c r="BN279" s="226"/>
      <c r="BO279" s="227"/>
      <c r="BP279" s="228"/>
      <c r="BQ279" s="21"/>
      <c r="BU279" s="1"/>
    </row>
    <row r="280" spans="1:73" ht="15" customHeight="1" x14ac:dyDescent="0.3">
      <c r="A280" s="1"/>
      <c r="B280" s="209"/>
      <c r="C280" s="218"/>
      <c r="D280" s="219"/>
      <c r="G280" s="22"/>
      <c r="I280" s="181"/>
      <c r="J280" s="181"/>
      <c r="K280" s="214"/>
      <c r="L280" s="84"/>
      <c r="M280" s="84"/>
      <c r="N280" s="84"/>
      <c r="O280" s="84"/>
      <c r="P280" s="84"/>
      <c r="Q280" s="22"/>
      <c r="S280" s="22"/>
      <c r="T280" s="22"/>
      <c r="U280" s="22"/>
      <c r="V280" s="197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  <c r="AY280" s="181"/>
      <c r="AZ280" s="99"/>
      <c r="BA280" s="99"/>
      <c r="BE280" s="226"/>
      <c r="BF280" s="226"/>
      <c r="BG280" s="226"/>
      <c r="BH280" s="226"/>
      <c r="BJ280" s="226"/>
      <c r="BK280" s="226"/>
      <c r="BL280" s="226"/>
      <c r="BM280" s="226"/>
      <c r="BN280" s="226"/>
      <c r="BO280" s="227"/>
      <c r="BP280" s="228"/>
      <c r="BQ280" s="21"/>
      <c r="BU280" s="1"/>
    </row>
    <row r="281" spans="1:73" ht="15" customHeight="1" x14ac:dyDescent="0.3">
      <c r="A281" s="1"/>
      <c r="B281" s="209"/>
      <c r="C281" s="218"/>
      <c r="D281" s="219"/>
      <c r="G281" s="22"/>
      <c r="I281" s="181"/>
      <c r="J281" s="181"/>
      <c r="K281" s="214"/>
      <c r="L281" s="84"/>
      <c r="M281" s="84"/>
      <c r="N281" s="84"/>
      <c r="O281" s="84"/>
      <c r="P281" s="84"/>
      <c r="Q281" s="225"/>
      <c r="S281" s="22"/>
      <c r="T281" s="22"/>
      <c r="U281" s="22"/>
      <c r="V281" s="197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  <c r="AY281" s="181"/>
      <c r="AZ281" s="99"/>
      <c r="BA281" s="99"/>
      <c r="BE281" s="226"/>
      <c r="BF281" s="226"/>
      <c r="BG281" s="226"/>
      <c r="BH281" s="226"/>
      <c r="BJ281" s="226"/>
      <c r="BK281" s="226"/>
      <c r="BL281" s="226"/>
      <c r="BM281" s="226"/>
      <c r="BN281" s="226"/>
      <c r="BO281" s="227"/>
      <c r="BP281" s="228"/>
      <c r="BQ281" s="21"/>
      <c r="BU281" s="1"/>
    </row>
    <row r="282" spans="1:73" ht="15" customHeight="1" x14ac:dyDescent="0.3">
      <c r="A282" s="1"/>
      <c r="B282" s="209"/>
      <c r="C282" s="218"/>
      <c r="D282" s="219"/>
      <c r="G282" s="212"/>
      <c r="H282" s="181"/>
      <c r="I282" s="181"/>
      <c r="J282" s="181"/>
      <c r="K282" s="181"/>
      <c r="P282" s="181"/>
      <c r="Q282" s="225"/>
      <c r="S282" s="22"/>
      <c r="T282" s="22"/>
      <c r="U282" s="22"/>
      <c r="V282" s="197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  <c r="AX282" s="181"/>
      <c r="AY282" s="181"/>
      <c r="AZ282" s="99"/>
      <c r="BA282" s="99"/>
      <c r="BE282" s="226"/>
      <c r="BF282" s="226"/>
      <c r="BG282" s="226"/>
      <c r="BH282" s="226"/>
      <c r="BJ282" s="226"/>
      <c r="BK282" s="226"/>
      <c r="BL282" s="226"/>
      <c r="BM282" s="226"/>
      <c r="BN282" s="226"/>
      <c r="BO282" s="227"/>
      <c r="BP282" s="228"/>
      <c r="BQ282" s="21"/>
      <c r="BU282" s="1"/>
    </row>
    <row r="283" spans="1:73" ht="15" customHeight="1" x14ac:dyDescent="0.3">
      <c r="A283" s="223"/>
      <c r="B283" s="209"/>
      <c r="C283" s="218"/>
      <c r="D283" s="219"/>
      <c r="G283" s="22"/>
      <c r="H283" s="181"/>
      <c r="I283" s="181"/>
      <c r="J283" s="181"/>
      <c r="K283" s="214"/>
      <c r="L283" s="84"/>
      <c r="M283" s="84"/>
      <c r="N283" s="84"/>
      <c r="O283" s="84"/>
      <c r="P283" s="84"/>
      <c r="Q283" s="22"/>
      <c r="S283" s="22"/>
      <c r="T283" s="22"/>
      <c r="V283" s="197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  <c r="AX283" s="181"/>
      <c r="AY283" s="181"/>
      <c r="AZ283" s="99"/>
      <c r="BA283" s="99"/>
      <c r="BE283" s="226"/>
      <c r="BF283" s="226"/>
      <c r="BG283" s="226"/>
      <c r="BH283" s="226"/>
      <c r="BJ283" s="226"/>
      <c r="BK283" s="226"/>
      <c r="BL283" s="226"/>
      <c r="BM283" s="226"/>
      <c r="BN283" s="226"/>
      <c r="BO283" s="227"/>
      <c r="BP283" s="228"/>
      <c r="BQ283" s="21"/>
      <c r="BU283" s="223"/>
    </row>
    <row r="284" spans="1:73" ht="15" customHeight="1" x14ac:dyDescent="0.3">
      <c r="A284" s="1"/>
      <c r="B284" s="209"/>
      <c r="C284" s="218"/>
      <c r="D284" s="219"/>
      <c r="G284" s="22"/>
      <c r="H284" s="181"/>
      <c r="I284" s="181"/>
      <c r="J284" s="181"/>
      <c r="K284" s="214"/>
      <c r="L284" s="84"/>
      <c r="M284" s="84"/>
      <c r="N284" s="84"/>
      <c r="O284" s="84"/>
      <c r="P284" s="84"/>
      <c r="Q284" s="22"/>
      <c r="S284" s="22"/>
      <c r="T284" s="22"/>
      <c r="V284" s="197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  <c r="AX284" s="181"/>
      <c r="AY284" s="181"/>
      <c r="AZ284" s="99"/>
      <c r="BA284" s="99"/>
      <c r="BE284" s="226"/>
      <c r="BF284" s="226"/>
      <c r="BG284" s="226"/>
      <c r="BH284" s="226"/>
      <c r="BJ284" s="226"/>
      <c r="BK284" s="226"/>
      <c r="BL284" s="226"/>
      <c r="BM284" s="226"/>
      <c r="BN284" s="226"/>
      <c r="BO284" s="227"/>
      <c r="BP284" s="228"/>
      <c r="BQ284" s="21"/>
      <c r="BU284" s="1"/>
    </row>
    <row r="285" spans="1:73" ht="15" customHeight="1" x14ac:dyDescent="0.3">
      <c r="A285" s="1"/>
      <c r="B285" s="209"/>
      <c r="C285" s="218"/>
      <c r="D285" s="219"/>
      <c r="G285" s="22"/>
      <c r="I285" s="181"/>
      <c r="J285" s="181"/>
      <c r="K285" s="214"/>
      <c r="L285" s="84"/>
      <c r="M285" s="84"/>
      <c r="N285" s="84"/>
      <c r="O285" s="84"/>
      <c r="P285" s="84"/>
      <c r="Q285" s="22"/>
      <c r="S285" s="22"/>
      <c r="T285" s="22"/>
      <c r="V285" s="197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  <c r="AX285" s="181"/>
      <c r="AY285" s="181"/>
      <c r="AZ285" s="99"/>
      <c r="BA285" s="99"/>
      <c r="BE285" s="226"/>
      <c r="BF285" s="226"/>
      <c r="BG285" s="226"/>
      <c r="BH285" s="226"/>
      <c r="BJ285" s="226"/>
      <c r="BK285" s="226"/>
      <c r="BL285" s="226"/>
      <c r="BM285" s="226"/>
      <c r="BN285" s="226"/>
      <c r="BO285" s="227"/>
      <c r="BP285" s="228"/>
      <c r="BQ285" s="21"/>
      <c r="BU285" s="1"/>
    </row>
    <row r="286" spans="1:73" ht="15" customHeight="1" x14ac:dyDescent="0.3">
      <c r="A286" s="1"/>
      <c r="B286" s="209"/>
      <c r="C286" s="218"/>
      <c r="D286" s="219"/>
      <c r="G286" s="22"/>
      <c r="I286" s="181"/>
      <c r="J286" s="181"/>
      <c r="K286" s="214"/>
      <c r="L286" s="84"/>
      <c r="M286" s="84"/>
      <c r="N286" s="84"/>
      <c r="O286" s="84"/>
      <c r="P286" s="84"/>
      <c r="Q286" s="225"/>
      <c r="S286" s="22"/>
      <c r="T286" s="22"/>
      <c r="U286" s="22"/>
      <c r="V286" s="197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  <c r="AX286" s="181"/>
      <c r="AY286" s="181"/>
      <c r="AZ286" s="99"/>
      <c r="BA286" s="99"/>
      <c r="BE286" s="226"/>
      <c r="BF286" s="226"/>
      <c r="BG286" s="226"/>
      <c r="BH286" s="226"/>
      <c r="BJ286" s="226"/>
      <c r="BK286" s="226"/>
      <c r="BL286" s="226"/>
      <c r="BM286" s="226"/>
      <c r="BN286" s="226"/>
      <c r="BO286" s="227"/>
      <c r="BP286" s="228"/>
      <c r="BQ286" s="21"/>
      <c r="BU286" s="1"/>
    </row>
    <row r="287" spans="1:73" ht="15" customHeight="1" x14ac:dyDescent="0.3">
      <c r="A287" s="1"/>
      <c r="B287" s="209"/>
      <c r="C287" s="218"/>
      <c r="D287" s="219"/>
      <c r="G287" s="212"/>
      <c r="H287" s="181"/>
      <c r="I287" s="181"/>
      <c r="L287"/>
      <c r="Q287" s="225"/>
      <c r="S287" s="22"/>
      <c r="T287" s="22"/>
      <c r="U287" s="22"/>
      <c r="V287" s="197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  <c r="AX287" s="181"/>
      <c r="AY287" s="181"/>
      <c r="AZ287" s="99"/>
      <c r="BA287" s="99"/>
      <c r="BE287" s="226"/>
      <c r="BF287" s="226"/>
      <c r="BG287" s="226"/>
      <c r="BH287" s="226"/>
      <c r="BJ287" s="226"/>
      <c r="BK287" s="226"/>
      <c r="BL287" s="226"/>
      <c r="BM287" s="226"/>
      <c r="BN287" s="226"/>
      <c r="BO287" s="227"/>
      <c r="BP287" s="228"/>
      <c r="BQ287" s="21"/>
      <c r="BU287" s="1"/>
    </row>
    <row r="288" spans="1:73" ht="15" customHeight="1" x14ac:dyDescent="0.3">
      <c r="A288" s="223"/>
      <c r="B288" s="209"/>
      <c r="C288" s="218"/>
      <c r="D288" s="219"/>
      <c r="G288" s="22"/>
      <c r="H288" s="181"/>
      <c r="I288" s="181"/>
      <c r="L288"/>
      <c r="Q288" s="225"/>
      <c r="S288" s="22"/>
      <c r="T288" s="22"/>
      <c r="V288" s="197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  <c r="AX288" s="181"/>
      <c r="AY288" s="181"/>
      <c r="AZ288" s="99"/>
      <c r="BA288" s="99"/>
      <c r="BE288" s="226"/>
      <c r="BF288" s="226"/>
      <c r="BG288" s="226"/>
      <c r="BH288" s="226"/>
      <c r="BJ288" s="226"/>
      <c r="BK288" s="226"/>
      <c r="BL288" s="226"/>
      <c r="BM288" s="226"/>
      <c r="BN288" s="226"/>
      <c r="BO288" s="227"/>
      <c r="BP288" s="228"/>
      <c r="BQ288" s="21"/>
      <c r="BU288" s="223"/>
    </row>
    <row r="289" spans="1:73" ht="15" customHeight="1" x14ac:dyDescent="0.3">
      <c r="A289" s="1"/>
      <c r="B289" s="209"/>
      <c r="C289" s="218"/>
      <c r="D289" s="219"/>
      <c r="G289" s="22"/>
      <c r="H289" s="181"/>
      <c r="I289" s="181"/>
      <c r="L289"/>
      <c r="Q289" s="225"/>
      <c r="S289" s="22"/>
      <c r="T289" s="22"/>
      <c r="V289" s="197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  <c r="AX289" s="181"/>
      <c r="AY289" s="181"/>
      <c r="AZ289" s="99"/>
      <c r="BA289" s="99"/>
      <c r="BE289" s="226"/>
      <c r="BF289" s="226"/>
      <c r="BG289" s="226"/>
      <c r="BH289" s="226"/>
      <c r="BJ289" s="226"/>
      <c r="BK289" s="226"/>
      <c r="BL289" s="226"/>
      <c r="BM289" s="226"/>
      <c r="BN289" s="226"/>
      <c r="BO289" s="227"/>
      <c r="BP289" s="228"/>
      <c r="BQ289" s="21"/>
      <c r="BU289" s="1"/>
    </row>
    <row r="290" spans="1:73" ht="15" customHeight="1" x14ac:dyDescent="0.3">
      <c r="A290" s="1"/>
      <c r="C290" s="218"/>
      <c r="D290" s="219"/>
      <c r="G290" s="22"/>
      <c r="I290" s="181"/>
      <c r="J290" s="181"/>
      <c r="Q290" s="225"/>
      <c r="S290" s="22"/>
      <c r="T290" s="22"/>
      <c r="V290" s="197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  <c r="AX290" s="181"/>
      <c r="AY290" s="181"/>
      <c r="AZ290" s="99"/>
      <c r="BA290" s="99"/>
      <c r="BE290" s="226"/>
      <c r="BF290" s="226"/>
      <c r="BG290" s="226"/>
      <c r="BH290" s="226"/>
      <c r="BJ290" s="226"/>
      <c r="BK290" s="226"/>
      <c r="BL290" s="226"/>
      <c r="BM290" s="226"/>
      <c r="BN290" s="226"/>
      <c r="BO290" s="227"/>
      <c r="BP290" s="228"/>
      <c r="BQ290" s="21"/>
      <c r="BU290" s="1"/>
    </row>
    <row r="291" spans="1:73" ht="15.75" customHeight="1" x14ac:dyDescent="0.35">
      <c r="A291" s="1"/>
      <c r="D291"/>
      <c r="E291"/>
      <c r="BO291" s="230"/>
      <c r="BP291" s="231"/>
      <c r="BU291" s="1"/>
    </row>
    <row r="292" spans="1:73" ht="15.75" customHeight="1" x14ac:dyDescent="0.35">
      <c r="A292" s="1"/>
      <c r="D292"/>
      <c r="E292"/>
      <c r="BO292" s="230"/>
      <c r="BP292" s="231"/>
      <c r="BU292" s="1"/>
    </row>
    <row r="293" spans="1:73" ht="15.75" customHeight="1" x14ac:dyDescent="0.35">
      <c r="A293" s="1"/>
      <c r="BO293" s="230"/>
      <c r="BP293" s="231"/>
      <c r="BU293" s="1"/>
    </row>
    <row r="294" spans="1:73" ht="15.75" customHeight="1" x14ac:dyDescent="0.35">
      <c r="A294" s="223"/>
      <c r="BO294" s="230"/>
      <c r="BP294" s="231"/>
      <c r="BU294" s="223"/>
    </row>
    <row r="295" spans="1:73" ht="15.75" customHeight="1" x14ac:dyDescent="0.3">
      <c r="A295" s="223"/>
      <c r="S295"/>
      <c r="V295"/>
      <c r="BO295" s="230"/>
      <c r="BP295" s="231"/>
      <c r="BU295" s="223"/>
    </row>
    <row r="296" spans="1:73" ht="15.75" customHeight="1" x14ac:dyDescent="0.3">
      <c r="A296" s="1"/>
      <c r="S296"/>
      <c r="V296"/>
      <c r="BO296" s="230"/>
      <c r="BP296" s="231"/>
      <c r="BU296" s="1"/>
    </row>
    <row r="297" spans="1:73" ht="15" customHeight="1" x14ac:dyDescent="0.3">
      <c r="A297" s="1"/>
      <c r="S297"/>
      <c r="V297"/>
      <c r="BO297" s="230"/>
      <c r="BP297" s="231"/>
      <c r="BU297" s="1"/>
    </row>
    <row r="298" spans="1:73" ht="15" customHeight="1" x14ac:dyDescent="0.3">
      <c r="A298" s="1"/>
      <c r="S298"/>
      <c r="V298"/>
      <c r="BB298" s="125"/>
      <c r="BC298" s="125"/>
      <c r="BD298" s="125"/>
      <c r="BE298" s="125"/>
      <c r="BF298" s="125"/>
      <c r="BG298" s="125"/>
      <c r="BH298" s="125"/>
      <c r="BI298" s="125"/>
      <c r="BJ298" s="125"/>
      <c r="BK298" s="125"/>
      <c r="BL298" s="125"/>
      <c r="BM298" s="125"/>
      <c r="BN298" s="125"/>
      <c r="BO298" s="230"/>
      <c r="BP298" s="231"/>
      <c r="BQ298" s="68"/>
      <c r="BR298" s="68"/>
      <c r="BS298" s="68"/>
      <c r="BT298" s="68"/>
      <c r="BU298" s="1"/>
    </row>
    <row r="299" spans="1:73" ht="15" customHeight="1" x14ac:dyDescent="0.35">
      <c r="A299" s="223"/>
      <c r="BB299" s="125"/>
      <c r="BC299" s="125"/>
      <c r="BD299" s="125"/>
      <c r="BE299" s="125"/>
      <c r="BF299" s="125"/>
      <c r="BG299" s="125"/>
      <c r="BH299" s="125"/>
      <c r="BI299" s="125"/>
      <c r="BJ299" s="125"/>
      <c r="BK299" s="125"/>
      <c r="BL299" s="125"/>
      <c r="BM299" s="125"/>
      <c r="BN299" s="125"/>
      <c r="BO299" s="230"/>
      <c r="BP299" s="231"/>
      <c r="BQ299" s="68"/>
      <c r="BR299" s="68"/>
      <c r="BS299" s="68"/>
      <c r="BT299" s="68"/>
      <c r="BU299" s="223"/>
    </row>
    <row r="300" spans="1:73" ht="15" customHeight="1" x14ac:dyDescent="0.35">
      <c r="A300" s="223"/>
      <c r="BB300" s="125"/>
      <c r="BC300" s="125"/>
      <c r="BD300" s="125"/>
      <c r="BE300" s="125"/>
      <c r="BF300" s="125"/>
      <c r="BG300" s="125"/>
      <c r="BH300" s="125"/>
      <c r="BI300" s="125"/>
      <c r="BJ300" s="125"/>
      <c r="BK300" s="125"/>
      <c r="BL300" s="125"/>
      <c r="BM300" s="125"/>
      <c r="BN300" s="125"/>
      <c r="BO300" s="230"/>
      <c r="BP300" s="231"/>
      <c r="BQ300" s="68"/>
      <c r="BR300" s="68"/>
      <c r="BS300" s="68"/>
      <c r="BT300" s="68"/>
      <c r="BU300" s="223"/>
    </row>
    <row r="301" spans="1:73" ht="15.75" customHeight="1" x14ac:dyDescent="0.35">
      <c r="A301" s="1"/>
      <c r="BB301" s="125"/>
      <c r="BC301" s="125"/>
      <c r="BD301" s="125"/>
      <c r="BE301" s="125"/>
      <c r="BF301" s="125"/>
      <c r="BG301" s="125"/>
      <c r="BH301" s="125"/>
      <c r="BI301" s="125"/>
      <c r="BJ301" s="125"/>
      <c r="BK301" s="125"/>
      <c r="BL301" s="125"/>
      <c r="BM301" s="125"/>
      <c r="BN301" s="125"/>
      <c r="BO301" s="230"/>
      <c r="BP301" s="231"/>
      <c r="BQ301" s="68"/>
      <c r="BR301" s="68"/>
      <c r="BS301" s="68"/>
      <c r="BT301" s="68"/>
      <c r="BU301" s="1"/>
    </row>
    <row r="302" spans="1:73" ht="409.6" customHeight="1" x14ac:dyDescent="0.35">
      <c r="A302" s="1"/>
      <c r="BU302" s="1"/>
    </row>
    <row r="303" spans="1:73" ht="409.6" customHeight="1" x14ac:dyDescent="0.3">
      <c r="A303" s="1"/>
      <c r="R303"/>
      <c r="S303"/>
      <c r="V303"/>
      <c r="BU303" s="1"/>
    </row>
    <row r="304" spans="1:73" ht="409.6" customHeight="1" x14ac:dyDescent="0.3">
      <c r="A304" s="223"/>
      <c r="D304"/>
      <c r="E304"/>
      <c r="R304"/>
      <c r="S304"/>
      <c r="V304"/>
      <c r="BU304" s="223"/>
    </row>
    <row r="305" spans="1:73" ht="409.6" customHeight="1" x14ac:dyDescent="0.35">
      <c r="D305"/>
      <c r="E305"/>
      <c r="R305"/>
    </row>
    <row r="306" spans="1:73" ht="15" x14ac:dyDescent="0.35">
      <c r="A306"/>
      <c r="R306"/>
      <c r="BB306" s="125"/>
      <c r="BC306" s="125"/>
      <c r="BD306" s="125"/>
      <c r="BE306" s="125"/>
      <c r="BF306" s="125"/>
      <c r="BG306" s="125"/>
      <c r="BH306" s="125"/>
      <c r="BI306" s="125"/>
      <c r="BJ306" s="125"/>
      <c r="BK306" s="125"/>
      <c r="BL306" s="125"/>
      <c r="BM306" s="125"/>
      <c r="BN306" s="125"/>
      <c r="BO306"/>
      <c r="BP306" s="68"/>
      <c r="BQ306" s="68"/>
      <c r="BR306" s="68"/>
      <c r="BS306" s="68"/>
      <c r="BT306" s="68"/>
      <c r="BU306"/>
    </row>
    <row r="307" spans="1:73" ht="15" x14ac:dyDescent="0.35">
      <c r="A307"/>
      <c r="D307"/>
      <c r="E307"/>
      <c r="L307"/>
      <c r="M307"/>
      <c r="N307"/>
      <c r="O307"/>
      <c r="BB307" s="125"/>
      <c r="BC307" s="125"/>
      <c r="BD307" s="125"/>
      <c r="BE307" s="125"/>
      <c r="BF307" s="125"/>
      <c r="BG307" s="125"/>
      <c r="BH307" s="125"/>
      <c r="BI307" s="125"/>
      <c r="BJ307" s="125"/>
      <c r="BK307" s="125"/>
      <c r="BL307" s="125"/>
      <c r="BM307" s="125"/>
      <c r="BN307" s="125"/>
      <c r="BO307"/>
      <c r="BP307" s="68"/>
      <c r="BQ307" s="68"/>
      <c r="BR307" s="68"/>
      <c r="BS307" s="68"/>
      <c r="BT307" s="68"/>
      <c r="BU307"/>
    </row>
    <row r="308" spans="1:73" ht="15" x14ac:dyDescent="0.35">
      <c r="D308"/>
      <c r="E308"/>
      <c r="L308"/>
      <c r="M308"/>
      <c r="N308"/>
      <c r="O308"/>
    </row>
    <row r="309" spans="1:73" ht="15" x14ac:dyDescent="0.35">
      <c r="D309"/>
      <c r="E309"/>
      <c r="L309"/>
      <c r="M309"/>
      <c r="N309"/>
      <c r="O309"/>
    </row>
    <row r="310" spans="1:73" ht="14.4" x14ac:dyDescent="0.3">
      <c r="D310"/>
      <c r="E310"/>
      <c r="L310"/>
      <c r="M310"/>
      <c r="N310"/>
      <c r="O310"/>
      <c r="S310"/>
      <c r="V310"/>
    </row>
    <row r="311" spans="1:73" ht="14.4" x14ac:dyDescent="0.3">
      <c r="L311"/>
      <c r="M311"/>
      <c r="N311"/>
      <c r="O311"/>
      <c r="S311"/>
      <c r="V311"/>
    </row>
    <row r="312" spans="1:73" ht="14.4" x14ac:dyDescent="0.3">
      <c r="L312"/>
      <c r="M312"/>
      <c r="N312"/>
      <c r="O312"/>
      <c r="S312"/>
      <c r="V312"/>
    </row>
    <row r="313" spans="1:73" ht="14.4" x14ac:dyDescent="0.3">
      <c r="A313"/>
      <c r="L313"/>
      <c r="M313"/>
      <c r="N313"/>
      <c r="O313"/>
      <c r="S313"/>
      <c r="V313"/>
      <c r="BB313" s="125"/>
      <c r="BC313" s="125"/>
      <c r="BD313" s="125"/>
      <c r="BE313" s="125"/>
      <c r="BF313" s="125"/>
      <c r="BG313" s="125"/>
      <c r="BH313" s="125"/>
      <c r="BI313" s="125"/>
      <c r="BJ313" s="125"/>
      <c r="BK313" s="125"/>
      <c r="BL313" s="125"/>
      <c r="BM313" s="125"/>
      <c r="BN313" s="125"/>
      <c r="BO313"/>
      <c r="BP313" s="68"/>
      <c r="BQ313" s="68"/>
      <c r="BR313" s="68"/>
      <c r="BS313" s="68"/>
      <c r="BT313" s="68"/>
      <c r="BU313"/>
    </row>
    <row r="314" spans="1:73" ht="15" x14ac:dyDescent="0.35">
      <c r="A314"/>
      <c r="L314"/>
      <c r="M314"/>
      <c r="N314"/>
      <c r="O314"/>
      <c r="BB314" s="125"/>
      <c r="BC314" s="125"/>
      <c r="BD314" s="125"/>
      <c r="BE314" s="125"/>
      <c r="BF314" s="125"/>
      <c r="BG314" s="125"/>
      <c r="BH314" s="125"/>
      <c r="BI314" s="125"/>
      <c r="BJ314" s="125"/>
      <c r="BK314" s="125"/>
      <c r="BL314" s="125"/>
      <c r="BM314" s="125"/>
      <c r="BN314" s="125"/>
      <c r="BO314"/>
      <c r="BP314" s="68"/>
      <c r="BQ314" s="68"/>
      <c r="BR314" s="68"/>
      <c r="BS314" s="68"/>
      <c r="BT314" s="68"/>
      <c r="BU314"/>
    </row>
    <row r="315" spans="1:73" ht="15" x14ac:dyDescent="0.35">
      <c r="A315"/>
      <c r="BB315" s="125"/>
      <c r="BC315" s="125"/>
      <c r="BD315" s="125"/>
      <c r="BE315" s="125"/>
      <c r="BF315" s="125"/>
      <c r="BG315" s="125"/>
      <c r="BH315" s="125"/>
      <c r="BI315" s="125"/>
      <c r="BJ315" s="125"/>
      <c r="BK315" s="125"/>
      <c r="BL315" s="125"/>
      <c r="BM315" s="125"/>
      <c r="BN315" s="125"/>
      <c r="BO315"/>
      <c r="BP315" s="68"/>
      <c r="BQ315" s="68"/>
      <c r="BR315" s="68"/>
      <c r="BS315" s="68"/>
      <c r="BT315" s="68"/>
      <c r="BU315"/>
    </row>
    <row r="316" spans="1:73" ht="15" x14ac:dyDescent="0.35">
      <c r="A316"/>
      <c r="BB316" s="125"/>
      <c r="BC316" s="125"/>
      <c r="BD316" s="125"/>
      <c r="BE316" s="125"/>
      <c r="BF316" s="125"/>
      <c r="BG316" s="125"/>
      <c r="BH316" s="125"/>
      <c r="BI316" s="125"/>
      <c r="BJ316" s="125"/>
      <c r="BK316" s="125"/>
      <c r="BL316" s="125"/>
      <c r="BM316" s="125"/>
      <c r="BN316" s="125"/>
      <c r="BO316"/>
      <c r="BP316" s="68"/>
      <c r="BQ316" s="68"/>
      <c r="BR316" s="68"/>
      <c r="BS316" s="68"/>
      <c r="BT316" s="68"/>
      <c r="BU316"/>
    </row>
    <row r="317" spans="1:73" ht="15" x14ac:dyDescent="0.35"/>
    <row r="318" spans="1:73" ht="15" x14ac:dyDescent="0.35"/>
    <row r="320" spans="1:73" ht="409.6" customHeight="1" x14ac:dyDescent="0.35">
      <c r="D320"/>
      <c r="E320"/>
    </row>
    <row r="321" spans="1:73" ht="409.6" customHeight="1" x14ac:dyDescent="0.35">
      <c r="D321"/>
      <c r="E321"/>
    </row>
    <row r="322" spans="1:73" ht="409.6" customHeight="1" x14ac:dyDescent="0.35">
      <c r="D322"/>
      <c r="E322"/>
    </row>
    <row r="323" spans="1:73" ht="409.6" customHeight="1" x14ac:dyDescent="0.35">
      <c r="D323"/>
      <c r="E323"/>
    </row>
    <row r="324" spans="1:73" ht="409.6" customHeight="1" x14ac:dyDescent="0.35">
      <c r="D324"/>
      <c r="E324"/>
    </row>
    <row r="325" spans="1:73" ht="15" x14ac:dyDescent="0.35">
      <c r="D325"/>
      <c r="E325"/>
    </row>
    <row r="326" spans="1:73" ht="15.75" customHeight="1" x14ac:dyDescent="0.35">
      <c r="D326"/>
      <c r="E326"/>
    </row>
    <row r="327" spans="1:73" ht="15" x14ac:dyDescent="0.35"/>
    <row r="328" spans="1:73" ht="15" x14ac:dyDescent="0.35">
      <c r="A328"/>
      <c r="D328"/>
      <c r="E328"/>
      <c r="BB328" s="125"/>
      <c r="BC328" s="125"/>
      <c r="BD328" s="125"/>
      <c r="BE328" s="125"/>
      <c r="BF328" s="125"/>
      <c r="BG328" s="125"/>
      <c r="BH328" s="125"/>
      <c r="BI328" s="125"/>
      <c r="BJ328" s="125"/>
      <c r="BK328" s="125"/>
      <c r="BL328" s="125"/>
      <c r="BM328" s="125"/>
      <c r="BN328" s="125"/>
      <c r="BO328"/>
      <c r="BP328" s="68"/>
      <c r="BQ328" s="68"/>
      <c r="BR328" s="68"/>
      <c r="BS328" s="68"/>
      <c r="BT328" s="68"/>
      <c r="BU328"/>
    </row>
    <row r="329" spans="1:73" ht="15" x14ac:dyDescent="0.35">
      <c r="A329"/>
      <c r="BB329" s="125"/>
      <c r="BC329" s="125"/>
      <c r="BD329" s="125"/>
      <c r="BE329" s="125"/>
      <c r="BF329" s="125"/>
      <c r="BG329" s="125"/>
      <c r="BH329" s="125"/>
      <c r="BI329" s="125"/>
      <c r="BJ329" s="125"/>
      <c r="BK329" s="125"/>
      <c r="BL329" s="125"/>
      <c r="BM329" s="125"/>
      <c r="BN329" s="125"/>
      <c r="BO329"/>
      <c r="BP329" s="68"/>
      <c r="BQ329" s="68"/>
      <c r="BR329" s="68"/>
      <c r="BS329" s="68"/>
      <c r="BT329" s="68"/>
      <c r="BU329"/>
    </row>
    <row r="330" spans="1:73" ht="15" x14ac:dyDescent="0.35">
      <c r="A330"/>
      <c r="BB330" s="125"/>
      <c r="BC330" s="125"/>
      <c r="BD330" s="125"/>
      <c r="BE330" s="125"/>
      <c r="BF330" s="125"/>
      <c r="BG330" s="125"/>
      <c r="BH330" s="125"/>
      <c r="BI330" s="125"/>
      <c r="BJ330" s="125"/>
      <c r="BK330" s="125"/>
      <c r="BL330" s="125"/>
      <c r="BM330" s="125"/>
      <c r="BN330" s="125"/>
      <c r="BO330"/>
      <c r="BP330" s="68"/>
      <c r="BQ330" s="68"/>
      <c r="BR330" s="68"/>
      <c r="BS330" s="68"/>
      <c r="BT330" s="68"/>
      <c r="BU330"/>
    </row>
    <row r="331" spans="1:73" ht="15" x14ac:dyDescent="0.35">
      <c r="A331"/>
      <c r="D331"/>
      <c r="E331"/>
      <c r="BB331" s="125"/>
      <c r="BC331" s="125"/>
      <c r="BD331" s="125"/>
      <c r="BE331" s="125"/>
      <c r="BF331" s="125"/>
      <c r="BG331" s="125"/>
      <c r="BH331" s="125"/>
      <c r="BI331" s="125"/>
      <c r="BJ331" s="125"/>
      <c r="BK331" s="125"/>
      <c r="BL331" s="125"/>
      <c r="BM331" s="125"/>
      <c r="BN331" s="125"/>
      <c r="BO331"/>
      <c r="BP331" s="68"/>
      <c r="BQ331" s="68"/>
      <c r="BR331" s="68"/>
      <c r="BS331" s="68"/>
      <c r="BT331" s="68"/>
      <c r="BU331"/>
    </row>
    <row r="332" spans="1:73" ht="15" x14ac:dyDescent="0.35">
      <c r="A332"/>
      <c r="D332"/>
      <c r="E332"/>
      <c r="BB332" s="125"/>
      <c r="BC332" s="125"/>
      <c r="BD332" s="125"/>
      <c r="BE332" s="125"/>
      <c r="BF332" s="125"/>
      <c r="BG332" s="125"/>
      <c r="BH332" s="125"/>
      <c r="BI332" s="125"/>
      <c r="BJ332" s="125"/>
      <c r="BK332" s="125"/>
      <c r="BL332" s="125"/>
      <c r="BM332" s="125"/>
      <c r="BN332" s="125"/>
      <c r="BO332"/>
      <c r="BP332" s="68"/>
      <c r="BQ332" s="68"/>
      <c r="BR332" s="68"/>
      <c r="BS332" s="68"/>
      <c r="BT332" s="68"/>
      <c r="BU332"/>
    </row>
    <row r="333" spans="1:73" ht="15" x14ac:dyDescent="0.35">
      <c r="A333"/>
      <c r="L333"/>
      <c r="M333"/>
      <c r="N333"/>
      <c r="O333"/>
      <c r="BB333" s="125"/>
      <c r="BC333" s="125"/>
      <c r="BD333" s="125"/>
      <c r="BE333" s="125"/>
      <c r="BF333" s="125"/>
      <c r="BG333" s="125"/>
      <c r="BH333" s="125"/>
      <c r="BI333" s="125"/>
      <c r="BJ333" s="125"/>
      <c r="BK333" s="125"/>
      <c r="BL333" s="125"/>
      <c r="BM333" s="125"/>
      <c r="BN333" s="125"/>
      <c r="BO333"/>
      <c r="BP333" s="68"/>
      <c r="BQ333" s="68"/>
      <c r="BR333" s="68"/>
      <c r="BS333" s="68"/>
      <c r="BT333" s="68"/>
      <c r="BU333"/>
    </row>
    <row r="334" spans="1:73" ht="15" x14ac:dyDescent="0.35">
      <c r="A334"/>
      <c r="D334"/>
      <c r="E334"/>
      <c r="L334"/>
      <c r="M334"/>
      <c r="N334"/>
      <c r="O334"/>
      <c r="BB334" s="125"/>
      <c r="BC334" s="125"/>
      <c r="BD334" s="125"/>
      <c r="BE334" s="125"/>
      <c r="BF334" s="125"/>
      <c r="BG334" s="125"/>
      <c r="BH334" s="125"/>
      <c r="BI334" s="125"/>
      <c r="BJ334" s="125"/>
      <c r="BK334" s="125"/>
      <c r="BL334" s="125"/>
      <c r="BM334" s="125"/>
      <c r="BN334" s="125"/>
      <c r="BO334"/>
      <c r="BP334" s="68"/>
      <c r="BQ334" s="68"/>
      <c r="BR334" s="68"/>
      <c r="BS334" s="68"/>
      <c r="BT334" s="68"/>
      <c r="BU334"/>
    </row>
    <row r="335" spans="1:73" ht="15" x14ac:dyDescent="0.35">
      <c r="L335"/>
      <c r="M335"/>
      <c r="N335"/>
      <c r="O335"/>
      <c r="R335"/>
    </row>
    <row r="336" spans="1:73" ht="14.4" x14ac:dyDescent="0.3">
      <c r="A336"/>
      <c r="L336"/>
      <c r="M336"/>
      <c r="N336"/>
      <c r="O336"/>
      <c r="R336"/>
      <c r="S336"/>
      <c r="V336"/>
      <c r="BB336" s="125"/>
      <c r="BC336" s="125"/>
      <c r="BD336" s="125"/>
      <c r="BE336" s="125"/>
      <c r="BF336" s="125"/>
      <c r="BG336" s="125"/>
      <c r="BH336" s="125"/>
      <c r="BI336" s="125"/>
      <c r="BJ336" s="125"/>
      <c r="BK336" s="125"/>
      <c r="BL336" s="125"/>
      <c r="BM336" s="125"/>
      <c r="BN336" s="125"/>
      <c r="BO336"/>
      <c r="BP336" s="68"/>
      <c r="BQ336" s="68"/>
      <c r="BR336" s="68"/>
      <c r="BS336" s="68"/>
      <c r="BT336" s="68"/>
      <c r="BU336"/>
    </row>
    <row r="337" spans="1:73" ht="14.4" x14ac:dyDescent="0.3">
      <c r="A337"/>
      <c r="L337"/>
      <c r="M337"/>
      <c r="N337"/>
      <c r="O337"/>
      <c r="R337"/>
      <c r="S337"/>
      <c r="V337"/>
      <c r="BB337" s="125"/>
      <c r="BC337" s="125"/>
      <c r="BD337" s="125"/>
      <c r="BE337" s="125"/>
      <c r="BF337" s="125"/>
      <c r="BG337" s="125"/>
      <c r="BH337" s="125"/>
      <c r="BI337" s="125"/>
      <c r="BJ337" s="125"/>
      <c r="BK337" s="125"/>
      <c r="BL337" s="125"/>
      <c r="BM337" s="125"/>
      <c r="BN337" s="125"/>
      <c r="BO337"/>
      <c r="BP337" s="68"/>
      <c r="BQ337" s="68"/>
      <c r="BR337" s="68"/>
      <c r="BS337" s="68"/>
      <c r="BT337" s="68"/>
      <c r="BU337"/>
    </row>
    <row r="338" spans="1:73" ht="14.4" x14ac:dyDescent="0.3">
      <c r="A338"/>
      <c r="L338"/>
      <c r="M338"/>
      <c r="N338"/>
      <c r="O338"/>
      <c r="R338"/>
      <c r="S338"/>
      <c r="V338"/>
      <c r="BB338" s="125"/>
      <c r="BC338" s="125"/>
      <c r="BD338" s="125"/>
      <c r="BE338" s="125"/>
      <c r="BF338" s="125"/>
      <c r="BG338" s="125"/>
      <c r="BH338" s="125"/>
      <c r="BI338" s="125"/>
      <c r="BJ338" s="125"/>
      <c r="BK338" s="125"/>
      <c r="BL338" s="125"/>
      <c r="BM338" s="125"/>
      <c r="BN338" s="125"/>
      <c r="BO338"/>
      <c r="BP338" s="68"/>
      <c r="BQ338" s="68"/>
      <c r="BR338" s="68"/>
      <c r="BS338" s="68"/>
      <c r="BT338" s="68"/>
      <c r="BU338"/>
    </row>
    <row r="339" spans="1:73" ht="409.6" customHeight="1" x14ac:dyDescent="0.3">
      <c r="L339"/>
      <c r="M339"/>
      <c r="N339"/>
      <c r="O339"/>
      <c r="R339"/>
      <c r="S339"/>
      <c r="V339"/>
    </row>
    <row r="340" spans="1:73" ht="14.4" x14ac:dyDescent="0.3">
      <c r="A340"/>
      <c r="R340"/>
      <c r="S340"/>
      <c r="V340"/>
      <c r="BB340" s="125"/>
      <c r="BC340" s="125"/>
      <c r="BD340" s="125"/>
      <c r="BE340" s="125"/>
      <c r="BF340" s="125"/>
      <c r="BG340" s="125"/>
      <c r="BH340" s="125"/>
      <c r="BI340" s="125"/>
      <c r="BJ340" s="125"/>
      <c r="BK340" s="125"/>
      <c r="BL340" s="125"/>
      <c r="BM340" s="125"/>
      <c r="BN340" s="125"/>
      <c r="BO340"/>
      <c r="BP340" s="68"/>
      <c r="BQ340" s="68"/>
      <c r="BR340" s="68"/>
      <c r="BS340" s="68"/>
      <c r="BT340" s="68"/>
      <c r="BU340"/>
    </row>
    <row r="341" spans="1:73" ht="409.6" customHeight="1" x14ac:dyDescent="0.3">
      <c r="A341"/>
      <c r="L341"/>
      <c r="M341"/>
      <c r="N341"/>
      <c r="O341"/>
      <c r="R341"/>
      <c r="S341"/>
      <c r="V341"/>
      <c r="BB341" s="125"/>
      <c r="BC341" s="125"/>
      <c r="BD341" s="125"/>
      <c r="BE341" s="125"/>
      <c r="BF341" s="125"/>
      <c r="BG341" s="125"/>
      <c r="BH341" s="125"/>
      <c r="BI341" s="125"/>
      <c r="BJ341" s="125"/>
      <c r="BK341" s="125"/>
      <c r="BL341" s="125"/>
      <c r="BM341" s="125"/>
      <c r="BN341" s="125"/>
      <c r="BO341"/>
      <c r="BP341" s="68"/>
      <c r="BQ341" s="68"/>
      <c r="BR341" s="68"/>
      <c r="BS341" s="68"/>
      <c r="BT341" s="68"/>
      <c r="BU341"/>
    </row>
    <row r="342" spans="1:73" ht="409.6" customHeight="1" x14ac:dyDescent="0.3">
      <c r="S342"/>
      <c r="V342"/>
    </row>
    <row r="343" spans="1:73" ht="409.6" customHeight="1" x14ac:dyDescent="0.35">
      <c r="R343"/>
    </row>
    <row r="344" spans="1:73" ht="14.4" x14ac:dyDescent="0.3">
      <c r="A344"/>
      <c r="S344"/>
      <c r="V344"/>
      <c r="BB344" s="125"/>
      <c r="BC344" s="125"/>
      <c r="BD344" s="125"/>
      <c r="BE344" s="125"/>
      <c r="BF344" s="125"/>
      <c r="BG344" s="125"/>
      <c r="BH344" s="125"/>
      <c r="BI344" s="125"/>
      <c r="BJ344" s="125"/>
      <c r="BK344" s="125"/>
      <c r="BL344" s="125"/>
      <c r="BM344" s="125"/>
      <c r="BN344" s="125"/>
      <c r="BO344"/>
      <c r="BP344" s="68"/>
      <c r="BQ344" s="68"/>
      <c r="BR344" s="68"/>
      <c r="BS344" s="68"/>
      <c r="BT344" s="68"/>
      <c r="BU344"/>
    </row>
    <row r="345" spans="1:73" ht="14.4" x14ac:dyDescent="0.3">
      <c r="A345"/>
      <c r="S345"/>
      <c r="V345"/>
      <c r="BB345" s="125"/>
      <c r="BC345" s="125"/>
      <c r="BD345" s="125"/>
      <c r="BE345" s="125"/>
      <c r="BF345" s="125"/>
      <c r="BG345" s="125"/>
      <c r="BH345" s="125"/>
      <c r="BI345" s="125"/>
      <c r="BJ345" s="125"/>
      <c r="BK345" s="125"/>
      <c r="BL345" s="125"/>
      <c r="BM345" s="125"/>
      <c r="BN345" s="125"/>
      <c r="BO345"/>
      <c r="BP345" s="68"/>
      <c r="BQ345" s="68"/>
      <c r="BR345" s="68"/>
      <c r="BS345" s="68"/>
      <c r="BT345" s="68"/>
      <c r="BU345"/>
    </row>
    <row r="346" spans="1:73" ht="14.4" x14ac:dyDescent="0.3">
      <c r="A346"/>
      <c r="R346"/>
      <c r="S346"/>
      <c r="V346"/>
      <c r="BB346" s="125"/>
      <c r="BC346" s="125"/>
      <c r="BD346" s="125"/>
      <c r="BE346" s="125"/>
      <c r="BF346" s="125"/>
      <c r="BG346" s="125"/>
      <c r="BH346" s="125"/>
      <c r="BI346" s="125"/>
      <c r="BJ346" s="125"/>
      <c r="BK346" s="125"/>
      <c r="BL346" s="125"/>
      <c r="BM346" s="125"/>
      <c r="BN346" s="125"/>
      <c r="BO346"/>
      <c r="BP346" s="68"/>
      <c r="BQ346" s="68"/>
      <c r="BR346" s="68"/>
      <c r="BS346" s="68"/>
      <c r="BT346" s="68"/>
      <c r="BU346"/>
    </row>
    <row r="347" spans="1:73" ht="409.6" customHeight="1" x14ac:dyDescent="0.35">
      <c r="R347"/>
    </row>
    <row r="348" spans="1:73" ht="409.6" customHeight="1" x14ac:dyDescent="0.3">
      <c r="S348"/>
      <c r="V348"/>
    </row>
    <row r="349" spans="1:73" ht="14.4" x14ac:dyDescent="0.3">
      <c r="A349"/>
      <c r="R349"/>
      <c r="S349"/>
      <c r="V349"/>
      <c r="BB349" s="125"/>
      <c r="BC349" s="125"/>
      <c r="BD349" s="125"/>
      <c r="BE349" s="125"/>
      <c r="BF349" s="125"/>
      <c r="BG349" s="125"/>
      <c r="BH349" s="125"/>
      <c r="BI349" s="125"/>
      <c r="BJ349" s="125"/>
      <c r="BK349" s="125"/>
      <c r="BL349" s="125"/>
      <c r="BM349" s="125"/>
      <c r="BN349" s="125"/>
      <c r="BO349"/>
      <c r="BP349" s="68"/>
      <c r="BQ349" s="68"/>
      <c r="BR349" s="68"/>
      <c r="BS349" s="68"/>
      <c r="BT349" s="68"/>
      <c r="BU349"/>
    </row>
    <row r="350" spans="1:73" ht="409.6" customHeight="1" x14ac:dyDescent="0.35">
      <c r="R350"/>
    </row>
    <row r="351" spans="1:73" ht="409.6" customHeight="1" x14ac:dyDescent="0.35">
      <c r="D351"/>
      <c r="E351"/>
    </row>
    <row r="352" spans="1:73" ht="14.4" x14ac:dyDescent="0.3">
      <c r="D352"/>
      <c r="E352"/>
      <c r="S352"/>
      <c r="V352"/>
    </row>
    <row r="353" spans="1:73" ht="15.75" customHeight="1" x14ac:dyDescent="0.3">
      <c r="R353"/>
      <c r="S353"/>
      <c r="V353"/>
    </row>
    <row r="354" spans="1:73" ht="14.4" x14ac:dyDescent="0.3">
      <c r="R354"/>
      <c r="S354"/>
      <c r="V354"/>
    </row>
    <row r="355" spans="1:73" ht="15" x14ac:dyDescent="0.35">
      <c r="D355"/>
      <c r="E355"/>
      <c r="R355"/>
    </row>
    <row r="356" spans="1:73" ht="15" x14ac:dyDescent="0.35">
      <c r="A356"/>
      <c r="D356"/>
      <c r="E356"/>
      <c r="L356"/>
      <c r="M356"/>
      <c r="N356"/>
      <c r="O356"/>
      <c r="BB356" s="125"/>
      <c r="BC356" s="125"/>
      <c r="BD356" s="125"/>
      <c r="BE356" s="125"/>
      <c r="BF356" s="125"/>
      <c r="BG356" s="125"/>
      <c r="BH356" s="125"/>
      <c r="BI356" s="125"/>
      <c r="BJ356" s="125"/>
      <c r="BK356" s="125"/>
      <c r="BL356" s="125"/>
      <c r="BM356" s="125"/>
      <c r="BN356" s="125"/>
      <c r="BO356"/>
      <c r="BP356" s="68"/>
      <c r="BQ356" s="68"/>
      <c r="BR356" s="68"/>
      <c r="BS356" s="68"/>
      <c r="BT356" s="68"/>
      <c r="BU356"/>
    </row>
    <row r="357" spans="1:73" ht="14.4" x14ac:dyDescent="0.3">
      <c r="A357"/>
      <c r="L357"/>
      <c r="M357"/>
      <c r="N357"/>
      <c r="O357"/>
      <c r="S357"/>
      <c r="V357"/>
      <c r="BB357" s="125"/>
      <c r="BC357" s="125"/>
      <c r="BD357" s="125"/>
      <c r="BE357" s="125"/>
      <c r="BF357" s="125"/>
      <c r="BG357" s="125"/>
      <c r="BH357" s="125"/>
      <c r="BI357" s="125"/>
      <c r="BJ357" s="125"/>
      <c r="BK357" s="125"/>
      <c r="BL357" s="125"/>
      <c r="BM357" s="125"/>
      <c r="BN357" s="125"/>
      <c r="BO357"/>
      <c r="BP357" s="68"/>
      <c r="BQ357" s="68"/>
      <c r="BR357" s="68"/>
      <c r="BS357" s="68"/>
      <c r="BT357" s="68"/>
      <c r="BU357"/>
    </row>
    <row r="358" spans="1:73" ht="409.6" customHeight="1" x14ac:dyDescent="0.35">
      <c r="R358"/>
    </row>
    <row r="359" spans="1:73" ht="409.6" customHeight="1" x14ac:dyDescent="0.3">
      <c r="D359"/>
      <c r="E359"/>
      <c r="L359"/>
      <c r="M359"/>
      <c r="N359"/>
      <c r="O359"/>
      <c r="S359"/>
      <c r="V359"/>
    </row>
    <row r="360" spans="1:73" ht="14.4" x14ac:dyDescent="0.3">
      <c r="A360"/>
      <c r="D360"/>
      <c r="E360"/>
      <c r="L360"/>
      <c r="M360"/>
      <c r="N360"/>
      <c r="O360"/>
      <c r="S360"/>
      <c r="V360"/>
      <c r="BB360" s="125"/>
      <c r="BC360" s="125"/>
      <c r="BD360" s="125"/>
      <c r="BE360" s="125"/>
      <c r="BF360" s="125"/>
      <c r="BG360" s="125"/>
      <c r="BH360" s="125"/>
      <c r="BI360" s="125"/>
      <c r="BJ360" s="125"/>
      <c r="BK360" s="125"/>
      <c r="BL360" s="125"/>
      <c r="BM360" s="125"/>
      <c r="BN360" s="125"/>
      <c r="BO360"/>
      <c r="BP360" s="68"/>
      <c r="BQ360" s="68"/>
      <c r="BR360" s="68"/>
      <c r="BS360" s="68"/>
      <c r="BT360" s="68"/>
      <c r="BU360"/>
    </row>
    <row r="361" spans="1:73" ht="15" x14ac:dyDescent="0.35">
      <c r="A361"/>
      <c r="D361"/>
      <c r="E361"/>
      <c r="BB361" s="125"/>
      <c r="BC361" s="125"/>
      <c r="BD361" s="125"/>
      <c r="BE361" s="125"/>
      <c r="BF361" s="125"/>
      <c r="BG361" s="125"/>
      <c r="BH361" s="125"/>
      <c r="BI361" s="125"/>
      <c r="BJ361" s="125"/>
      <c r="BK361" s="125"/>
      <c r="BL361" s="125"/>
      <c r="BM361" s="125"/>
      <c r="BN361" s="125"/>
      <c r="BO361"/>
      <c r="BP361" s="68"/>
      <c r="BQ361" s="68"/>
      <c r="BR361" s="68"/>
      <c r="BS361" s="68"/>
      <c r="BT361" s="68"/>
      <c r="BU361"/>
    </row>
    <row r="363" spans="1:73" ht="409.6" customHeight="1" x14ac:dyDescent="0.3">
      <c r="L363"/>
      <c r="M363"/>
      <c r="N363"/>
      <c r="O363"/>
      <c r="S363"/>
      <c r="V363"/>
    </row>
    <row r="364" spans="1:73" ht="14.4" x14ac:dyDescent="0.3">
      <c r="A364"/>
      <c r="L364"/>
      <c r="M364"/>
      <c r="N364"/>
      <c r="O364"/>
      <c r="S364"/>
      <c r="V364"/>
      <c r="BB364" s="125"/>
      <c r="BC364" s="125"/>
      <c r="BD364" s="125"/>
      <c r="BE364" s="125"/>
      <c r="BF364" s="125"/>
      <c r="BG364" s="125"/>
      <c r="BH364" s="125"/>
      <c r="BI364" s="125"/>
      <c r="BJ364" s="125"/>
      <c r="BK364" s="125"/>
      <c r="BL364" s="125"/>
      <c r="BM364" s="125"/>
      <c r="BN364" s="125"/>
      <c r="BO364"/>
      <c r="BP364" s="68"/>
      <c r="BQ364" s="68"/>
      <c r="BR364" s="68"/>
      <c r="BS364" s="68"/>
      <c r="BT364" s="68"/>
      <c r="BU364"/>
    </row>
    <row r="365" spans="1:73" ht="15" x14ac:dyDescent="0.35">
      <c r="A365"/>
      <c r="L365"/>
      <c r="M365"/>
      <c r="N365"/>
      <c r="O365"/>
      <c r="BB365" s="125"/>
      <c r="BC365" s="125"/>
      <c r="BD365" s="125"/>
      <c r="BE365" s="125"/>
      <c r="BF365" s="125"/>
      <c r="BG365" s="125"/>
      <c r="BH365" s="125"/>
      <c r="BI365" s="125"/>
      <c r="BJ365" s="125"/>
      <c r="BK365" s="125"/>
      <c r="BL365" s="125"/>
      <c r="BM365" s="125"/>
      <c r="BN365" s="125"/>
      <c r="BO365"/>
      <c r="BP365" s="68"/>
      <c r="BQ365" s="68"/>
      <c r="BR365" s="68"/>
      <c r="BS365" s="68"/>
      <c r="BT365" s="68"/>
      <c r="BU365"/>
    </row>
    <row r="366" spans="1:73" ht="15" x14ac:dyDescent="0.35">
      <c r="A366"/>
      <c r="D366"/>
      <c r="E366"/>
      <c r="R366"/>
      <c r="BB366" s="125"/>
      <c r="BC366" s="125"/>
      <c r="BD366" s="125"/>
      <c r="BE366" s="125"/>
      <c r="BF366" s="125"/>
      <c r="BG366" s="125"/>
      <c r="BH366" s="125"/>
      <c r="BI366" s="125"/>
      <c r="BJ366" s="125"/>
      <c r="BK366" s="125"/>
      <c r="BL366" s="125"/>
      <c r="BM366" s="125"/>
      <c r="BN366" s="125"/>
      <c r="BO366"/>
      <c r="BP366" s="68"/>
      <c r="BQ366" s="68"/>
      <c r="BR366" s="68"/>
      <c r="BS366" s="68"/>
      <c r="BT366" s="68"/>
      <c r="BU366"/>
    </row>
    <row r="367" spans="1:73" ht="409.6" customHeight="1" x14ac:dyDescent="0.3">
      <c r="D367"/>
      <c r="E367"/>
      <c r="R367"/>
      <c r="S367"/>
      <c r="V367"/>
    </row>
    <row r="368" spans="1:73" ht="409.6" customHeight="1" x14ac:dyDescent="0.3">
      <c r="D368"/>
      <c r="E368"/>
      <c r="L368"/>
      <c r="M368"/>
      <c r="N368"/>
      <c r="O368"/>
      <c r="S368"/>
      <c r="V368"/>
    </row>
    <row r="369" spans="1:73" ht="14.4" x14ac:dyDescent="0.3">
      <c r="D369"/>
      <c r="E369"/>
      <c r="S369"/>
      <c r="V369"/>
    </row>
    <row r="370" spans="1:73" ht="15" x14ac:dyDescent="0.35">
      <c r="D370"/>
      <c r="E370"/>
      <c r="L370"/>
      <c r="M370"/>
      <c r="N370"/>
      <c r="O370"/>
      <c r="R370"/>
    </row>
    <row r="371" spans="1:73" ht="15" x14ac:dyDescent="0.35">
      <c r="A371"/>
      <c r="D371"/>
      <c r="E371"/>
      <c r="L371"/>
      <c r="M371"/>
      <c r="N371"/>
      <c r="O371"/>
      <c r="R371"/>
      <c r="BB371" s="125"/>
      <c r="BC371" s="125"/>
      <c r="BD371" s="125"/>
      <c r="BE371" s="125"/>
      <c r="BF371" s="125"/>
      <c r="BG371" s="125"/>
      <c r="BH371" s="125"/>
      <c r="BI371" s="125"/>
      <c r="BJ371" s="125"/>
      <c r="BK371" s="125"/>
      <c r="BL371" s="125"/>
      <c r="BM371" s="125"/>
      <c r="BN371" s="125"/>
      <c r="BO371"/>
      <c r="BP371" s="68"/>
      <c r="BQ371" s="68"/>
      <c r="BR371" s="68"/>
      <c r="BS371" s="68"/>
      <c r="BT371" s="68"/>
      <c r="BU371"/>
    </row>
    <row r="372" spans="1:73" ht="15" x14ac:dyDescent="0.35">
      <c r="A372"/>
      <c r="D372"/>
      <c r="E372"/>
      <c r="BB372" s="125"/>
      <c r="BC372" s="125"/>
      <c r="BD372" s="125"/>
      <c r="BE372" s="125"/>
      <c r="BF372" s="125"/>
      <c r="BG372" s="125"/>
      <c r="BH372" s="125"/>
      <c r="BI372" s="125"/>
      <c r="BJ372" s="125"/>
      <c r="BK372" s="125"/>
      <c r="BL372" s="125"/>
      <c r="BM372" s="125"/>
      <c r="BN372" s="125"/>
      <c r="BO372"/>
      <c r="BP372" s="68"/>
      <c r="BQ372" s="68"/>
      <c r="BR372" s="68"/>
      <c r="BS372" s="68"/>
      <c r="BT372" s="68"/>
      <c r="BU372"/>
    </row>
    <row r="373" spans="1:73" ht="409.6" customHeight="1" x14ac:dyDescent="0.35">
      <c r="A373"/>
      <c r="D373"/>
      <c r="E373"/>
      <c r="BB373" s="125"/>
      <c r="BC373" s="125"/>
      <c r="BD373" s="125"/>
      <c r="BE373" s="125"/>
      <c r="BF373" s="125"/>
      <c r="BG373" s="125"/>
      <c r="BH373" s="125"/>
      <c r="BI373" s="125"/>
      <c r="BJ373" s="125"/>
      <c r="BK373" s="125"/>
      <c r="BL373" s="125"/>
      <c r="BM373" s="125"/>
      <c r="BN373" s="125"/>
      <c r="BO373"/>
      <c r="BP373" s="68"/>
      <c r="BQ373" s="68"/>
      <c r="BR373" s="68"/>
      <c r="BS373" s="68"/>
      <c r="BT373" s="68"/>
      <c r="BU373"/>
    </row>
    <row r="374" spans="1:73" ht="409.6" customHeight="1" x14ac:dyDescent="0.35">
      <c r="A374"/>
      <c r="D374"/>
      <c r="E374"/>
      <c r="L374"/>
      <c r="M374"/>
      <c r="N374"/>
      <c r="O374"/>
      <c r="R374"/>
      <c r="BB374" s="125"/>
      <c r="BC374" s="125"/>
      <c r="BD374" s="125"/>
      <c r="BE374" s="125"/>
      <c r="BF374" s="125"/>
      <c r="BG374" s="125"/>
      <c r="BH374" s="125"/>
      <c r="BI374" s="125"/>
      <c r="BJ374" s="125"/>
      <c r="BK374" s="125"/>
      <c r="BL374" s="125"/>
      <c r="BM374" s="125"/>
      <c r="BN374" s="125"/>
      <c r="BO374"/>
      <c r="BP374" s="68"/>
      <c r="BQ374" s="68"/>
      <c r="BR374" s="68"/>
      <c r="BS374" s="68"/>
      <c r="BT374" s="68"/>
      <c r="BU374"/>
    </row>
    <row r="375" spans="1:73" ht="409.6" customHeight="1" x14ac:dyDescent="0.35">
      <c r="A375"/>
      <c r="D375"/>
      <c r="E375"/>
      <c r="L375"/>
      <c r="M375"/>
      <c r="N375"/>
      <c r="O375"/>
      <c r="R375"/>
      <c r="BB375" s="125"/>
      <c r="BC375" s="125"/>
      <c r="BD375" s="125"/>
      <c r="BE375" s="125"/>
      <c r="BF375" s="125"/>
      <c r="BG375" s="125"/>
      <c r="BH375" s="125"/>
      <c r="BI375" s="125"/>
      <c r="BJ375" s="125"/>
      <c r="BK375" s="125"/>
      <c r="BL375" s="125"/>
      <c r="BM375" s="125"/>
      <c r="BN375" s="125"/>
      <c r="BO375"/>
      <c r="BP375" s="68"/>
      <c r="BQ375" s="68"/>
      <c r="BR375" s="68"/>
      <c r="BS375" s="68"/>
      <c r="BT375" s="68"/>
      <c r="BU375"/>
    </row>
    <row r="376" spans="1:73" ht="409.6" customHeight="1" x14ac:dyDescent="0.35">
      <c r="A376"/>
      <c r="R376"/>
      <c r="BB376" s="125"/>
      <c r="BC376" s="125"/>
      <c r="BD376" s="125"/>
      <c r="BE376" s="125"/>
      <c r="BF376" s="125"/>
      <c r="BG376" s="125"/>
      <c r="BH376" s="125"/>
      <c r="BI376" s="125"/>
      <c r="BJ376" s="125"/>
      <c r="BK376" s="125"/>
      <c r="BL376" s="125"/>
      <c r="BM376" s="125"/>
      <c r="BN376" s="125"/>
      <c r="BO376"/>
      <c r="BP376" s="68"/>
      <c r="BQ376" s="68"/>
      <c r="BR376" s="68"/>
      <c r="BS376" s="68"/>
      <c r="BT376" s="68"/>
      <c r="BU376"/>
    </row>
    <row r="377" spans="1:73" ht="409.6" customHeight="1" x14ac:dyDescent="0.35">
      <c r="A377"/>
      <c r="BB377" s="125"/>
      <c r="BC377" s="125"/>
      <c r="BD377" s="125"/>
      <c r="BE377" s="125"/>
      <c r="BF377" s="125"/>
      <c r="BG377" s="125"/>
      <c r="BH377" s="125"/>
      <c r="BI377" s="125"/>
      <c r="BJ377" s="125"/>
      <c r="BK377" s="125"/>
      <c r="BL377" s="125"/>
      <c r="BM377" s="125"/>
      <c r="BN377" s="125"/>
      <c r="BO377"/>
      <c r="BP377" s="68"/>
      <c r="BQ377" s="68"/>
      <c r="BR377" s="68"/>
      <c r="BS377" s="68"/>
      <c r="BT377" s="68"/>
      <c r="BU377"/>
    </row>
    <row r="378" spans="1:73" ht="409.6" customHeight="1" x14ac:dyDescent="0.35">
      <c r="A378"/>
      <c r="D378"/>
      <c r="E378"/>
      <c r="L378"/>
      <c r="M378"/>
      <c r="N378"/>
      <c r="O378"/>
      <c r="BB378" s="125"/>
      <c r="BC378" s="125"/>
      <c r="BD378" s="125"/>
      <c r="BE378" s="125"/>
      <c r="BF378" s="125"/>
      <c r="BG378" s="125"/>
      <c r="BH378" s="125"/>
      <c r="BI378" s="125"/>
      <c r="BJ378" s="125"/>
      <c r="BK378" s="125"/>
      <c r="BL378" s="125"/>
      <c r="BM378" s="125"/>
      <c r="BN378" s="125"/>
      <c r="BO378"/>
      <c r="BP378" s="68"/>
      <c r="BQ378" s="68"/>
      <c r="BR378" s="68"/>
      <c r="BS378" s="68"/>
      <c r="BT378" s="68"/>
      <c r="BU378"/>
    </row>
    <row r="379" spans="1:73" ht="409.6" customHeight="1" x14ac:dyDescent="0.35">
      <c r="A379"/>
      <c r="D379"/>
      <c r="E379"/>
      <c r="L379"/>
      <c r="M379"/>
      <c r="N379"/>
      <c r="O379"/>
      <c r="BB379" s="125"/>
      <c r="BC379" s="125"/>
      <c r="BD379" s="125"/>
      <c r="BE379" s="125"/>
      <c r="BF379" s="125"/>
      <c r="BG379" s="125"/>
      <c r="BH379" s="125"/>
      <c r="BI379" s="125"/>
      <c r="BJ379" s="125"/>
      <c r="BK379" s="125"/>
      <c r="BL379" s="125"/>
      <c r="BM379" s="125"/>
      <c r="BN379" s="125"/>
      <c r="BO379"/>
      <c r="BP379" s="68"/>
      <c r="BQ379" s="68"/>
      <c r="BR379" s="68"/>
      <c r="BS379" s="68"/>
      <c r="BT379" s="68"/>
      <c r="BU379"/>
    </row>
    <row r="380" spans="1:73" ht="409.6" customHeight="1" x14ac:dyDescent="0.35">
      <c r="A380"/>
      <c r="D380"/>
      <c r="E380"/>
      <c r="L380"/>
      <c r="M380"/>
      <c r="N380"/>
      <c r="O380"/>
      <c r="BB380" s="125"/>
      <c r="BC380" s="125"/>
      <c r="BD380" s="125"/>
      <c r="BE380" s="125"/>
      <c r="BF380" s="125"/>
      <c r="BG380" s="125"/>
      <c r="BH380" s="125"/>
      <c r="BI380" s="125"/>
      <c r="BJ380" s="125"/>
      <c r="BK380" s="125"/>
      <c r="BL380" s="125"/>
      <c r="BM380" s="125"/>
      <c r="BN380" s="125"/>
      <c r="BO380"/>
      <c r="BP380" s="68"/>
      <c r="BQ380" s="68"/>
      <c r="BR380" s="68"/>
      <c r="BS380" s="68"/>
      <c r="BT380" s="68"/>
      <c r="BU380"/>
    </row>
    <row r="383" spans="1:73" ht="409.6" customHeight="1" x14ac:dyDescent="0.35">
      <c r="A383"/>
      <c r="R383"/>
      <c r="BB383" s="125"/>
      <c r="BC383" s="125"/>
      <c r="BD383" s="125"/>
      <c r="BE383" s="125"/>
      <c r="BF383" s="125"/>
      <c r="BG383" s="125"/>
      <c r="BH383" s="125"/>
      <c r="BI383" s="125"/>
      <c r="BJ383" s="125"/>
      <c r="BK383" s="125"/>
      <c r="BL383" s="125"/>
      <c r="BM383" s="125"/>
      <c r="BN383" s="125"/>
      <c r="BO383"/>
      <c r="BP383" s="68"/>
      <c r="BQ383" s="68"/>
      <c r="BR383" s="68"/>
      <c r="BS383" s="68"/>
      <c r="BT383" s="68"/>
      <c r="BU383"/>
    </row>
    <row r="384" spans="1:73" ht="409.6" customHeight="1" x14ac:dyDescent="0.3">
      <c r="A384"/>
      <c r="D384"/>
      <c r="E384"/>
      <c r="L384"/>
      <c r="M384"/>
      <c r="N384"/>
      <c r="O384"/>
      <c r="R384"/>
      <c r="S384"/>
      <c r="V384"/>
      <c r="BB384" s="125"/>
      <c r="BC384" s="125"/>
      <c r="BD384" s="125"/>
      <c r="BE384" s="125"/>
      <c r="BF384" s="125"/>
      <c r="BG384" s="125"/>
      <c r="BH384" s="125"/>
      <c r="BI384" s="125"/>
      <c r="BJ384" s="125"/>
      <c r="BK384" s="125"/>
      <c r="BL384" s="125"/>
      <c r="BM384" s="125"/>
      <c r="BN384" s="125"/>
      <c r="BO384"/>
      <c r="BP384" s="68"/>
      <c r="BQ384" s="68"/>
      <c r="BR384" s="68"/>
      <c r="BS384" s="68"/>
      <c r="BT384" s="68"/>
      <c r="BU384"/>
    </row>
    <row r="385" spans="1:73" ht="409.6" customHeight="1" x14ac:dyDescent="0.3">
      <c r="A385"/>
      <c r="D385"/>
      <c r="E385"/>
      <c r="L385"/>
      <c r="M385"/>
      <c r="N385"/>
      <c r="O385"/>
      <c r="R385"/>
      <c r="S385"/>
      <c r="V385"/>
      <c r="BB385" s="125"/>
      <c r="BC385" s="125"/>
      <c r="BD385" s="125"/>
      <c r="BE385" s="125"/>
      <c r="BF385" s="125"/>
      <c r="BG385" s="125"/>
      <c r="BH385" s="125"/>
      <c r="BI385" s="125"/>
      <c r="BJ385" s="125"/>
      <c r="BK385" s="125"/>
      <c r="BL385" s="125"/>
      <c r="BM385" s="125"/>
      <c r="BN385" s="125"/>
      <c r="BO385"/>
      <c r="BP385" s="68"/>
      <c r="BQ385" s="68"/>
      <c r="BR385" s="68"/>
      <c r="BS385" s="68"/>
      <c r="BT385" s="68"/>
      <c r="BU385"/>
    </row>
    <row r="386" spans="1:73" ht="14.4" x14ac:dyDescent="0.3">
      <c r="A386"/>
      <c r="D386"/>
      <c r="E386"/>
      <c r="L386"/>
      <c r="M386"/>
      <c r="N386"/>
      <c r="O386"/>
      <c r="R386"/>
      <c r="S386"/>
      <c r="V386"/>
      <c r="BB386" s="125"/>
      <c r="BC386" s="125"/>
      <c r="BD386" s="125"/>
      <c r="BE386" s="125"/>
      <c r="BF386" s="125"/>
      <c r="BG386" s="125"/>
      <c r="BH386" s="125"/>
      <c r="BI386" s="125"/>
      <c r="BJ386" s="125"/>
      <c r="BK386" s="125"/>
      <c r="BL386" s="125"/>
      <c r="BM386" s="125"/>
      <c r="BN386" s="125"/>
      <c r="BO386"/>
      <c r="BP386" s="68"/>
      <c r="BQ386" s="68"/>
      <c r="BR386" s="68"/>
      <c r="BS386" s="68"/>
      <c r="BT386" s="68"/>
      <c r="BU386"/>
    </row>
    <row r="387" spans="1:73" ht="14.4" x14ac:dyDescent="0.3">
      <c r="A387"/>
      <c r="D387"/>
      <c r="E387"/>
      <c r="L387"/>
      <c r="M387"/>
      <c r="N387"/>
      <c r="O387"/>
      <c r="S387"/>
      <c r="V387"/>
      <c r="BB387" s="125"/>
      <c r="BC387" s="125"/>
      <c r="BD387" s="125"/>
      <c r="BE387" s="125"/>
      <c r="BF387" s="125"/>
      <c r="BG387" s="125"/>
      <c r="BH387" s="125"/>
      <c r="BI387" s="125"/>
      <c r="BJ387" s="125"/>
      <c r="BK387" s="125"/>
      <c r="BL387" s="125"/>
      <c r="BM387" s="125"/>
      <c r="BN387" s="125"/>
      <c r="BO387"/>
      <c r="BP387" s="68"/>
      <c r="BQ387" s="68"/>
      <c r="BR387" s="68"/>
      <c r="BS387" s="68"/>
      <c r="BT387" s="68"/>
      <c r="BU387"/>
    </row>
    <row r="388" spans="1:73" ht="14.4" x14ac:dyDescent="0.3">
      <c r="A388"/>
      <c r="D388"/>
      <c r="E388"/>
      <c r="L388"/>
      <c r="M388"/>
      <c r="N388"/>
      <c r="O388"/>
      <c r="S388"/>
      <c r="V388"/>
      <c r="BB388" s="125"/>
      <c r="BC388" s="125"/>
      <c r="BD388" s="125"/>
      <c r="BE388" s="125"/>
      <c r="BF388" s="125"/>
      <c r="BG388" s="125"/>
      <c r="BH388" s="125"/>
      <c r="BI388" s="125"/>
      <c r="BJ388" s="125"/>
      <c r="BK388" s="125"/>
      <c r="BL388" s="125"/>
      <c r="BM388" s="125"/>
      <c r="BN388" s="125"/>
      <c r="BO388"/>
      <c r="BP388" s="68"/>
      <c r="BQ388" s="68"/>
      <c r="BR388" s="68"/>
      <c r="BS388" s="68"/>
      <c r="BT388" s="68"/>
      <c r="BU388"/>
    </row>
    <row r="389" spans="1:73" ht="15" x14ac:dyDescent="0.35">
      <c r="A389"/>
      <c r="BB389" s="125"/>
      <c r="BC389" s="125"/>
      <c r="BD389" s="125"/>
      <c r="BE389" s="125"/>
      <c r="BF389" s="125"/>
      <c r="BG389" s="125"/>
      <c r="BH389" s="125"/>
      <c r="BI389" s="125"/>
      <c r="BJ389" s="125"/>
      <c r="BK389" s="125"/>
      <c r="BL389" s="125"/>
      <c r="BM389" s="125"/>
      <c r="BN389" s="125"/>
      <c r="BO389"/>
      <c r="BP389" s="68"/>
      <c r="BQ389" s="68"/>
      <c r="BR389" s="68"/>
      <c r="BS389" s="68"/>
      <c r="BT389" s="68"/>
      <c r="BU389"/>
    </row>
  </sheetData>
  <autoFilter ref="A3:GG260"/>
  <sortState ref="A58:HF67">
    <sortCondition ref="D58:D67"/>
  </sortState>
  <mergeCells count="47">
    <mergeCell ref="AU1:AY1"/>
    <mergeCell ref="W1:Z1"/>
    <mergeCell ref="AA1:AE1"/>
    <mergeCell ref="AF1:AJ1"/>
    <mergeCell ref="AK1:AO1"/>
    <mergeCell ref="AP1:AT1"/>
    <mergeCell ref="D244:E244"/>
    <mergeCell ref="H244:O244"/>
    <mergeCell ref="B2:Q2"/>
    <mergeCell ref="B29:Q29"/>
    <mergeCell ref="B54:Q54"/>
    <mergeCell ref="B79:Q79"/>
    <mergeCell ref="B114:Q114"/>
    <mergeCell ref="B135:Q135"/>
    <mergeCell ref="B156:Q156"/>
    <mergeCell ref="B175:Q175"/>
    <mergeCell ref="B207:Q207"/>
    <mergeCell ref="B243:F243"/>
    <mergeCell ref="H243:P243"/>
    <mergeCell ref="D252:E252"/>
    <mergeCell ref="D245:E245"/>
    <mergeCell ref="H245:O245"/>
    <mergeCell ref="D246:E246"/>
    <mergeCell ref="H246:O246"/>
    <mergeCell ref="D247:E247"/>
    <mergeCell ref="H247:O247"/>
    <mergeCell ref="D248:E248"/>
    <mergeCell ref="H248:O248"/>
    <mergeCell ref="D249:E249"/>
    <mergeCell ref="D250:E250"/>
    <mergeCell ref="D251:E251"/>
    <mergeCell ref="F253:G253"/>
    <mergeCell ref="K253:P253"/>
    <mergeCell ref="F254:G254"/>
    <mergeCell ref="L254:P254"/>
    <mergeCell ref="F255:G255"/>
    <mergeCell ref="L255:P255"/>
    <mergeCell ref="F259:G259"/>
    <mergeCell ref="L259:P259"/>
    <mergeCell ref="F260:G260"/>
    <mergeCell ref="L260:P260"/>
    <mergeCell ref="F256:G256"/>
    <mergeCell ref="K256:Q256"/>
    <mergeCell ref="F257:G257"/>
    <mergeCell ref="L257:P257"/>
    <mergeCell ref="F258:G258"/>
    <mergeCell ref="L258:P258"/>
  </mergeCells>
  <pageMargins left="0.23622047244094491" right="0.23622047244094491" top="0.74803149606299213" bottom="0.74803149606299213" header="0.31496062992125984" footer="0.31496062992125984"/>
  <pageSetup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X317"/>
  <sheetViews>
    <sheetView tabSelected="1" topLeftCell="B1" zoomScale="80" zoomScaleNormal="80" workbookViewId="0">
      <selection activeCell="V103" sqref="V103"/>
    </sheetView>
  </sheetViews>
  <sheetFormatPr baseColWidth="10" defaultRowHeight="14.4" x14ac:dyDescent="0.3"/>
  <cols>
    <col min="1" max="1" width="7.44140625" style="287" hidden="1" customWidth="1"/>
    <col min="2" max="2" width="9.33203125" customWidth="1"/>
    <col min="3" max="3" width="38.6640625" bestFit="1" customWidth="1"/>
    <col min="4" max="4" width="18.33203125" customWidth="1"/>
    <col min="5" max="5" width="14" customWidth="1"/>
    <col min="6" max="6" width="16.6640625" customWidth="1"/>
    <col min="7" max="7" width="7" customWidth="1"/>
    <col min="8" max="8" width="5" customWidth="1"/>
    <col min="9" max="9" width="6.44140625" customWidth="1"/>
    <col min="10" max="10" width="7.5546875" customWidth="1"/>
    <col min="11" max="11" width="5.33203125" customWidth="1"/>
    <col min="12" max="12" width="6" customWidth="1"/>
    <col min="13" max="13" width="4.88671875" customWidth="1"/>
    <col min="14" max="14" width="4.6640625" customWidth="1"/>
    <col min="15" max="15" width="5.44140625" customWidth="1"/>
    <col min="16" max="16" width="5" customWidth="1"/>
    <col min="17" max="17" width="5.44140625" customWidth="1"/>
    <col min="18" max="18" width="6.6640625" customWidth="1"/>
    <col min="19" max="19" width="7" customWidth="1"/>
    <col min="20" max="20" width="6.44140625" customWidth="1"/>
    <col min="21" max="21" width="5.33203125" customWidth="1"/>
    <col min="22" max="22" width="8" customWidth="1"/>
    <col min="23" max="23" width="9.6640625" customWidth="1"/>
    <col min="24" max="24" width="14.109375" customWidth="1"/>
    <col min="25" max="25" width="11.109375" style="579" customWidth="1"/>
  </cols>
  <sheetData>
    <row r="1" spans="1:50" ht="27" customHeight="1" x14ac:dyDescent="0.4">
      <c r="B1" s="856" t="s">
        <v>609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  <c r="O1" s="857"/>
      <c r="P1" s="857"/>
      <c r="Q1" s="858"/>
      <c r="Y1" s="579" t="s">
        <v>237</v>
      </c>
    </row>
    <row r="2" spans="1:50" ht="21.75" customHeight="1" x14ac:dyDescent="0.4">
      <c r="A2" s="393"/>
      <c r="B2" s="887" t="s">
        <v>183</v>
      </c>
      <c r="C2" s="888"/>
      <c r="D2" s="888"/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9"/>
    </row>
    <row r="3" spans="1:50" ht="22.2" customHeight="1" thickBot="1" x14ac:dyDescent="0.35">
      <c r="A3" s="393"/>
      <c r="B3" s="859" t="s">
        <v>184</v>
      </c>
      <c r="C3" s="860"/>
      <c r="D3" s="860"/>
      <c r="E3" s="860"/>
      <c r="F3" s="860"/>
      <c r="G3" s="860"/>
      <c r="H3" s="860"/>
      <c r="I3" s="860"/>
      <c r="J3" s="860"/>
      <c r="K3" s="860"/>
      <c r="L3" s="860"/>
      <c r="M3" s="860"/>
      <c r="N3" s="860"/>
      <c r="O3" s="860"/>
      <c r="P3" s="860"/>
      <c r="Q3" s="873"/>
    </row>
    <row r="4" spans="1:50" ht="15.6" customHeight="1" x14ac:dyDescent="0.3">
      <c r="A4" s="393"/>
      <c r="B4" s="890" t="s">
        <v>185</v>
      </c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2"/>
      <c r="R4" s="874" t="s">
        <v>202</v>
      </c>
      <c r="S4" s="868" t="s">
        <v>241</v>
      </c>
      <c r="T4" s="868" t="s">
        <v>204</v>
      </c>
      <c r="U4" s="868" t="s">
        <v>248</v>
      </c>
      <c r="V4" s="868" t="s">
        <v>243</v>
      </c>
      <c r="W4" s="868" t="s">
        <v>212</v>
      </c>
      <c r="X4" s="885" t="s">
        <v>205</v>
      </c>
    </row>
    <row r="5" spans="1:50" ht="17.399999999999999" customHeight="1" x14ac:dyDescent="0.3">
      <c r="A5" s="393"/>
      <c r="B5" s="499" t="s">
        <v>186</v>
      </c>
      <c r="C5" s="500" t="s">
        <v>135</v>
      </c>
      <c r="D5" s="500" t="s">
        <v>136</v>
      </c>
      <c r="E5" s="501" t="s">
        <v>8</v>
      </c>
      <c r="F5" s="501"/>
      <c r="G5" s="501" t="s">
        <v>9</v>
      </c>
      <c r="H5" s="501"/>
      <c r="I5" s="501" t="s">
        <v>9</v>
      </c>
      <c r="J5" s="501"/>
      <c r="K5" s="501" t="s">
        <v>10</v>
      </c>
      <c r="L5" s="501"/>
      <c r="M5" s="501" t="s">
        <v>11</v>
      </c>
      <c r="N5" s="501"/>
      <c r="O5" s="501" t="s">
        <v>12</v>
      </c>
      <c r="P5" s="501"/>
      <c r="Q5" s="505" t="s">
        <v>187</v>
      </c>
      <c r="R5" s="875"/>
      <c r="S5" s="869"/>
      <c r="T5" s="869"/>
      <c r="U5" s="869"/>
      <c r="V5" s="869"/>
      <c r="W5" s="869"/>
      <c r="X5" s="886"/>
    </row>
    <row r="6" spans="1:50" ht="17.399999999999999" customHeight="1" x14ac:dyDescent="0.3">
      <c r="A6" s="416"/>
      <c r="B6" s="508">
        <v>234</v>
      </c>
      <c r="C6" s="394" t="s">
        <v>290</v>
      </c>
      <c r="D6" s="355" t="s">
        <v>240</v>
      </c>
      <c r="E6" s="401">
        <v>1</v>
      </c>
      <c r="F6" s="668"/>
      <c r="G6" s="401">
        <v>1</v>
      </c>
      <c r="H6" s="668"/>
      <c r="I6" s="684">
        <v>1</v>
      </c>
      <c r="J6" s="684"/>
      <c r="K6" s="401">
        <v>1</v>
      </c>
      <c r="L6" s="401"/>
      <c r="M6" s="401">
        <v>1</v>
      </c>
      <c r="N6" s="401"/>
      <c r="O6" s="401"/>
      <c r="P6" s="401"/>
      <c r="Q6" s="731"/>
      <c r="R6" s="617">
        <v>1550</v>
      </c>
      <c r="S6" s="392">
        <v>300</v>
      </c>
      <c r="T6" s="392">
        <v>150</v>
      </c>
      <c r="U6" s="652"/>
      <c r="V6" s="652"/>
      <c r="W6" s="652"/>
      <c r="X6" s="515">
        <f t="shared" ref="X6:X16" si="0">+R6+S6+T6+U6+V6+W6</f>
        <v>2000</v>
      </c>
    </row>
    <row r="7" spans="1:50" x14ac:dyDescent="0.3">
      <c r="B7" s="508">
        <v>116</v>
      </c>
      <c r="C7" s="394" t="s">
        <v>110</v>
      </c>
      <c r="D7" s="558" t="s">
        <v>314</v>
      </c>
      <c r="E7" s="354">
        <v>1</v>
      </c>
      <c r="F7" s="668"/>
      <c r="G7" s="354">
        <v>1</v>
      </c>
      <c r="H7" s="420"/>
      <c r="I7" s="419">
        <v>1</v>
      </c>
      <c r="J7" s="554"/>
      <c r="K7" s="354">
        <v>1</v>
      </c>
      <c r="L7" s="420"/>
      <c r="M7" s="354">
        <v>1</v>
      </c>
      <c r="N7" s="420"/>
      <c r="O7" s="354"/>
      <c r="P7" s="420"/>
      <c r="Q7" s="683"/>
      <c r="R7" s="617">
        <v>1550</v>
      </c>
      <c r="S7" s="392">
        <v>300</v>
      </c>
      <c r="T7" s="392">
        <v>150</v>
      </c>
      <c r="U7" s="392"/>
      <c r="V7" s="392"/>
      <c r="W7" s="392"/>
      <c r="X7" s="515">
        <f t="shared" si="0"/>
        <v>2000</v>
      </c>
    </row>
    <row r="8" spans="1:50" x14ac:dyDescent="0.3">
      <c r="A8" s="651">
        <f>A4+1</f>
        <v>1</v>
      </c>
      <c r="B8" s="507">
        <v>2</v>
      </c>
      <c r="C8" s="394" t="s">
        <v>23</v>
      </c>
      <c r="D8" s="432" t="s">
        <v>190</v>
      </c>
      <c r="E8" s="354">
        <v>1</v>
      </c>
      <c r="F8" s="668"/>
      <c r="G8" s="419">
        <v>1</v>
      </c>
      <c r="H8" s="419"/>
      <c r="I8" s="419">
        <v>1</v>
      </c>
      <c r="J8" s="419"/>
      <c r="K8" s="354">
        <v>1</v>
      </c>
      <c r="L8" s="419"/>
      <c r="M8" s="354">
        <v>1</v>
      </c>
      <c r="N8" s="420"/>
      <c r="O8" s="354"/>
      <c r="P8" s="354"/>
      <c r="Q8" s="683"/>
      <c r="R8" s="489">
        <v>1550</v>
      </c>
      <c r="S8" s="587">
        <v>300</v>
      </c>
      <c r="T8" s="395">
        <v>150</v>
      </c>
      <c r="U8" s="395">
        <v>300</v>
      </c>
      <c r="V8" s="395"/>
      <c r="W8" s="395"/>
      <c r="X8" s="515">
        <f t="shared" si="0"/>
        <v>2300</v>
      </c>
    </row>
    <row r="9" spans="1:50" x14ac:dyDescent="0.3">
      <c r="A9" s="529">
        <f>A70+1</f>
        <v>1</v>
      </c>
      <c r="B9" s="507">
        <v>6</v>
      </c>
      <c r="C9" s="394" t="s">
        <v>24</v>
      </c>
      <c r="D9" s="472" t="s">
        <v>188</v>
      </c>
      <c r="E9" s="354">
        <v>1</v>
      </c>
      <c r="F9" s="668"/>
      <c r="G9" s="640">
        <v>1</v>
      </c>
      <c r="H9" s="420"/>
      <c r="I9" s="640">
        <v>1</v>
      </c>
      <c r="J9" s="640"/>
      <c r="K9" s="640">
        <v>1</v>
      </c>
      <c r="L9" s="420"/>
      <c r="M9" s="774">
        <v>1</v>
      </c>
      <c r="N9" s="775" t="s">
        <v>239</v>
      </c>
      <c r="O9" s="354"/>
      <c r="P9" s="354"/>
      <c r="Q9" s="683"/>
      <c r="R9" s="630">
        <v>3000</v>
      </c>
      <c r="S9" s="395"/>
      <c r="T9" s="395"/>
      <c r="U9" s="395"/>
      <c r="V9" s="395"/>
      <c r="W9" s="395"/>
      <c r="X9" s="515">
        <f t="shared" si="0"/>
        <v>3000</v>
      </c>
    </row>
    <row r="10" spans="1:50" x14ac:dyDescent="0.3">
      <c r="A10" s="416">
        <v>4</v>
      </c>
      <c r="B10" s="507">
        <v>9</v>
      </c>
      <c r="C10" s="418" t="s">
        <v>36</v>
      </c>
      <c r="D10" s="433" t="s">
        <v>189</v>
      </c>
      <c r="E10" s="776">
        <v>1</v>
      </c>
      <c r="F10" s="775" t="s">
        <v>239</v>
      </c>
      <c r="G10" s="354">
        <v>1</v>
      </c>
      <c r="H10" s="585"/>
      <c r="I10" s="414">
        <v>1</v>
      </c>
      <c r="J10" s="585"/>
      <c r="K10" s="354">
        <v>1</v>
      </c>
      <c r="L10" s="585"/>
      <c r="M10" s="354">
        <v>1</v>
      </c>
      <c r="N10" s="585"/>
      <c r="O10" s="354"/>
      <c r="P10" s="414"/>
      <c r="Q10" s="683"/>
      <c r="R10" s="627">
        <v>3000</v>
      </c>
      <c r="S10" s="392"/>
      <c r="T10" s="548"/>
      <c r="U10" s="395">
        <v>250</v>
      </c>
      <c r="V10" s="395"/>
      <c r="W10" s="392"/>
      <c r="X10" s="515">
        <f t="shared" si="0"/>
        <v>3250</v>
      </c>
      <c r="Y10" s="182"/>
      <c r="Z10" s="181"/>
      <c r="AA10" s="181"/>
      <c r="AB10" s="181"/>
      <c r="AC10" s="181"/>
      <c r="AD10" s="181"/>
      <c r="AE10" s="181"/>
      <c r="AF10" s="181"/>
      <c r="AG10" s="533"/>
      <c r="AH10" s="533"/>
      <c r="AI10" s="533"/>
      <c r="AJ10" s="533"/>
      <c r="AK10" s="533"/>
      <c r="AL10" s="533"/>
      <c r="AM10" s="533"/>
      <c r="AN10" s="533"/>
      <c r="AO10" s="533"/>
      <c r="AP10" s="533"/>
      <c r="AQ10" s="533"/>
      <c r="AR10" s="533"/>
      <c r="AS10" s="533"/>
      <c r="AT10" s="533"/>
      <c r="AU10" s="533"/>
      <c r="AV10" s="533"/>
      <c r="AW10" s="533"/>
      <c r="AX10" s="533"/>
    </row>
    <row r="11" spans="1:50" x14ac:dyDescent="0.3">
      <c r="A11" s="571" t="e">
        <f>#REF!+1</f>
        <v>#REF!</v>
      </c>
      <c r="B11" s="507">
        <v>95</v>
      </c>
      <c r="C11" s="394" t="s">
        <v>95</v>
      </c>
      <c r="D11" s="355" t="s">
        <v>191</v>
      </c>
      <c r="E11" s="354">
        <v>1</v>
      </c>
      <c r="F11" s="668"/>
      <c r="G11" s="354">
        <v>1</v>
      </c>
      <c r="H11" s="420"/>
      <c r="I11" s="354">
        <v>1</v>
      </c>
      <c r="J11" s="585"/>
      <c r="K11" s="354">
        <v>1</v>
      </c>
      <c r="L11" s="420"/>
      <c r="M11" s="354">
        <v>1</v>
      </c>
      <c r="N11" s="420"/>
      <c r="O11" s="354"/>
      <c r="P11" s="354"/>
      <c r="Q11" s="683"/>
      <c r="R11" s="490">
        <v>1550</v>
      </c>
      <c r="S11" s="587">
        <v>300</v>
      </c>
      <c r="T11" s="395">
        <v>150</v>
      </c>
      <c r="U11" s="395"/>
      <c r="V11" s="395"/>
      <c r="W11" s="395">
        <v>200</v>
      </c>
      <c r="X11" s="515">
        <f t="shared" si="0"/>
        <v>2200</v>
      </c>
    </row>
    <row r="12" spans="1:50" x14ac:dyDescent="0.3">
      <c r="A12" s="529" t="e">
        <f>A11+1</f>
        <v>#REF!</v>
      </c>
      <c r="B12" s="507">
        <v>59</v>
      </c>
      <c r="C12" s="394" t="s">
        <v>80</v>
      </c>
      <c r="D12" s="433" t="s">
        <v>189</v>
      </c>
      <c r="E12" s="354">
        <v>1</v>
      </c>
      <c r="F12" s="668"/>
      <c r="G12" s="419">
        <v>1</v>
      </c>
      <c r="H12" s="419"/>
      <c r="I12" s="354">
        <v>1</v>
      </c>
      <c r="J12" s="419"/>
      <c r="K12" s="419">
        <v>1</v>
      </c>
      <c r="L12" s="419"/>
      <c r="M12" s="354">
        <v>1</v>
      </c>
      <c r="N12" s="585"/>
      <c r="O12" s="354"/>
      <c r="P12" s="354"/>
      <c r="Q12" s="683"/>
      <c r="R12" s="491">
        <v>1550</v>
      </c>
      <c r="S12" s="587">
        <v>300</v>
      </c>
      <c r="T12" s="395">
        <v>150</v>
      </c>
      <c r="U12" s="395">
        <v>500</v>
      </c>
      <c r="V12" s="395"/>
      <c r="W12" s="395"/>
      <c r="X12" s="515">
        <f t="shared" si="0"/>
        <v>2500</v>
      </c>
    </row>
    <row r="13" spans="1:50" x14ac:dyDescent="0.3">
      <c r="A13" s="497"/>
      <c r="B13" s="508">
        <v>12</v>
      </c>
      <c r="C13" s="394" t="s">
        <v>37</v>
      </c>
      <c r="D13" s="432" t="s">
        <v>263</v>
      </c>
      <c r="E13" s="354">
        <v>1</v>
      </c>
      <c r="F13" s="668"/>
      <c r="G13" s="354">
        <v>1</v>
      </c>
      <c r="H13" s="414"/>
      <c r="I13" s="419">
        <v>1</v>
      </c>
      <c r="J13" s="554"/>
      <c r="K13" s="354">
        <v>1</v>
      </c>
      <c r="L13" s="354"/>
      <c r="M13" s="354">
        <v>1</v>
      </c>
      <c r="N13" s="420"/>
      <c r="O13" s="354"/>
      <c r="P13" s="354"/>
      <c r="Q13" s="683"/>
      <c r="R13" s="489">
        <v>1550</v>
      </c>
      <c r="S13" s="392">
        <v>300</v>
      </c>
      <c r="T13" s="392">
        <v>150</v>
      </c>
      <c r="U13" s="392">
        <v>200</v>
      </c>
      <c r="V13" s="392"/>
      <c r="W13" s="392"/>
      <c r="X13" s="515">
        <f t="shared" si="0"/>
        <v>2200</v>
      </c>
    </row>
    <row r="14" spans="1:50" x14ac:dyDescent="0.3">
      <c r="A14" s="497"/>
      <c r="B14" s="507">
        <v>247</v>
      </c>
      <c r="C14" s="394" t="s">
        <v>306</v>
      </c>
      <c r="D14" s="433" t="s">
        <v>307</v>
      </c>
      <c r="E14" s="354">
        <v>1</v>
      </c>
      <c r="F14" s="668"/>
      <c r="G14" s="354">
        <v>1</v>
      </c>
      <c r="H14" s="585"/>
      <c r="I14" s="419">
        <v>1</v>
      </c>
      <c r="J14" s="419"/>
      <c r="K14" s="354">
        <v>1</v>
      </c>
      <c r="L14" s="354"/>
      <c r="M14" s="354">
        <v>1</v>
      </c>
      <c r="N14" s="420"/>
      <c r="O14" s="354"/>
      <c r="P14" s="420"/>
      <c r="Q14" s="683"/>
      <c r="R14" s="491">
        <v>10000</v>
      </c>
      <c r="S14" s="392"/>
      <c r="T14" s="392"/>
      <c r="U14" s="392"/>
      <c r="V14" s="392"/>
      <c r="W14" s="392"/>
      <c r="X14" s="515">
        <f t="shared" si="0"/>
        <v>10000</v>
      </c>
      <c r="AA14" s="470"/>
    </row>
    <row r="15" spans="1:50" x14ac:dyDescent="0.3">
      <c r="A15" s="709"/>
      <c r="B15" s="507">
        <v>222</v>
      </c>
      <c r="C15" s="394" t="s">
        <v>274</v>
      </c>
      <c r="D15" s="355" t="s">
        <v>240</v>
      </c>
      <c r="E15" s="354">
        <v>1</v>
      </c>
      <c r="F15" s="668"/>
      <c r="G15" s="354">
        <v>1</v>
      </c>
      <c r="H15" s="354"/>
      <c r="I15" s="419">
        <v>1</v>
      </c>
      <c r="J15" s="419"/>
      <c r="K15" s="354">
        <v>1</v>
      </c>
      <c r="L15" s="354"/>
      <c r="M15" s="354">
        <v>1</v>
      </c>
      <c r="N15" s="420"/>
      <c r="O15" s="354"/>
      <c r="P15" s="420"/>
      <c r="Q15" s="683"/>
      <c r="R15" s="639">
        <v>1550</v>
      </c>
      <c r="S15" s="587">
        <v>300</v>
      </c>
      <c r="T15" s="392">
        <v>150</v>
      </c>
      <c r="U15" s="392"/>
      <c r="V15" s="392"/>
      <c r="W15" s="392"/>
      <c r="X15" s="515">
        <f t="shared" si="0"/>
        <v>2000</v>
      </c>
    </row>
    <row r="16" spans="1:50" x14ac:dyDescent="0.3">
      <c r="A16" s="497"/>
      <c r="B16" s="507">
        <v>212</v>
      </c>
      <c r="C16" s="394" t="s">
        <v>270</v>
      </c>
      <c r="D16" s="355" t="s">
        <v>265</v>
      </c>
      <c r="E16" s="354">
        <v>1</v>
      </c>
      <c r="F16" s="668"/>
      <c r="G16" s="419">
        <v>1</v>
      </c>
      <c r="H16" s="552"/>
      <c r="I16" s="340">
        <v>1</v>
      </c>
      <c r="J16" s="419"/>
      <c r="K16" s="354">
        <v>1</v>
      </c>
      <c r="L16" s="420"/>
      <c r="M16" s="354">
        <v>1</v>
      </c>
      <c r="N16" s="420"/>
      <c r="O16" s="354"/>
      <c r="P16" s="420"/>
      <c r="Q16" s="683"/>
      <c r="R16" s="478">
        <v>1550</v>
      </c>
      <c r="S16" s="395">
        <v>300</v>
      </c>
      <c r="T16" s="395">
        <v>150</v>
      </c>
      <c r="U16" s="395"/>
      <c r="V16" s="395"/>
      <c r="W16" s="395"/>
      <c r="X16" s="515">
        <f t="shared" si="0"/>
        <v>2000</v>
      </c>
      <c r="Z16" s="579"/>
    </row>
    <row r="17" spans="1:50" x14ac:dyDescent="0.3">
      <c r="A17" s="709"/>
      <c r="B17" s="507">
        <v>236</v>
      </c>
      <c r="C17" s="394" t="s">
        <v>453</v>
      </c>
      <c r="D17" s="355" t="s">
        <v>240</v>
      </c>
      <c r="E17" s="354">
        <v>1</v>
      </c>
      <c r="F17" s="668"/>
      <c r="G17" s="354">
        <v>1</v>
      </c>
      <c r="H17" s="354"/>
      <c r="I17" s="419">
        <v>1</v>
      </c>
      <c r="J17" s="554"/>
      <c r="K17" s="354">
        <v>1</v>
      </c>
      <c r="L17" s="354"/>
      <c r="M17" s="354">
        <v>1</v>
      </c>
      <c r="N17" s="585"/>
      <c r="O17" s="354"/>
      <c r="P17" s="420"/>
      <c r="Q17" s="683"/>
      <c r="R17" s="639">
        <v>1550</v>
      </c>
      <c r="S17" s="392">
        <v>300</v>
      </c>
      <c r="T17" s="392">
        <v>150</v>
      </c>
      <c r="U17" s="392"/>
      <c r="V17" s="392"/>
      <c r="W17" s="392"/>
      <c r="X17" s="515">
        <f t="shared" ref="X17:X26" si="1">+R17+S17+T17+U17+V17+W17</f>
        <v>2000</v>
      </c>
    </row>
    <row r="18" spans="1:50" x14ac:dyDescent="0.3">
      <c r="A18" s="709" t="e">
        <f>#REF!+1</f>
        <v>#REF!</v>
      </c>
      <c r="B18" s="507">
        <v>26</v>
      </c>
      <c r="C18" s="394" t="s">
        <v>25</v>
      </c>
      <c r="D18" s="433" t="s">
        <v>189</v>
      </c>
      <c r="E18" s="354">
        <v>1</v>
      </c>
      <c r="F18" s="668"/>
      <c r="G18" s="354">
        <v>1</v>
      </c>
      <c r="H18" s="354"/>
      <c r="I18" s="419">
        <v>1</v>
      </c>
      <c r="J18" s="554"/>
      <c r="K18" s="354">
        <v>1</v>
      </c>
      <c r="L18" s="354"/>
      <c r="M18" s="354">
        <v>1</v>
      </c>
      <c r="N18" s="585"/>
      <c r="O18" s="354"/>
      <c r="P18" s="420"/>
      <c r="Q18" s="683"/>
      <c r="R18" s="491">
        <v>2500</v>
      </c>
      <c r="S18" s="395"/>
      <c r="T18" s="395"/>
      <c r="U18" s="395">
        <v>200</v>
      </c>
      <c r="V18" s="395"/>
      <c r="W18" s="395"/>
      <c r="X18" s="515">
        <f t="shared" si="1"/>
        <v>2700</v>
      </c>
    </row>
    <row r="19" spans="1:50" x14ac:dyDescent="0.3">
      <c r="A19" s="497" t="e">
        <f>#REF!+1</f>
        <v>#REF!</v>
      </c>
      <c r="B19" s="507">
        <v>28</v>
      </c>
      <c r="C19" s="394" t="s">
        <v>40</v>
      </c>
      <c r="D19" s="433" t="s">
        <v>189</v>
      </c>
      <c r="E19" s="354">
        <v>1</v>
      </c>
      <c r="F19" s="668"/>
      <c r="G19" s="354">
        <v>1</v>
      </c>
      <c r="H19" s="354"/>
      <c r="I19" s="419">
        <v>1</v>
      </c>
      <c r="J19" s="554"/>
      <c r="K19" s="354">
        <v>1</v>
      </c>
      <c r="L19" s="354"/>
      <c r="M19" s="354">
        <v>1</v>
      </c>
      <c r="N19" s="585"/>
      <c r="O19" s="354"/>
      <c r="P19" s="420"/>
      <c r="Q19" s="683"/>
      <c r="R19" s="491">
        <v>5000</v>
      </c>
      <c r="S19" s="395"/>
      <c r="T19" s="395"/>
      <c r="U19" s="392"/>
      <c r="V19" s="395"/>
      <c r="W19" s="395"/>
      <c r="X19" s="515">
        <f t="shared" si="1"/>
        <v>5000</v>
      </c>
    </row>
    <row r="20" spans="1:50" x14ac:dyDescent="0.3">
      <c r="A20" s="618"/>
      <c r="B20" s="507">
        <v>205</v>
      </c>
      <c r="C20" s="394" t="s">
        <v>262</v>
      </c>
      <c r="D20" s="432" t="s">
        <v>263</v>
      </c>
      <c r="E20" s="592">
        <v>0</v>
      </c>
      <c r="F20" s="761" t="s">
        <v>129</v>
      </c>
      <c r="G20" s="354">
        <v>1</v>
      </c>
      <c r="H20" s="420"/>
      <c r="I20" s="354">
        <v>1</v>
      </c>
      <c r="J20" s="420"/>
      <c r="K20" s="354">
        <v>1</v>
      </c>
      <c r="L20" s="420"/>
      <c r="M20" s="354">
        <v>1</v>
      </c>
      <c r="N20" s="420"/>
      <c r="O20" s="354"/>
      <c r="P20" s="420"/>
      <c r="Q20" s="683"/>
      <c r="R20" s="708">
        <v>1240</v>
      </c>
      <c r="S20" s="587"/>
      <c r="T20" s="395"/>
      <c r="U20" s="395">
        <v>200</v>
      </c>
      <c r="V20" s="395"/>
      <c r="W20" s="395"/>
      <c r="X20" s="515">
        <f t="shared" si="1"/>
        <v>1440</v>
      </c>
      <c r="Y20" s="579">
        <v>-310</v>
      </c>
      <c r="Z20" s="579"/>
    </row>
    <row r="21" spans="1:50" x14ac:dyDescent="0.3">
      <c r="A21" s="641" t="e">
        <f>#REF!+1</f>
        <v>#REF!</v>
      </c>
      <c r="B21" s="507">
        <v>169</v>
      </c>
      <c r="C21" s="394" t="s">
        <v>148</v>
      </c>
      <c r="D21" s="355" t="s">
        <v>265</v>
      </c>
      <c r="E21" s="354">
        <v>1</v>
      </c>
      <c r="F21" s="668"/>
      <c r="G21" s="354">
        <v>1</v>
      </c>
      <c r="H21" s="420"/>
      <c r="I21" s="354">
        <v>1</v>
      </c>
      <c r="J21" s="420"/>
      <c r="K21" s="354">
        <v>1</v>
      </c>
      <c r="L21" s="628"/>
      <c r="M21" s="354">
        <v>1</v>
      </c>
      <c r="N21" s="420"/>
      <c r="O21" s="354"/>
      <c r="P21" s="420"/>
      <c r="Q21" s="683"/>
      <c r="R21" s="490">
        <v>1550</v>
      </c>
      <c r="S21" s="587">
        <v>300</v>
      </c>
      <c r="T21" s="395">
        <v>150</v>
      </c>
      <c r="U21" s="395"/>
      <c r="V21" s="395"/>
      <c r="W21" s="395"/>
      <c r="X21" s="515">
        <f t="shared" si="1"/>
        <v>2000</v>
      </c>
    </row>
    <row r="22" spans="1:50" s="504" customFormat="1" x14ac:dyDescent="0.3">
      <c r="A22" s="497"/>
      <c r="B22" s="507">
        <v>237</v>
      </c>
      <c r="C22" s="394" t="s">
        <v>293</v>
      </c>
      <c r="D22" s="397" t="s">
        <v>314</v>
      </c>
      <c r="E22" s="414">
        <v>1</v>
      </c>
      <c r="F22" s="420"/>
      <c r="G22" s="354">
        <v>1</v>
      </c>
      <c r="H22" s="420"/>
      <c r="I22" s="414">
        <v>1</v>
      </c>
      <c r="J22" s="585"/>
      <c r="K22" s="419">
        <v>1</v>
      </c>
      <c r="L22" s="552"/>
      <c r="M22" s="354">
        <v>1</v>
      </c>
      <c r="N22" s="668"/>
      <c r="O22" s="354"/>
      <c r="P22" s="414"/>
      <c r="Q22" s="683"/>
      <c r="R22" s="677">
        <v>1550</v>
      </c>
      <c r="S22" s="586">
        <v>300</v>
      </c>
      <c r="T22" s="395">
        <v>150</v>
      </c>
      <c r="U22" s="395"/>
      <c r="V22" s="395"/>
      <c r="W22" s="392"/>
      <c r="X22" s="515">
        <f t="shared" si="1"/>
        <v>2000</v>
      </c>
      <c r="Y22" s="579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3">
      <c r="A23" s="709" t="e">
        <f>#REF!+1</f>
        <v>#REF!</v>
      </c>
      <c r="B23" s="507">
        <v>146</v>
      </c>
      <c r="C23" s="394" t="s">
        <v>124</v>
      </c>
      <c r="D23" s="355" t="s">
        <v>191</v>
      </c>
      <c r="E23" s="354">
        <v>1</v>
      </c>
      <c r="F23" s="668"/>
      <c r="G23" s="354">
        <v>1</v>
      </c>
      <c r="H23" s="354"/>
      <c r="I23" s="419">
        <v>1</v>
      </c>
      <c r="J23" s="554"/>
      <c r="K23" s="354">
        <v>1</v>
      </c>
      <c r="L23" s="354"/>
      <c r="M23" s="354">
        <v>1</v>
      </c>
      <c r="N23" s="585"/>
      <c r="O23" s="354"/>
      <c r="P23" s="420"/>
      <c r="Q23" s="683"/>
      <c r="R23" s="490">
        <v>1550</v>
      </c>
      <c r="S23" s="587">
        <v>300</v>
      </c>
      <c r="T23" s="395">
        <v>150</v>
      </c>
      <c r="U23" s="395"/>
      <c r="V23" s="395"/>
      <c r="W23" s="395"/>
      <c r="X23" s="515">
        <f t="shared" si="1"/>
        <v>2000</v>
      </c>
    </row>
    <row r="24" spans="1:50" x14ac:dyDescent="0.3">
      <c r="A24" s="634"/>
      <c r="B24" s="507">
        <v>217</v>
      </c>
      <c r="C24" s="394" t="s">
        <v>276</v>
      </c>
      <c r="D24" s="355" t="s">
        <v>249</v>
      </c>
      <c r="E24" s="354">
        <v>1</v>
      </c>
      <c r="F24" s="668"/>
      <c r="G24" s="354">
        <v>1</v>
      </c>
      <c r="H24" s="354"/>
      <c r="I24" s="777">
        <v>0</v>
      </c>
      <c r="J24" s="778" t="s">
        <v>132</v>
      </c>
      <c r="K24" s="777">
        <v>0</v>
      </c>
      <c r="L24" s="779" t="s">
        <v>132</v>
      </c>
      <c r="M24" s="777">
        <v>0</v>
      </c>
      <c r="N24" s="779" t="s">
        <v>132</v>
      </c>
      <c r="O24" s="354"/>
      <c r="P24" s="420"/>
      <c r="Q24" s="683"/>
      <c r="R24" s="490">
        <v>620</v>
      </c>
      <c r="S24" s="587"/>
      <c r="T24" s="395"/>
      <c r="U24" s="395"/>
      <c r="V24" s="395"/>
      <c r="W24" s="395"/>
      <c r="X24" s="515">
        <f t="shared" si="1"/>
        <v>620</v>
      </c>
      <c r="Y24" s="579">
        <v>-930</v>
      </c>
    </row>
    <row r="25" spans="1:50" s="427" customFormat="1" x14ac:dyDescent="0.3">
      <c r="A25" s="529" t="e">
        <f>A23+1</f>
        <v>#REF!</v>
      </c>
      <c r="B25" s="507">
        <v>51</v>
      </c>
      <c r="C25" s="418" t="s">
        <v>115</v>
      </c>
      <c r="D25" s="433" t="s">
        <v>189</v>
      </c>
      <c r="E25" s="354">
        <v>1</v>
      </c>
      <c r="F25" s="420"/>
      <c r="G25" s="776">
        <v>1</v>
      </c>
      <c r="H25" s="775" t="s">
        <v>239</v>
      </c>
      <c r="I25" s="419">
        <v>1</v>
      </c>
      <c r="J25" s="554"/>
      <c r="K25" s="354">
        <v>1</v>
      </c>
      <c r="L25" s="354"/>
      <c r="M25" s="354">
        <v>1</v>
      </c>
      <c r="N25" s="585"/>
      <c r="O25" s="354"/>
      <c r="P25" s="354"/>
      <c r="Q25" s="683"/>
      <c r="R25" s="491">
        <v>5000</v>
      </c>
      <c r="S25" s="118"/>
      <c r="T25" s="395"/>
      <c r="U25" s="392">
        <v>1000</v>
      </c>
      <c r="V25" s="118"/>
      <c r="W25" s="395"/>
      <c r="X25" s="515">
        <f t="shared" si="1"/>
        <v>6000</v>
      </c>
      <c r="Y25" s="579"/>
    </row>
    <row r="26" spans="1:50" x14ac:dyDescent="0.3">
      <c r="A26" s="618"/>
      <c r="B26" s="507">
        <v>220</v>
      </c>
      <c r="C26" s="418" t="s">
        <v>275</v>
      </c>
      <c r="D26" s="355" t="s">
        <v>314</v>
      </c>
      <c r="E26" s="640">
        <v>1</v>
      </c>
      <c r="F26" s="420"/>
      <c r="G26" s="640">
        <v>1</v>
      </c>
      <c r="H26" s="420"/>
      <c r="I26" s="795">
        <v>1</v>
      </c>
      <c r="J26" s="795"/>
      <c r="K26" s="640">
        <v>1</v>
      </c>
      <c r="L26" s="796"/>
      <c r="M26" s="640">
        <v>1</v>
      </c>
      <c r="N26" s="640"/>
      <c r="O26" s="640"/>
      <c r="P26" s="640"/>
      <c r="Q26" s="797"/>
      <c r="R26" s="799">
        <v>1550</v>
      </c>
      <c r="S26" s="798">
        <v>250</v>
      </c>
      <c r="T26" s="798">
        <v>150</v>
      </c>
      <c r="U26" s="798"/>
      <c r="V26" s="798"/>
      <c r="W26" s="798"/>
      <c r="X26" s="550">
        <f t="shared" si="1"/>
        <v>1950</v>
      </c>
    </row>
    <row r="27" spans="1:50" ht="15" thickBot="1" x14ac:dyDescent="0.35">
      <c r="A27" s="497"/>
      <c r="B27" s="780">
        <v>249</v>
      </c>
      <c r="C27" s="781" t="s">
        <v>305</v>
      </c>
      <c r="D27" s="782" t="s">
        <v>240</v>
      </c>
      <c r="E27" s="783">
        <v>0</v>
      </c>
      <c r="F27" s="784" t="s">
        <v>167</v>
      </c>
      <c r="G27" s="783">
        <v>0</v>
      </c>
      <c r="H27" s="785" t="s">
        <v>167</v>
      </c>
      <c r="I27" s="783">
        <v>0</v>
      </c>
      <c r="J27" s="793" t="s">
        <v>167</v>
      </c>
      <c r="K27" s="783">
        <v>0</v>
      </c>
      <c r="L27" s="793" t="s">
        <v>167</v>
      </c>
      <c r="M27" s="783">
        <v>0</v>
      </c>
      <c r="N27" s="793" t="s">
        <v>167</v>
      </c>
      <c r="O27" s="783"/>
      <c r="P27" s="793"/>
      <c r="Q27" s="786"/>
      <c r="R27" s="794"/>
      <c r="S27" s="787"/>
      <c r="T27" s="787"/>
      <c r="U27" s="787"/>
      <c r="V27" s="787"/>
      <c r="W27" s="787"/>
      <c r="X27" s="788">
        <v>0</v>
      </c>
    </row>
    <row r="28" spans="1:50" s="427" customFormat="1" x14ac:dyDescent="0.3">
      <c r="A28" s="421"/>
      <c r="B28" s="422"/>
      <c r="C28" s="423"/>
      <c r="D28" s="424"/>
      <c r="E28" s="425">
        <f>SUM(E6:E27)</f>
        <v>20</v>
      </c>
      <c r="F28" s="425"/>
      <c r="G28" s="425">
        <f>SUM(G6:G27)</f>
        <v>21</v>
      </c>
      <c r="H28" s="425"/>
      <c r="I28" s="425">
        <f t="shared" ref="I28:O28" si="2">SUM(I6:I27)</f>
        <v>20</v>
      </c>
      <c r="J28" s="425"/>
      <c r="K28" s="425">
        <f t="shared" si="2"/>
        <v>20</v>
      </c>
      <c r="L28" s="425"/>
      <c r="M28" s="425">
        <f t="shared" si="2"/>
        <v>20</v>
      </c>
      <c r="N28" s="425"/>
      <c r="O28" s="425">
        <f t="shared" si="2"/>
        <v>0</v>
      </c>
      <c r="P28" s="425"/>
      <c r="Q28" s="425"/>
      <c r="R28" s="425">
        <f>SUM(R6:R27)</f>
        <v>50510</v>
      </c>
      <c r="S28" s="425">
        <f t="shared" ref="S28:W28" si="3">SUM(S6:S27)</f>
        <v>3850</v>
      </c>
      <c r="T28" s="425">
        <f t="shared" si="3"/>
        <v>1950</v>
      </c>
      <c r="U28" s="425">
        <f t="shared" si="3"/>
        <v>2650</v>
      </c>
      <c r="V28" s="425">
        <f t="shared" si="3"/>
        <v>0</v>
      </c>
      <c r="W28" s="425">
        <f t="shared" si="3"/>
        <v>200</v>
      </c>
      <c r="X28" s="532">
        <f>SUM(X6:X27)-Y24-Y20</f>
        <v>60400</v>
      </c>
      <c r="Y28" s="580"/>
    </row>
    <row r="29" spans="1:50" s="427" customFormat="1" ht="14.25" customHeight="1" thickBot="1" x14ac:dyDescent="0.35">
      <c r="A29" s="421"/>
      <c r="B29" s="422"/>
      <c r="C29" s="423"/>
      <c r="D29" s="424"/>
      <c r="E29" s="425"/>
      <c r="F29" s="425"/>
      <c r="G29" s="425"/>
      <c r="H29" s="425"/>
      <c r="I29" s="425"/>
      <c r="J29" s="425"/>
      <c r="K29" s="425"/>
      <c r="L29" s="425"/>
      <c r="M29" s="425"/>
      <c r="N29" s="425"/>
      <c r="O29" s="425"/>
      <c r="P29" s="425"/>
      <c r="Q29" s="425"/>
      <c r="R29" s="421"/>
      <c r="S29" s="421"/>
      <c r="T29" s="421"/>
      <c r="U29" s="421"/>
      <c r="V29" s="421"/>
      <c r="W29" s="421"/>
      <c r="X29" s="496">
        <f>F43-X28</f>
        <v>0</v>
      </c>
      <c r="Y29" s="580"/>
    </row>
    <row r="30" spans="1:50" s="427" customFormat="1" ht="14.25" customHeight="1" thickBot="1" x14ac:dyDescent="0.5">
      <c r="A30" s="443"/>
      <c r="B30" s="444"/>
      <c r="C30" s="444"/>
      <c r="D30" s="445" t="s">
        <v>14</v>
      </c>
      <c r="E30" s="445" t="s">
        <v>208</v>
      </c>
      <c r="F30" s="445" t="s">
        <v>17</v>
      </c>
      <c r="G30" s="446"/>
      <c r="H30"/>
      <c r="I30" s="8"/>
      <c r="J30" s="91"/>
      <c r="K30" s="42" t="s">
        <v>8</v>
      </c>
      <c r="L30" s="42"/>
      <c r="M30" s="42" t="s">
        <v>9</v>
      </c>
      <c r="N30" s="42"/>
      <c r="O30" s="42" t="s">
        <v>9</v>
      </c>
      <c r="P30" s="42"/>
      <c r="Q30" s="42" t="s">
        <v>10</v>
      </c>
      <c r="R30" s="42"/>
      <c r="S30" s="42" t="s">
        <v>11</v>
      </c>
      <c r="T30" s="42"/>
      <c r="U30" s="42" t="s">
        <v>12</v>
      </c>
      <c r="V30" s="42"/>
      <c r="Y30" s="580"/>
    </row>
    <row r="31" spans="1:50" s="427" customFormat="1" ht="14.25" customHeight="1" x14ac:dyDescent="0.4">
      <c r="A31" s="448"/>
      <c r="B31" s="159">
        <v>1</v>
      </c>
      <c r="C31" s="449" t="s">
        <v>29</v>
      </c>
      <c r="D31" s="150">
        <f>3000*B31</f>
        <v>3000</v>
      </c>
      <c r="E31" s="150">
        <v>0</v>
      </c>
      <c r="F31" s="513">
        <f>D31</f>
        <v>3000</v>
      </c>
      <c r="G31" s="450"/>
      <c r="H31"/>
      <c r="I31" s="516"/>
      <c r="J31" s="96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98" t="s">
        <v>28</v>
      </c>
      <c r="Y31" s="580"/>
    </row>
    <row r="32" spans="1:50" s="427" customFormat="1" ht="18" customHeight="1" x14ac:dyDescent="0.4">
      <c r="A32" s="448"/>
      <c r="B32" s="159">
        <v>3</v>
      </c>
      <c r="C32" s="449" t="s">
        <v>22</v>
      </c>
      <c r="D32" s="150">
        <f>1550*B32</f>
        <v>4650</v>
      </c>
      <c r="E32" s="150">
        <v>0</v>
      </c>
      <c r="F32" s="513">
        <f>D32</f>
        <v>4650</v>
      </c>
      <c r="G32" s="450"/>
      <c r="H32"/>
      <c r="I32" s="569" t="s">
        <v>29</v>
      </c>
      <c r="J32" s="103"/>
      <c r="K32" s="518">
        <v>1</v>
      </c>
      <c r="L32" s="519"/>
      <c r="M32" s="518">
        <v>1</v>
      </c>
      <c r="N32" s="519"/>
      <c r="O32" s="518">
        <v>1</v>
      </c>
      <c r="P32" s="519"/>
      <c r="Q32" s="518">
        <v>1</v>
      </c>
      <c r="R32" s="519"/>
      <c r="S32" s="518">
        <v>1</v>
      </c>
      <c r="T32" s="519"/>
      <c r="U32" s="518">
        <v>0</v>
      </c>
      <c r="V32" s="106">
        <f>AVERAGE(K32,M32,O32,Q32,S32)</f>
        <v>1</v>
      </c>
      <c r="Y32" s="580"/>
    </row>
    <row r="33" spans="1:25" s="427" customFormat="1" ht="15" customHeight="1" x14ac:dyDescent="0.4">
      <c r="A33" s="448"/>
      <c r="B33" s="159">
        <v>6</v>
      </c>
      <c r="C33" s="449" t="s">
        <v>30</v>
      </c>
      <c r="D33" s="475">
        <f>3000+1550+10000+2500+5000+5000</f>
        <v>27050</v>
      </c>
      <c r="E33" s="150">
        <v>0</v>
      </c>
      <c r="F33" s="513">
        <f>D33</f>
        <v>27050</v>
      </c>
      <c r="G33" s="450"/>
      <c r="H33"/>
      <c r="I33" s="569" t="s">
        <v>22</v>
      </c>
      <c r="J33" s="103"/>
      <c r="K33" s="518">
        <v>2</v>
      </c>
      <c r="L33" s="519"/>
      <c r="M33" s="518">
        <v>3</v>
      </c>
      <c r="N33" s="519"/>
      <c r="O33" s="518">
        <v>3</v>
      </c>
      <c r="P33" s="519"/>
      <c r="Q33" s="518">
        <v>3</v>
      </c>
      <c r="R33" s="519"/>
      <c r="S33" s="518">
        <v>3</v>
      </c>
      <c r="T33" s="519"/>
      <c r="U33" s="518">
        <v>0</v>
      </c>
      <c r="V33" s="106">
        <f t="shared" ref="V33:V36" si="4">AVERAGE(K33,M33,O33,Q33,S33)</f>
        <v>2.8</v>
      </c>
      <c r="Y33" s="580"/>
    </row>
    <row r="34" spans="1:25" s="427" customFormat="1" ht="18.75" customHeight="1" x14ac:dyDescent="0.4">
      <c r="A34" s="448"/>
      <c r="B34" s="68">
        <v>11</v>
      </c>
      <c r="C34" s="449" t="s">
        <v>32</v>
      </c>
      <c r="D34" s="475">
        <f>1550*B34</f>
        <v>17050</v>
      </c>
      <c r="E34" s="150">
        <v>0</v>
      </c>
      <c r="F34" s="513">
        <f>D34</f>
        <v>17050</v>
      </c>
      <c r="G34" s="453"/>
      <c r="H34"/>
      <c r="I34" s="569" t="s">
        <v>30</v>
      </c>
      <c r="J34" s="103"/>
      <c r="K34" s="518">
        <v>6</v>
      </c>
      <c r="L34" s="519"/>
      <c r="M34" s="518">
        <v>6</v>
      </c>
      <c r="N34" s="519"/>
      <c r="O34" s="518">
        <v>6</v>
      </c>
      <c r="P34" s="519"/>
      <c r="Q34" s="518">
        <v>6</v>
      </c>
      <c r="R34" s="519"/>
      <c r="S34" s="518">
        <v>6</v>
      </c>
      <c r="T34" s="519"/>
      <c r="U34" s="518">
        <v>0</v>
      </c>
      <c r="V34" s="106">
        <f t="shared" si="4"/>
        <v>6</v>
      </c>
      <c r="Y34" s="580"/>
    </row>
    <row r="35" spans="1:25" s="427" customFormat="1" ht="18.75" customHeight="1" x14ac:dyDescent="0.4">
      <c r="A35" s="448"/>
      <c r="B35" s="68"/>
      <c r="C35" s="449"/>
      <c r="D35" s="150"/>
      <c r="E35" s="150"/>
      <c r="F35" s="513"/>
      <c r="G35" s="453"/>
      <c r="H35"/>
      <c r="I35" s="569" t="s">
        <v>32</v>
      </c>
      <c r="J35" s="103"/>
      <c r="K35" s="518">
        <v>11</v>
      </c>
      <c r="L35" s="519"/>
      <c r="M35" s="518">
        <v>11</v>
      </c>
      <c r="N35" s="519"/>
      <c r="O35" s="518">
        <v>10</v>
      </c>
      <c r="P35" s="519"/>
      <c r="Q35" s="518">
        <v>10</v>
      </c>
      <c r="R35" s="519"/>
      <c r="S35" s="518">
        <v>10</v>
      </c>
      <c r="T35" s="519"/>
      <c r="U35" s="518">
        <v>0</v>
      </c>
      <c r="V35" s="106">
        <f t="shared" si="4"/>
        <v>10.4</v>
      </c>
      <c r="Y35" s="580"/>
    </row>
    <row r="36" spans="1:25" s="427" customFormat="1" ht="16.5" customHeight="1" thickBot="1" x14ac:dyDescent="0.5">
      <c r="A36" s="454"/>
      <c r="B36" s="455">
        <f>SUM(B31:B35)</f>
        <v>21</v>
      </c>
      <c r="C36" s="150"/>
      <c r="D36" s="456"/>
      <c r="E36" s="456"/>
      <c r="F36" s="514">
        <f>SUM(F31:F35)</f>
        <v>51750</v>
      </c>
      <c r="G36" s="453"/>
      <c r="H36"/>
      <c r="I36" s="572"/>
      <c r="J36" s="573"/>
      <c r="K36" s="574">
        <f>SUM(K32:K35)</f>
        <v>20</v>
      </c>
      <c r="L36" s="574"/>
      <c r="M36" s="574">
        <f t="shared" ref="M36:Q36" si="5">SUM(M32:M35)</f>
        <v>21</v>
      </c>
      <c r="N36" s="574"/>
      <c r="O36" s="574">
        <f t="shared" si="5"/>
        <v>20</v>
      </c>
      <c r="P36" s="574"/>
      <c r="Q36" s="574">
        <f t="shared" si="5"/>
        <v>20</v>
      </c>
      <c r="R36" s="574"/>
      <c r="S36" s="574">
        <f>SUM(S32:S35)</f>
        <v>20</v>
      </c>
      <c r="T36" s="574"/>
      <c r="U36" s="574">
        <f t="shared" ref="U36" si="6">SUM(U32:U35)</f>
        <v>0</v>
      </c>
      <c r="V36" s="106">
        <f t="shared" si="4"/>
        <v>20.2</v>
      </c>
      <c r="Y36" s="580"/>
    </row>
    <row r="37" spans="1:25" s="427" customFormat="1" ht="14.25" customHeight="1" x14ac:dyDescent="0.45">
      <c r="A37" s="454"/>
      <c r="B37" s="456"/>
      <c r="C37" s="150"/>
      <c r="D37" s="459"/>
      <c r="E37" s="460" t="s">
        <v>7</v>
      </c>
      <c r="F37" s="457">
        <f>+S28</f>
        <v>3850</v>
      </c>
      <c r="G37" s="461"/>
      <c r="H37"/>
      <c r="I37" s="391"/>
      <c r="J37"/>
      <c r="K37"/>
      <c r="M37" s="425"/>
      <c r="N37" s="425"/>
      <c r="O37" s="425"/>
      <c r="P37" s="425"/>
      <c r="Q37" s="425"/>
      <c r="R37" s="421"/>
      <c r="S37" s="421"/>
      <c r="T37" s="421"/>
      <c r="U37" s="421"/>
      <c r="V37" s="421"/>
      <c r="W37" s="426"/>
      <c r="Y37" s="580"/>
    </row>
    <row r="38" spans="1:25" s="427" customFormat="1" ht="16.8" x14ac:dyDescent="0.45">
      <c r="A38" s="454"/>
      <c r="B38" s="456"/>
      <c r="C38" s="150"/>
      <c r="D38" s="68"/>
      <c r="E38" s="460" t="s">
        <v>209</v>
      </c>
      <c r="F38" s="457">
        <f>+T28</f>
        <v>1950</v>
      </c>
      <c r="G38" s="461"/>
      <c r="H38"/>
      <c r="I38"/>
      <c r="J38"/>
      <c r="K38"/>
      <c r="M38" s="425"/>
      <c r="N38" s="425"/>
      <c r="O38" s="425"/>
      <c r="P38" s="425"/>
      <c r="Q38" s="425"/>
      <c r="R38" s="421"/>
      <c r="S38" s="421"/>
      <c r="T38" s="421"/>
      <c r="U38" s="421"/>
      <c r="V38" s="421"/>
      <c r="W38" s="426"/>
      <c r="Y38" s="580"/>
    </row>
    <row r="39" spans="1:25" s="427" customFormat="1" ht="16.8" x14ac:dyDescent="0.45">
      <c r="A39" s="454"/>
      <c r="B39" s="456"/>
      <c r="C39" s="150"/>
      <c r="D39" s="68"/>
      <c r="E39" s="460" t="s">
        <v>213</v>
      </c>
      <c r="F39" s="457">
        <f>+U28</f>
        <v>2650</v>
      </c>
      <c r="G39" s="461"/>
      <c r="H39"/>
      <c r="I39"/>
      <c r="J39"/>
      <c r="K39"/>
      <c r="M39" s="425"/>
      <c r="N39" s="425"/>
      <c r="O39" s="425"/>
      <c r="P39" s="425"/>
      <c r="Q39" s="425"/>
      <c r="R39" s="421"/>
      <c r="S39" s="421"/>
      <c r="T39" s="421"/>
      <c r="U39" s="421"/>
      <c r="V39" s="421"/>
      <c r="W39" s="426"/>
      <c r="Y39" s="580"/>
    </row>
    <row r="40" spans="1:25" s="427" customFormat="1" ht="16.8" x14ac:dyDescent="0.45">
      <c r="A40" s="454"/>
      <c r="B40" s="456"/>
      <c r="C40" s="150"/>
      <c r="D40" s="68"/>
      <c r="E40" s="460" t="s">
        <v>316</v>
      </c>
      <c r="F40" s="457">
        <f>W28</f>
        <v>200</v>
      </c>
      <c r="G40" s="461"/>
      <c r="H40"/>
      <c r="I40"/>
      <c r="J40"/>
      <c r="K40"/>
      <c r="M40" s="425"/>
      <c r="N40" s="425"/>
      <c r="O40" s="425"/>
      <c r="P40" s="425"/>
      <c r="Q40" s="425"/>
      <c r="R40" s="421"/>
      <c r="S40" s="421"/>
      <c r="T40" s="421"/>
      <c r="U40" s="421"/>
      <c r="V40" s="421"/>
      <c r="W40" s="426"/>
      <c r="Y40" s="580"/>
    </row>
    <row r="41" spans="1:25" s="427" customFormat="1" ht="16.8" x14ac:dyDescent="0.45">
      <c r="A41" s="454"/>
      <c r="B41" s="456"/>
      <c r="C41" s="150"/>
      <c r="D41" s="68"/>
      <c r="E41" s="460"/>
      <c r="F41" s="457"/>
      <c r="G41" s="461"/>
      <c r="H41"/>
      <c r="I41"/>
      <c r="J41"/>
      <c r="K41"/>
      <c r="M41" s="425"/>
      <c r="N41" s="425"/>
      <c r="O41" s="425"/>
      <c r="P41" s="425"/>
      <c r="Q41" s="425"/>
      <c r="R41" s="421"/>
      <c r="S41" s="421"/>
      <c r="T41" s="421"/>
      <c r="U41" s="421"/>
      <c r="V41" s="421"/>
      <c r="W41" s="426"/>
      <c r="Y41" s="580"/>
    </row>
    <row r="42" spans="1:25" s="427" customFormat="1" ht="14.25" customHeight="1" x14ac:dyDescent="0.45">
      <c r="A42" s="454"/>
      <c r="B42" s="456"/>
      <c r="C42" s="150"/>
      <c r="D42" s="68"/>
      <c r="E42" s="460"/>
      <c r="F42" s="457"/>
      <c r="G42" s="461"/>
      <c r="H42"/>
      <c r="I42"/>
      <c r="J42"/>
      <c r="K42"/>
      <c r="M42" s="425"/>
      <c r="N42" s="425"/>
      <c r="O42" s="425"/>
      <c r="P42" s="425"/>
      <c r="Q42" s="425"/>
      <c r="R42" s="421"/>
      <c r="S42" s="421"/>
      <c r="T42" s="421"/>
      <c r="U42" s="421"/>
      <c r="V42" s="421"/>
      <c r="W42" s="426"/>
      <c r="Y42" s="580"/>
    </row>
    <row r="43" spans="1:25" s="427" customFormat="1" ht="14.25" customHeight="1" x14ac:dyDescent="0.4">
      <c r="A43" s="454"/>
      <c r="B43" s="456"/>
      <c r="C43" s="150"/>
      <c r="D43" s="456"/>
      <c r="E43" s="456"/>
      <c r="F43" s="463">
        <f>SUM(F36:F42)</f>
        <v>60400</v>
      </c>
      <c r="G43" s="453"/>
      <c r="H43"/>
      <c r="I43"/>
      <c r="J43"/>
      <c r="K43"/>
      <c r="M43" s="425"/>
      <c r="N43" s="425"/>
      <c r="O43" s="425"/>
      <c r="P43" s="425"/>
      <c r="Q43" s="425"/>
      <c r="R43" s="421"/>
      <c r="S43" s="421"/>
      <c r="T43" s="421"/>
      <c r="U43" s="421"/>
      <c r="V43" s="421"/>
      <c r="W43" s="426"/>
      <c r="Y43" s="580"/>
    </row>
    <row r="44" spans="1:25" s="427" customFormat="1" ht="14.25" customHeight="1" thickBot="1" x14ac:dyDescent="0.45">
      <c r="A44" s="464"/>
      <c r="B44" s="465"/>
      <c r="C44" s="466"/>
      <c r="D44" s="467"/>
      <c r="E44" s="467"/>
      <c r="F44" s="467"/>
      <c r="G44" s="468"/>
      <c r="H44"/>
      <c r="I44"/>
      <c r="J44"/>
      <c r="K44"/>
      <c r="M44" s="425"/>
      <c r="N44" s="425"/>
      <c r="O44" s="425"/>
      <c r="P44" s="425"/>
      <c r="Q44" s="425"/>
      <c r="R44" s="421"/>
      <c r="S44" s="421"/>
      <c r="T44" s="421"/>
      <c r="U44" s="421"/>
      <c r="V44" s="421"/>
      <c r="W44" s="426"/>
      <c r="Y44" s="580"/>
    </row>
    <row r="45" spans="1:25" ht="15" thickBot="1" x14ac:dyDescent="0.35">
      <c r="A45" s="421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5"/>
      <c r="N45" s="425"/>
      <c r="O45" s="425"/>
      <c r="P45" s="425"/>
      <c r="Q45" s="425"/>
      <c r="R45" s="421"/>
    </row>
    <row r="46" spans="1:25" ht="31.5" customHeight="1" x14ac:dyDescent="0.4">
      <c r="B46" s="856" t="str">
        <f>+B1</f>
        <v>SEMANA DEL 09 AL 15  DE DICIEMBRE DEL 2024</v>
      </c>
      <c r="C46" s="857"/>
      <c r="D46" s="857"/>
      <c r="E46" s="857"/>
      <c r="F46" s="857"/>
      <c r="G46" s="857"/>
      <c r="H46" s="857"/>
      <c r="I46" s="857"/>
      <c r="J46" s="857"/>
      <c r="K46" s="857"/>
      <c r="L46" s="857"/>
      <c r="M46" s="857"/>
      <c r="N46" s="857"/>
      <c r="O46" s="857"/>
      <c r="P46" s="857"/>
      <c r="Q46" s="858"/>
    </row>
    <row r="47" spans="1:25" ht="21" customHeight="1" thickBot="1" x14ac:dyDescent="0.35">
      <c r="A47" s="393"/>
      <c r="B47" s="859" t="s">
        <v>192</v>
      </c>
      <c r="C47" s="860"/>
      <c r="D47" s="860"/>
      <c r="E47" s="860"/>
      <c r="F47" s="860"/>
      <c r="G47" s="860"/>
      <c r="H47" s="860"/>
      <c r="I47" s="860"/>
      <c r="J47" s="860"/>
      <c r="K47" s="860"/>
      <c r="L47" s="860"/>
      <c r="M47" s="860"/>
      <c r="N47" s="860"/>
      <c r="O47" s="860"/>
      <c r="P47" s="860"/>
      <c r="Q47" s="873"/>
    </row>
    <row r="48" spans="1:25" ht="25.5" customHeight="1" x14ac:dyDescent="0.3">
      <c r="A48" s="393"/>
      <c r="B48" s="890" t="s">
        <v>185</v>
      </c>
      <c r="C48" s="891"/>
      <c r="D48" s="891"/>
      <c r="E48" s="891"/>
      <c r="F48" s="891"/>
      <c r="G48" s="891"/>
      <c r="H48" s="891"/>
      <c r="I48" s="891"/>
      <c r="J48" s="891"/>
      <c r="K48" s="891"/>
      <c r="L48" s="891"/>
      <c r="M48" s="891"/>
      <c r="N48" s="891"/>
      <c r="O48" s="891"/>
      <c r="P48" s="891"/>
      <c r="Q48" s="892"/>
      <c r="R48" s="874" t="s">
        <v>202</v>
      </c>
      <c r="S48" s="868" t="s">
        <v>203</v>
      </c>
      <c r="T48" s="868" t="s">
        <v>204</v>
      </c>
      <c r="U48" s="868" t="s">
        <v>248</v>
      </c>
      <c r="V48" s="868" t="s">
        <v>243</v>
      </c>
      <c r="W48" s="868" t="s">
        <v>212</v>
      </c>
      <c r="X48" s="885" t="s">
        <v>205</v>
      </c>
    </row>
    <row r="49" spans="1:25" ht="9.75" customHeight="1" x14ac:dyDescent="0.3">
      <c r="A49" s="393"/>
      <c r="B49" s="499" t="s">
        <v>186</v>
      </c>
      <c r="C49" s="500" t="s">
        <v>135</v>
      </c>
      <c r="D49" s="500" t="s">
        <v>136</v>
      </c>
      <c r="E49" s="501" t="s">
        <v>8</v>
      </c>
      <c r="F49" s="501"/>
      <c r="G49" s="501" t="s">
        <v>9</v>
      </c>
      <c r="H49" s="501"/>
      <c r="I49" s="501" t="s">
        <v>9</v>
      </c>
      <c r="J49" s="501"/>
      <c r="K49" s="501" t="s">
        <v>10</v>
      </c>
      <c r="L49" s="501"/>
      <c r="M49" s="501" t="s">
        <v>11</v>
      </c>
      <c r="N49" s="501"/>
      <c r="O49" s="501" t="s">
        <v>12</v>
      </c>
      <c r="P49" s="501"/>
      <c r="Q49" s="505" t="s">
        <v>187</v>
      </c>
      <c r="R49" s="875"/>
      <c r="S49" s="869"/>
      <c r="T49" s="869"/>
      <c r="U49" s="869"/>
      <c r="V49" s="869"/>
      <c r="W49" s="869"/>
      <c r="X49" s="886"/>
    </row>
    <row r="50" spans="1:25" x14ac:dyDescent="0.3">
      <c r="A50" s="287">
        <v>5</v>
      </c>
      <c r="B50" s="508">
        <v>147</v>
      </c>
      <c r="C50" s="394" t="s">
        <v>123</v>
      </c>
      <c r="D50" s="355" t="s">
        <v>265</v>
      </c>
      <c r="E50" s="710">
        <v>0</v>
      </c>
      <c r="F50" s="711" t="s">
        <v>18</v>
      </c>
      <c r="G50" s="710">
        <v>0</v>
      </c>
      <c r="H50" s="711" t="s">
        <v>18</v>
      </c>
      <c r="I50" s="710">
        <v>0</v>
      </c>
      <c r="J50" s="711" t="s">
        <v>18</v>
      </c>
      <c r="K50" s="710">
        <v>0</v>
      </c>
      <c r="L50" s="711" t="s">
        <v>18</v>
      </c>
      <c r="M50" s="710">
        <v>0</v>
      </c>
      <c r="N50" s="711" t="s">
        <v>18</v>
      </c>
      <c r="O50" s="710">
        <v>0</v>
      </c>
      <c r="P50" s="420"/>
      <c r="Q50" s="683"/>
      <c r="R50" s="478">
        <v>0</v>
      </c>
      <c r="S50" s="587"/>
      <c r="T50" s="395"/>
      <c r="U50" s="395"/>
      <c r="V50" s="395"/>
      <c r="W50" s="395"/>
      <c r="X50" s="515">
        <v>0</v>
      </c>
    </row>
    <row r="51" spans="1:25" s="427" customFormat="1" x14ac:dyDescent="0.3">
      <c r="A51" s="421"/>
      <c r="B51" s="422"/>
      <c r="C51" s="423"/>
      <c r="D51" s="424"/>
      <c r="E51" s="425">
        <f t="shared" ref="E51:O51" si="7">SUM(E50:E50)</f>
        <v>0</v>
      </c>
      <c r="F51" s="425">
        <f t="shared" si="7"/>
        <v>0</v>
      </c>
      <c r="G51" s="425">
        <f t="shared" si="7"/>
        <v>0</v>
      </c>
      <c r="H51" s="425">
        <f t="shared" si="7"/>
        <v>0</v>
      </c>
      <c r="I51" s="425">
        <f t="shared" si="7"/>
        <v>0</v>
      </c>
      <c r="J51" s="425">
        <f t="shared" si="7"/>
        <v>0</v>
      </c>
      <c r="K51" s="425">
        <f t="shared" si="7"/>
        <v>0</v>
      </c>
      <c r="L51" s="425">
        <f t="shared" si="7"/>
        <v>0</v>
      </c>
      <c r="M51" s="425">
        <f t="shared" si="7"/>
        <v>0</v>
      </c>
      <c r="N51" s="425">
        <f t="shared" si="7"/>
        <v>0</v>
      </c>
      <c r="O51" s="425">
        <f t="shared" si="7"/>
        <v>0</v>
      </c>
      <c r="P51" s="425"/>
      <c r="Q51" s="425"/>
      <c r="R51" s="425">
        <f t="shared" ref="R51:X51" si="8">SUM(R50:R50)</f>
        <v>0</v>
      </c>
      <c r="S51" s="425">
        <f t="shared" si="8"/>
        <v>0</v>
      </c>
      <c r="T51" s="425">
        <f t="shared" si="8"/>
        <v>0</v>
      </c>
      <c r="U51" s="425">
        <f t="shared" si="8"/>
        <v>0</v>
      </c>
      <c r="V51" s="425">
        <f t="shared" si="8"/>
        <v>0</v>
      </c>
      <c r="W51" s="425">
        <f t="shared" si="8"/>
        <v>0</v>
      </c>
      <c r="X51" s="532">
        <f t="shared" si="8"/>
        <v>0</v>
      </c>
      <c r="Y51" s="580"/>
    </row>
    <row r="52" spans="1:25" s="22" customFormat="1" ht="15" thickBot="1" x14ac:dyDescent="0.35">
      <c r="A52" s="360"/>
      <c r="B52" s="428"/>
      <c r="C52" s="429"/>
      <c r="D52" s="430"/>
      <c r="E52" s="425"/>
      <c r="F52" s="425"/>
      <c r="G52" s="425"/>
      <c r="H52" s="425"/>
      <c r="I52" s="425"/>
      <c r="J52" s="425"/>
      <c r="K52" s="425"/>
      <c r="L52" s="425"/>
      <c r="M52" s="425"/>
      <c r="N52" s="425"/>
      <c r="O52" s="425"/>
      <c r="P52" s="425"/>
      <c r="Q52" s="425"/>
      <c r="X52" s="496">
        <f>F62-X51</f>
        <v>0</v>
      </c>
      <c r="Y52" s="178"/>
    </row>
    <row r="53" spans="1:25" s="22" customFormat="1" ht="16.8" x14ac:dyDescent="0.45">
      <c r="A53" s="443"/>
      <c r="B53" s="444"/>
      <c r="C53" s="444"/>
      <c r="D53" s="445" t="s">
        <v>14</v>
      </c>
      <c r="E53" s="445" t="s">
        <v>208</v>
      </c>
      <c r="F53" s="445" t="s">
        <v>17</v>
      </c>
      <c r="G53" s="446"/>
      <c r="H53"/>
      <c r="I53" s="447"/>
      <c r="J53" s="391"/>
      <c r="K53" s="181"/>
      <c r="L53" s="425"/>
      <c r="M53" s="425"/>
      <c r="N53" s="425"/>
      <c r="O53" s="425"/>
      <c r="P53" s="425"/>
      <c r="Q53" s="425"/>
      <c r="Y53" s="178"/>
    </row>
    <row r="54" spans="1:25" s="22" customFormat="1" ht="16.8" thickBot="1" x14ac:dyDescent="0.45">
      <c r="A54" s="448"/>
      <c r="B54" s="159">
        <v>0</v>
      </c>
      <c r="C54" s="449" t="s">
        <v>214</v>
      </c>
      <c r="D54" s="150">
        <v>0</v>
      </c>
      <c r="E54" s="150">
        <v>0</v>
      </c>
      <c r="F54" s="513">
        <f>D54</f>
        <v>0</v>
      </c>
      <c r="G54" s="450"/>
      <c r="H54"/>
      <c r="I54" s="8"/>
      <c r="J54" s="91"/>
      <c r="K54" s="42" t="s">
        <v>8</v>
      </c>
      <c r="L54" s="42"/>
      <c r="M54" s="42" t="s">
        <v>9</v>
      </c>
      <c r="N54" s="42"/>
      <c r="O54" s="42" t="s">
        <v>9</v>
      </c>
      <c r="P54" s="42"/>
      <c r="Q54" s="42" t="s">
        <v>10</v>
      </c>
      <c r="R54" s="42"/>
      <c r="S54" s="42" t="s">
        <v>11</v>
      </c>
      <c r="T54" s="42"/>
      <c r="U54" s="42" t="s">
        <v>12</v>
      </c>
      <c r="V54" s="42"/>
      <c r="Y54" s="178"/>
    </row>
    <row r="55" spans="1:25" s="22" customFormat="1" ht="16.2" x14ac:dyDescent="0.4">
      <c r="A55" s="448"/>
      <c r="B55" s="159">
        <v>0</v>
      </c>
      <c r="C55" s="449" t="s">
        <v>22</v>
      </c>
      <c r="D55" s="150">
        <f>1550*B55</f>
        <v>0</v>
      </c>
      <c r="E55" s="150">
        <v>0</v>
      </c>
      <c r="F55" s="513">
        <f>D55</f>
        <v>0</v>
      </c>
      <c r="G55" s="450"/>
      <c r="H55"/>
      <c r="I55" s="516"/>
      <c r="J55" s="96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98" t="s">
        <v>28</v>
      </c>
      <c r="Y55" s="178"/>
    </row>
    <row r="56" spans="1:25" s="22" customFormat="1" ht="17.399999999999999" thickBot="1" x14ac:dyDescent="0.45">
      <c r="A56" s="448"/>
      <c r="B56" s="159">
        <v>0</v>
      </c>
      <c r="C56" s="449" t="s">
        <v>30</v>
      </c>
      <c r="D56" s="150">
        <v>0</v>
      </c>
      <c r="E56" s="150">
        <v>0</v>
      </c>
      <c r="F56" s="513">
        <f>+D56</f>
        <v>0</v>
      </c>
      <c r="G56" s="450"/>
      <c r="H56"/>
      <c r="I56" s="569" t="s">
        <v>214</v>
      </c>
      <c r="J56" s="103"/>
      <c r="K56" s="518">
        <v>0</v>
      </c>
      <c r="L56" s="519"/>
      <c r="M56" s="518">
        <v>0</v>
      </c>
      <c r="N56" s="519"/>
      <c r="O56" s="518">
        <v>0</v>
      </c>
      <c r="P56" s="519"/>
      <c r="Q56" s="518">
        <v>0</v>
      </c>
      <c r="R56" s="519"/>
      <c r="S56" s="518">
        <v>0</v>
      </c>
      <c r="T56" s="519"/>
      <c r="U56" s="518">
        <v>0</v>
      </c>
      <c r="V56" s="621">
        <f>AVERAGE(K56,M56,O56,Q56,S56,U56)</f>
        <v>0</v>
      </c>
      <c r="Y56" s="178"/>
    </row>
    <row r="57" spans="1:25" s="22" customFormat="1" ht="17.399999999999999" thickBot="1" x14ac:dyDescent="0.45">
      <c r="A57" s="448"/>
      <c r="B57" s="68">
        <v>0</v>
      </c>
      <c r="C57" s="449" t="s">
        <v>32</v>
      </c>
      <c r="D57" s="150">
        <f>1550*B57</f>
        <v>0</v>
      </c>
      <c r="E57" s="150">
        <v>0</v>
      </c>
      <c r="F57" s="513">
        <f>D57</f>
        <v>0</v>
      </c>
      <c r="G57" s="453"/>
      <c r="H57" s="458"/>
      <c r="I57" s="569" t="s">
        <v>22</v>
      </c>
      <c r="J57" s="103"/>
      <c r="K57" s="518">
        <v>0</v>
      </c>
      <c r="L57" s="519"/>
      <c r="M57" s="518">
        <v>0</v>
      </c>
      <c r="N57" s="519"/>
      <c r="O57" s="518">
        <v>0</v>
      </c>
      <c r="P57" s="519"/>
      <c r="Q57" s="518">
        <v>0</v>
      </c>
      <c r="R57" s="519"/>
      <c r="S57" s="518">
        <v>0</v>
      </c>
      <c r="T57" s="519"/>
      <c r="U57" s="518">
        <v>0</v>
      </c>
      <c r="V57" s="621">
        <f t="shared" ref="V57:V58" si="9">AVERAGE(K57,M57,O57,Q57,S57,U57)</f>
        <v>0</v>
      </c>
      <c r="Y57" s="178"/>
    </row>
    <row r="58" spans="1:25" s="22" customFormat="1" ht="17.399999999999999" thickBot="1" x14ac:dyDescent="0.5">
      <c r="A58" s="454"/>
      <c r="B58" s="455"/>
      <c r="C58" s="150"/>
      <c r="D58" s="456"/>
      <c r="E58" s="456"/>
      <c r="F58" s="457">
        <f>SUM(F54:F57)</f>
        <v>0</v>
      </c>
      <c r="G58" s="453"/>
      <c r="H58" s="458"/>
      <c r="I58" s="569" t="s">
        <v>30</v>
      </c>
      <c r="J58" s="103"/>
      <c r="K58" s="518">
        <v>0</v>
      </c>
      <c r="L58" s="519"/>
      <c r="M58" s="518">
        <v>0</v>
      </c>
      <c r="N58" s="519"/>
      <c r="O58" s="518">
        <v>0</v>
      </c>
      <c r="P58" s="519"/>
      <c r="Q58" s="518">
        <v>0</v>
      </c>
      <c r="R58" s="519"/>
      <c r="S58" s="518">
        <v>0</v>
      </c>
      <c r="T58" s="519"/>
      <c r="U58" s="518">
        <v>0</v>
      </c>
      <c r="V58" s="621">
        <f t="shared" si="9"/>
        <v>0</v>
      </c>
      <c r="Y58" s="178"/>
    </row>
    <row r="59" spans="1:25" s="22" customFormat="1" ht="17.399999999999999" thickBot="1" x14ac:dyDescent="0.5">
      <c r="A59" s="454"/>
      <c r="B59" s="456">
        <f>SUM(B54:B58)</f>
        <v>0</v>
      </c>
      <c r="C59" s="150"/>
      <c r="D59" s="459"/>
      <c r="E59" s="460"/>
      <c r="F59" s="457"/>
      <c r="G59" s="461"/>
      <c r="H59"/>
      <c r="I59" s="569" t="s">
        <v>32</v>
      </c>
      <c r="J59" s="103"/>
      <c r="K59" s="518">
        <v>0</v>
      </c>
      <c r="L59" s="519"/>
      <c r="M59" s="518">
        <v>0</v>
      </c>
      <c r="N59" s="519"/>
      <c r="O59" s="518">
        <v>0</v>
      </c>
      <c r="P59" s="519"/>
      <c r="Q59" s="518">
        <v>0</v>
      </c>
      <c r="R59" s="519"/>
      <c r="S59" s="518">
        <v>0</v>
      </c>
      <c r="T59" s="519"/>
      <c r="U59" s="518">
        <v>0</v>
      </c>
      <c r="V59" s="621">
        <f>AVERAGE(K59,M59,O59,Q59,S59,U59)</f>
        <v>0</v>
      </c>
      <c r="Y59" s="178"/>
    </row>
    <row r="60" spans="1:25" s="22" customFormat="1" ht="19.8" thickBot="1" x14ac:dyDescent="0.5">
      <c r="A60" s="454"/>
      <c r="B60" s="456"/>
      <c r="C60" s="150"/>
      <c r="D60" s="68"/>
      <c r="E60" s="460"/>
      <c r="F60" s="462">
        <f>W51</f>
        <v>0</v>
      </c>
      <c r="G60" s="461"/>
      <c r="H60"/>
      <c r="I60" s="572"/>
      <c r="J60" s="573"/>
      <c r="K60" s="574">
        <f>SUM(K56:K59)</f>
        <v>0</v>
      </c>
      <c r="L60" s="574"/>
      <c r="M60" s="574">
        <f t="shared" ref="M60:U60" si="10">SUM(M56:M59)</f>
        <v>0</v>
      </c>
      <c r="N60" s="574"/>
      <c r="O60" s="574">
        <f t="shared" si="10"/>
        <v>0</v>
      </c>
      <c r="P60" s="574"/>
      <c r="Q60" s="574">
        <f t="shared" si="10"/>
        <v>0</v>
      </c>
      <c r="R60" s="574"/>
      <c r="S60" s="574">
        <f t="shared" si="10"/>
        <v>0</v>
      </c>
      <c r="T60" s="574"/>
      <c r="U60" s="574">
        <f t="shared" si="10"/>
        <v>0</v>
      </c>
      <c r="V60" s="621">
        <f>AVERAGE(K60,M60,O60,Q60,S60,U60)</f>
        <v>0</v>
      </c>
      <c r="Y60" s="178"/>
    </row>
    <row r="61" spans="1:25" s="22" customFormat="1" ht="16.8" x14ac:dyDescent="0.45">
      <c r="A61" s="454"/>
      <c r="B61" s="456"/>
      <c r="C61" s="150"/>
      <c r="D61" s="68"/>
      <c r="E61" s="460"/>
      <c r="F61" s="457">
        <f>+T51</f>
        <v>0</v>
      </c>
      <c r="G61" s="461"/>
      <c r="H61"/>
      <c r="I61" s="391"/>
      <c r="J61"/>
      <c r="K61"/>
      <c r="L61" s="425"/>
      <c r="M61" s="425"/>
      <c r="N61" s="425"/>
      <c r="O61" s="425"/>
      <c r="P61" s="425"/>
      <c r="Q61" s="425"/>
      <c r="Y61" s="178"/>
    </row>
    <row r="62" spans="1:25" s="22" customFormat="1" ht="16.2" x14ac:dyDescent="0.4">
      <c r="A62" s="454"/>
      <c r="B62" s="456"/>
      <c r="C62" s="150"/>
      <c r="D62" s="456"/>
      <c r="E62" s="456"/>
      <c r="F62" s="463">
        <f>SUM(F58:F61)</f>
        <v>0</v>
      </c>
      <c r="G62" s="453"/>
      <c r="H62"/>
      <c r="I62" s="391"/>
      <c r="J62"/>
      <c r="K62"/>
      <c r="L62" s="425"/>
      <c r="M62" s="425"/>
      <c r="Q62" s="425"/>
      <c r="Y62" s="178"/>
    </row>
    <row r="63" spans="1:25" s="22" customFormat="1" ht="16.8" thickBot="1" x14ac:dyDescent="0.45">
      <c r="A63" s="464"/>
      <c r="B63" s="465"/>
      <c r="C63" s="466"/>
      <c r="D63" s="467"/>
      <c r="E63" s="467"/>
      <c r="F63" s="467"/>
      <c r="G63" s="468"/>
      <c r="H63"/>
      <c r="I63"/>
      <c r="J63"/>
      <c r="K63"/>
      <c r="L63" s="425"/>
      <c r="M63" s="425"/>
      <c r="Q63" s="425"/>
      <c r="Y63" s="178"/>
    </row>
    <row r="64" spans="1:25" s="22" customFormat="1" ht="15" thickBot="1" x14ac:dyDescent="0.35">
      <c r="A64" s="360"/>
      <c r="B64" s="428"/>
      <c r="C64" s="429"/>
      <c r="D64" s="430"/>
      <c r="E64" s="425"/>
      <c r="F64" s="425"/>
      <c r="G64" s="425"/>
      <c r="H64" s="425"/>
      <c r="I64" s="425"/>
      <c r="J64" s="425"/>
      <c r="K64" s="425"/>
      <c r="L64" s="425"/>
      <c r="M64" s="425"/>
      <c r="Q64" s="425"/>
      <c r="Y64" s="178"/>
    </row>
    <row r="65" spans="1:25" s="22" customFormat="1" ht="42" customHeight="1" x14ac:dyDescent="0.4">
      <c r="A65" s="287"/>
      <c r="B65" s="856" t="str">
        <f>+B1</f>
        <v>SEMANA DEL 09 AL 15  DE DICIEMBRE DEL 2024</v>
      </c>
      <c r="C65" s="857"/>
      <c r="D65" s="857"/>
      <c r="E65" s="857"/>
      <c r="F65" s="857"/>
      <c r="G65" s="857"/>
      <c r="H65" s="857"/>
      <c r="I65" s="857"/>
      <c r="J65" s="857"/>
      <c r="K65" s="857"/>
      <c r="L65" s="857"/>
      <c r="M65" s="857"/>
      <c r="N65" s="857"/>
      <c r="O65" s="857"/>
      <c r="P65" s="857"/>
      <c r="Q65" s="858"/>
      <c r="R65"/>
      <c r="S65"/>
      <c r="T65"/>
      <c r="U65"/>
      <c r="V65"/>
      <c r="W65"/>
      <c r="Y65" s="178"/>
    </row>
    <row r="66" spans="1:25" ht="27" customHeight="1" thickBot="1" x14ac:dyDescent="0.35">
      <c r="B66" s="893" t="str">
        <f>+B2</f>
        <v xml:space="preserve">TEJIDO </v>
      </c>
      <c r="C66" s="894"/>
      <c r="D66" s="894"/>
      <c r="E66" s="894"/>
      <c r="F66" s="894"/>
      <c r="G66" s="894"/>
      <c r="H66" s="894"/>
      <c r="I66" s="894"/>
      <c r="J66" s="894"/>
      <c r="K66" s="894"/>
      <c r="L66" s="894"/>
      <c r="M66" s="894"/>
      <c r="N66" s="894"/>
      <c r="O66" s="894"/>
      <c r="P66" s="894"/>
      <c r="Q66" s="895"/>
    </row>
    <row r="67" spans="1:25" ht="27" customHeight="1" x14ac:dyDescent="0.3">
      <c r="A67" s="393"/>
      <c r="B67" s="859" t="s">
        <v>193</v>
      </c>
      <c r="C67" s="860"/>
      <c r="D67" s="860"/>
      <c r="E67" s="860"/>
      <c r="F67" s="860"/>
      <c r="G67" s="860"/>
      <c r="H67" s="860"/>
      <c r="I67" s="860"/>
      <c r="J67" s="860"/>
      <c r="K67" s="860"/>
      <c r="L67" s="860"/>
      <c r="M67" s="860"/>
      <c r="N67" s="860"/>
      <c r="O67" s="860"/>
      <c r="P67" s="860"/>
      <c r="Q67" s="861"/>
      <c r="R67" s="874" t="s">
        <v>202</v>
      </c>
      <c r="S67" s="868" t="s">
        <v>203</v>
      </c>
      <c r="T67" s="868" t="s">
        <v>204</v>
      </c>
      <c r="U67" s="868" t="s">
        <v>248</v>
      </c>
      <c r="V67" s="868" t="s">
        <v>243</v>
      </c>
      <c r="W67" s="868" t="s">
        <v>212</v>
      </c>
      <c r="X67" s="885" t="s">
        <v>205</v>
      </c>
    </row>
    <row r="68" spans="1:25" ht="13.5" customHeight="1" x14ac:dyDescent="0.3">
      <c r="A68" s="393"/>
      <c r="B68" s="763" t="s">
        <v>185</v>
      </c>
      <c r="C68" s="764"/>
      <c r="D68" s="764"/>
      <c r="E68" s="764"/>
      <c r="F68" s="764"/>
      <c r="G68" s="764"/>
      <c r="H68" s="764"/>
      <c r="I68" s="764"/>
      <c r="J68" s="764"/>
      <c r="K68" s="764"/>
      <c r="L68" s="764"/>
      <c r="M68" s="764"/>
      <c r="N68" s="764"/>
      <c r="O68" s="764"/>
      <c r="P68" s="764"/>
      <c r="Q68" s="765"/>
      <c r="R68" s="875"/>
      <c r="S68" s="869"/>
      <c r="T68" s="869"/>
      <c r="U68" s="869"/>
      <c r="V68" s="869"/>
      <c r="W68" s="869"/>
      <c r="X68" s="886"/>
    </row>
    <row r="69" spans="1:25" ht="9.75" customHeight="1" x14ac:dyDescent="0.3">
      <c r="A69" s="393"/>
      <c r="B69" s="499" t="s">
        <v>186</v>
      </c>
      <c r="C69" s="500" t="s">
        <v>135</v>
      </c>
      <c r="D69" s="500" t="s">
        <v>136</v>
      </c>
      <c r="E69" s="501" t="s">
        <v>8</v>
      </c>
      <c r="F69" s="501"/>
      <c r="G69" s="501" t="s">
        <v>9</v>
      </c>
      <c r="H69" s="501"/>
      <c r="I69" s="501" t="s">
        <v>9</v>
      </c>
      <c r="J69" s="501"/>
      <c r="K69" s="501" t="s">
        <v>10</v>
      </c>
      <c r="L69" s="501"/>
      <c r="M69" s="501" t="s">
        <v>11</v>
      </c>
      <c r="N69" s="501"/>
      <c r="O69" s="501" t="s">
        <v>12</v>
      </c>
      <c r="P69" s="501"/>
      <c r="Q69" s="505" t="s">
        <v>187</v>
      </c>
      <c r="R69" s="875"/>
      <c r="S69" s="869"/>
      <c r="T69" s="869"/>
      <c r="U69" s="869"/>
      <c r="V69" s="869"/>
      <c r="W69" s="869"/>
      <c r="X69" s="886"/>
    </row>
    <row r="70" spans="1:25" x14ac:dyDescent="0.3">
      <c r="B70" s="800">
        <v>209</v>
      </c>
      <c r="C70" s="801" t="s">
        <v>268</v>
      </c>
      <c r="D70" s="802" t="s">
        <v>189</v>
      </c>
      <c r="E70" s="592"/>
      <c r="F70" s="594"/>
      <c r="G70" s="592"/>
      <c r="H70" s="594"/>
      <c r="I70" s="592"/>
      <c r="J70" s="594"/>
      <c r="K70" s="592"/>
      <c r="L70" s="594"/>
      <c r="M70" s="592"/>
      <c r="N70" s="594"/>
      <c r="O70" s="592"/>
      <c r="P70" s="594"/>
      <c r="Q70" s="803"/>
      <c r="R70" s="804"/>
      <c r="S70" s="805"/>
      <c r="T70" s="805"/>
      <c r="U70" s="805"/>
      <c r="V70" s="805"/>
      <c r="W70" s="805"/>
      <c r="X70" s="806">
        <v>10000</v>
      </c>
      <c r="Y70" s="579" t="s">
        <v>613</v>
      </c>
    </row>
    <row r="71" spans="1:25" x14ac:dyDescent="0.3">
      <c r="A71" s="631"/>
      <c r="B71" s="800">
        <v>208</v>
      </c>
      <c r="C71" s="801" t="s">
        <v>278</v>
      </c>
      <c r="D71" s="802" t="s">
        <v>189</v>
      </c>
      <c r="E71" s="592"/>
      <c r="F71" s="761"/>
      <c r="G71" s="592"/>
      <c r="H71" s="594"/>
      <c r="I71" s="592"/>
      <c r="J71" s="594"/>
      <c r="K71" s="592"/>
      <c r="L71" s="594"/>
      <c r="M71" s="592"/>
      <c r="N71" s="594"/>
      <c r="O71" s="592"/>
      <c r="P71" s="592"/>
      <c r="Q71" s="803"/>
      <c r="R71" s="807"/>
      <c r="S71" s="805"/>
      <c r="T71" s="805"/>
      <c r="U71" s="805"/>
      <c r="V71" s="805"/>
      <c r="W71" s="805"/>
      <c r="X71" s="806">
        <v>5210.66</v>
      </c>
      <c r="Y71" s="579" t="s">
        <v>614</v>
      </c>
    </row>
    <row r="72" spans="1:25" x14ac:dyDescent="0.3">
      <c r="B72" s="507">
        <v>251</v>
      </c>
      <c r="C72" s="394" t="s">
        <v>313</v>
      </c>
      <c r="D72" s="397" t="s">
        <v>240</v>
      </c>
      <c r="E72" s="354">
        <v>1</v>
      </c>
      <c r="F72" s="420"/>
      <c r="G72" s="354">
        <v>1</v>
      </c>
      <c r="H72" s="420"/>
      <c r="I72" s="354">
        <v>1</v>
      </c>
      <c r="J72" s="354"/>
      <c r="K72" s="354">
        <v>1</v>
      </c>
      <c r="L72" s="420"/>
      <c r="M72" s="354">
        <v>1</v>
      </c>
      <c r="N72" s="420"/>
      <c r="O72" s="354"/>
      <c r="P72" s="420"/>
      <c r="Q72" s="683"/>
      <c r="R72" s="645">
        <v>1550</v>
      </c>
      <c r="S72" s="392">
        <v>300</v>
      </c>
      <c r="T72" s="392">
        <v>250</v>
      </c>
      <c r="U72" s="392"/>
      <c r="V72" s="392"/>
      <c r="W72" s="392"/>
      <c r="X72" s="515">
        <f t="shared" ref="X72:X80" si="11">+R72+S72+T72+U72+V72+W72</f>
        <v>2100</v>
      </c>
    </row>
    <row r="73" spans="1:25" x14ac:dyDescent="0.3">
      <c r="A73" s="497" t="e">
        <f>#REF!+1</f>
        <v>#REF!</v>
      </c>
      <c r="B73" s="508">
        <v>7</v>
      </c>
      <c r="C73" s="394" t="s">
        <v>43</v>
      </c>
      <c r="D73" s="433" t="s">
        <v>189</v>
      </c>
      <c r="E73" s="354">
        <v>1</v>
      </c>
      <c r="F73" s="668"/>
      <c r="G73" s="419">
        <v>1</v>
      </c>
      <c r="H73" s="552"/>
      <c r="I73" s="340">
        <v>1</v>
      </c>
      <c r="J73" s="419"/>
      <c r="K73" s="419">
        <v>1</v>
      </c>
      <c r="L73" s="419"/>
      <c r="M73" s="354">
        <v>1</v>
      </c>
      <c r="N73" s="420"/>
      <c r="O73" s="354"/>
      <c r="P73" s="354"/>
      <c r="Q73" s="683"/>
      <c r="R73" s="491">
        <v>6000</v>
      </c>
      <c r="S73" s="395"/>
      <c r="T73" s="395"/>
      <c r="U73" s="395"/>
      <c r="V73" s="395"/>
      <c r="W73" s="395"/>
      <c r="X73" s="515">
        <f t="shared" si="11"/>
        <v>6000</v>
      </c>
    </row>
    <row r="74" spans="1:25" x14ac:dyDescent="0.3">
      <c r="A74" s="416">
        <v>1</v>
      </c>
      <c r="B74" s="507">
        <v>158</v>
      </c>
      <c r="C74" s="396" t="s">
        <v>138</v>
      </c>
      <c r="D74" s="545" t="s">
        <v>189</v>
      </c>
      <c r="E74" s="482">
        <v>1</v>
      </c>
      <c r="F74" s="668"/>
      <c r="G74" s="482">
        <v>1</v>
      </c>
      <c r="H74" s="482"/>
      <c r="I74" s="482">
        <v>1</v>
      </c>
      <c r="J74" s="482"/>
      <c r="K74" s="482">
        <v>1</v>
      </c>
      <c r="L74" s="482"/>
      <c r="M74" s="354">
        <v>1</v>
      </c>
      <c r="N74" s="420"/>
      <c r="O74" s="354"/>
      <c r="P74" s="354"/>
      <c r="Q74" s="756"/>
      <c r="R74" s="627">
        <v>6000</v>
      </c>
      <c r="S74" s="395"/>
      <c r="T74" s="395"/>
      <c r="U74" s="395"/>
      <c r="V74" s="395"/>
      <c r="W74" s="392"/>
      <c r="X74" s="515">
        <f t="shared" si="11"/>
        <v>6000</v>
      </c>
    </row>
    <row r="75" spans="1:25" x14ac:dyDescent="0.3">
      <c r="A75" s="416"/>
      <c r="B75" s="507">
        <v>14</v>
      </c>
      <c r="C75" s="396" t="s">
        <v>57</v>
      </c>
      <c r="D75" s="646" t="s">
        <v>265</v>
      </c>
      <c r="E75" s="482">
        <v>1</v>
      </c>
      <c r="F75" s="420"/>
      <c r="G75" s="482">
        <v>1</v>
      </c>
      <c r="H75" s="482"/>
      <c r="I75" s="482">
        <v>1</v>
      </c>
      <c r="J75" s="482"/>
      <c r="K75" s="482">
        <v>1</v>
      </c>
      <c r="L75" s="482"/>
      <c r="M75" s="354">
        <v>1</v>
      </c>
      <c r="N75" s="420"/>
      <c r="O75" s="482"/>
      <c r="P75" s="609"/>
      <c r="Q75" s="756"/>
      <c r="R75" s="645">
        <v>1550</v>
      </c>
      <c r="S75" s="392">
        <v>300</v>
      </c>
      <c r="T75" s="392">
        <v>250</v>
      </c>
      <c r="U75" s="392"/>
      <c r="V75" s="392"/>
      <c r="W75" s="392"/>
      <c r="X75" s="515">
        <f t="shared" si="11"/>
        <v>2100</v>
      </c>
    </row>
    <row r="76" spans="1:25" x14ac:dyDescent="0.3">
      <c r="A76" s="497"/>
      <c r="B76" s="507">
        <v>214</v>
      </c>
      <c r="C76" s="394" t="s">
        <v>271</v>
      </c>
      <c r="D76" s="397" t="s">
        <v>240</v>
      </c>
      <c r="E76" s="482">
        <v>1</v>
      </c>
      <c r="F76" s="420"/>
      <c r="G76" s="552">
        <v>1</v>
      </c>
      <c r="H76" s="552"/>
      <c r="I76" s="414">
        <v>1</v>
      </c>
      <c r="J76" s="552"/>
      <c r="K76" s="552">
        <v>1</v>
      </c>
      <c r="L76" s="552"/>
      <c r="M76" s="414">
        <v>1</v>
      </c>
      <c r="N76" s="414"/>
      <c r="O76" s="575"/>
      <c r="P76" s="354"/>
      <c r="Q76" s="683"/>
      <c r="R76" s="677">
        <v>1550</v>
      </c>
      <c r="S76" s="586">
        <v>300</v>
      </c>
      <c r="T76" s="548">
        <v>250</v>
      </c>
      <c r="U76" s="395"/>
      <c r="V76" s="395"/>
      <c r="W76" s="392"/>
      <c r="X76" s="515">
        <f t="shared" si="11"/>
        <v>2100</v>
      </c>
    </row>
    <row r="77" spans="1:25" x14ac:dyDescent="0.3">
      <c r="A77" s="497"/>
      <c r="B77" s="507">
        <v>181</v>
      </c>
      <c r="C77" s="394" t="s">
        <v>279</v>
      </c>
      <c r="D77" s="355" t="s">
        <v>265</v>
      </c>
      <c r="E77" s="354">
        <v>1</v>
      </c>
      <c r="F77" s="668"/>
      <c r="G77" s="354">
        <v>1</v>
      </c>
      <c r="H77" s="414"/>
      <c r="I77" s="340">
        <v>1</v>
      </c>
      <c r="J77" s="354"/>
      <c r="K77" s="354">
        <v>1</v>
      </c>
      <c r="L77" s="354"/>
      <c r="M77" s="354">
        <v>1</v>
      </c>
      <c r="N77" s="420"/>
      <c r="O77" s="354"/>
      <c r="P77" s="420"/>
      <c r="Q77" s="683"/>
      <c r="R77" s="478">
        <v>1550</v>
      </c>
      <c r="S77" s="395">
        <v>300</v>
      </c>
      <c r="T77" s="395">
        <v>250</v>
      </c>
      <c r="U77" s="395"/>
      <c r="V77" s="395"/>
      <c r="W77" s="395"/>
      <c r="X77" s="515">
        <f t="shared" si="11"/>
        <v>2100</v>
      </c>
    </row>
    <row r="78" spans="1:25" x14ac:dyDescent="0.3">
      <c r="A78" s="497"/>
      <c r="B78" s="507">
        <v>215</v>
      </c>
      <c r="C78" s="394" t="s">
        <v>272</v>
      </c>
      <c r="D78" s="397" t="s">
        <v>240</v>
      </c>
      <c r="E78" s="354">
        <v>1</v>
      </c>
      <c r="F78" s="668"/>
      <c r="G78" s="354">
        <v>1</v>
      </c>
      <c r="H78" s="668"/>
      <c r="I78" s="789">
        <v>0</v>
      </c>
      <c r="J78" s="761" t="s">
        <v>129</v>
      </c>
      <c r="K78" s="777">
        <v>0</v>
      </c>
      <c r="L78" s="779" t="s">
        <v>132</v>
      </c>
      <c r="M78" s="354">
        <v>1</v>
      </c>
      <c r="N78" s="668"/>
      <c r="O78" s="575"/>
      <c r="P78" s="354"/>
      <c r="Q78" s="683"/>
      <c r="R78" s="677">
        <v>1240</v>
      </c>
      <c r="S78" s="586">
        <v>200</v>
      </c>
      <c r="T78" s="548"/>
      <c r="U78" s="395"/>
      <c r="V78" s="395"/>
      <c r="W78" s="392">
        <v>300</v>
      </c>
      <c r="X78" s="515">
        <f t="shared" si="11"/>
        <v>1740</v>
      </c>
    </row>
    <row r="79" spans="1:25" x14ac:dyDescent="0.3">
      <c r="A79" s="497"/>
      <c r="B79" s="507">
        <v>223</v>
      </c>
      <c r="C79" s="394" t="s">
        <v>280</v>
      </c>
      <c r="D79" s="397" t="s">
        <v>315</v>
      </c>
      <c r="E79" s="594">
        <v>0</v>
      </c>
      <c r="F79" s="761" t="s">
        <v>471</v>
      </c>
      <c r="G79" s="594">
        <v>0</v>
      </c>
      <c r="H79" s="762" t="s">
        <v>471</v>
      </c>
      <c r="I79" s="340">
        <v>1</v>
      </c>
      <c r="J79" s="420"/>
      <c r="K79" s="354">
        <v>1</v>
      </c>
      <c r="L79" s="354"/>
      <c r="M79" s="354">
        <v>1</v>
      </c>
      <c r="N79" s="420"/>
      <c r="O79" s="354"/>
      <c r="P79" s="420"/>
      <c r="Q79" s="683"/>
      <c r="R79" s="478">
        <v>930</v>
      </c>
      <c r="S79" s="395"/>
      <c r="T79" s="395"/>
      <c r="U79" s="395"/>
      <c r="V79" s="395"/>
      <c r="W79" s="395"/>
      <c r="X79" s="515">
        <f t="shared" si="11"/>
        <v>930</v>
      </c>
    </row>
    <row r="80" spans="1:25" ht="13.95" customHeight="1" x14ac:dyDescent="0.3">
      <c r="A80" s="497" t="e">
        <f>#REF!+1</f>
        <v>#REF!</v>
      </c>
      <c r="B80" s="507">
        <v>91</v>
      </c>
      <c r="C80" s="394" t="s">
        <v>94</v>
      </c>
      <c r="D80" s="397" t="s">
        <v>240</v>
      </c>
      <c r="E80" s="640">
        <v>1</v>
      </c>
      <c r="F80" s="668"/>
      <c r="G80" s="640">
        <v>1</v>
      </c>
      <c r="H80" s="668"/>
      <c r="I80" s="640">
        <v>1</v>
      </c>
      <c r="J80" s="668"/>
      <c r="K80" s="789">
        <v>0</v>
      </c>
      <c r="L80" s="761" t="s">
        <v>129</v>
      </c>
      <c r="M80" s="354">
        <v>1</v>
      </c>
      <c r="N80" s="668"/>
      <c r="O80" s="575"/>
      <c r="P80" s="414"/>
      <c r="Q80" s="683"/>
      <c r="R80" s="677">
        <v>1240</v>
      </c>
      <c r="S80" s="586"/>
      <c r="T80" s="548"/>
      <c r="U80" s="395"/>
      <c r="V80" s="395"/>
      <c r="W80" s="392"/>
      <c r="X80" s="515">
        <f t="shared" si="11"/>
        <v>1240</v>
      </c>
      <c r="Y80" s="581"/>
    </row>
    <row r="81" spans="1:50" x14ac:dyDescent="0.3">
      <c r="A81" s="497">
        <f>A79+1</f>
        <v>1</v>
      </c>
      <c r="B81" s="507">
        <v>27</v>
      </c>
      <c r="C81" s="394" t="s">
        <v>39</v>
      </c>
      <c r="D81" s="402" t="s">
        <v>190</v>
      </c>
      <c r="E81" s="414">
        <v>1</v>
      </c>
      <c r="F81" s="420"/>
      <c r="G81" s="419">
        <v>1</v>
      </c>
      <c r="H81" s="552"/>
      <c r="I81" s="414">
        <v>1</v>
      </c>
      <c r="J81" s="552"/>
      <c r="K81" s="419">
        <v>1</v>
      </c>
      <c r="L81" s="552"/>
      <c r="M81" s="354">
        <v>1</v>
      </c>
      <c r="N81" s="668"/>
      <c r="O81" s="354"/>
      <c r="P81" s="414"/>
      <c r="Q81" s="683"/>
      <c r="R81" s="676">
        <v>1550</v>
      </c>
      <c r="S81" s="586">
        <v>300</v>
      </c>
      <c r="T81" s="548">
        <v>250</v>
      </c>
      <c r="U81" s="395">
        <v>200</v>
      </c>
      <c r="V81" s="395"/>
      <c r="W81" s="392"/>
      <c r="X81" s="515">
        <f t="shared" ref="X81:X88" si="12">+R81+S81+T81+U81+V81+W81</f>
        <v>2300</v>
      </c>
    </row>
    <row r="82" spans="1:50" x14ac:dyDescent="0.3">
      <c r="A82" s="618"/>
      <c r="B82" s="507">
        <v>210</v>
      </c>
      <c r="C82" s="394" t="s">
        <v>269</v>
      </c>
      <c r="D82" s="432" t="s">
        <v>263</v>
      </c>
      <c r="E82" s="354">
        <v>1</v>
      </c>
      <c r="F82" s="420"/>
      <c r="G82" s="354">
        <v>1</v>
      </c>
      <c r="H82" s="420"/>
      <c r="I82" s="354">
        <v>1</v>
      </c>
      <c r="J82" s="420"/>
      <c r="K82" s="419">
        <v>1</v>
      </c>
      <c r="L82" s="552"/>
      <c r="M82" s="354">
        <v>1</v>
      </c>
      <c r="N82" s="668"/>
      <c r="O82" s="354"/>
      <c r="P82" s="354"/>
      <c r="Q82" s="683"/>
      <c r="R82" s="676">
        <v>1550</v>
      </c>
      <c r="S82" s="587">
        <v>300</v>
      </c>
      <c r="T82" s="395"/>
      <c r="U82" s="395">
        <v>200</v>
      </c>
      <c r="V82" s="395"/>
      <c r="W82" s="392"/>
      <c r="X82" s="515">
        <f t="shared" si="12"/>
        <v>2050</v>
      </c>
    </row>
    <row r="83" spans="1:50" s="504" customFormat="1" x14ac:dyDescent="0.3">
      <c r="A83" s="738"/>
      <c r="B83" s="672">
        <v>159</v>
      </c>
      <c r="C83" s="394" t="s">
        <v>139</v>
      </c>
      <c r="D83" s="433" t="s">
        <v>189</v>
      </c>
      <c r="E83" s="354">
        <v>1</v>
      </c>
      <c r="F83" s="420"/>
      <c r="G83" s="354">
        <v>1</v>
      </c>
      <c r="H83" s="420"/>
      <c r="I83" s="354">
        <v>1</v>
      </c>
      <c r="J83" s="420"/>
      <c r="K83" s="354">
        <v>1</v>
      </c>
      <c r="L83" s="420"/>
      <c r="M83" s="354">
        <v>1</v>
      </c>
      <c r="N83" s="668"/>
      <c r="O83" s="354"/>
      <c r="P83" s="420"/>
      <c r="Q83" s="683"/>
      <c r="R83" s="627">
        <v>6000</v>
      </c>
      <c r="S83" s="395"/>
      <c r="T83" s="395"/>
      <c r="U83" s="395"/>
      <c r="V83" s="395"/>
      <c r="W83" s="392"/>
      <c r="X83" s="515">
        <f t="shared" si="12"/>
        <v>6000</v>
      </c>
      <c r="Y83" s="579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3">
      <c r="A84" s="497"/>
      <c r="B84" s="507">
        <v>33</v>
      </c>
      <c r="C84" s="394" t="s">
        <v>41</v>
      </c>
      <c r="D84" s="397" t="s">
        <v>191</v>
      </c>
      <c r="E84" s="414">
        <v>1</v>
      </c>
      <c r="F84" s="420"/>
      <c r="G84" s="354">
        <v>1</v>
      </c>
      <c r="H84" s="420"/>
      <c r="I84" s="414">
        <v>1</v>
      </c>
      <c r="J84" s="420"/>
      <c r="K84" s="354">
        <v>1</v>
      </c>
      <c r="L84" s="420"/>
      <c r="M84" s="354">
        <v>1</v>
      </c>
      <c r="N84" s="668"/>
      <c r="O84" s="354"/>
      <c r="P84" s="414"/>
      <c r="Q84" s="683"/>
      <c r="R84" s="677">
        <v>1550</v>
      </c>
      <c r="S84" s="586">
        <v>300</v>
      </c>
      <c r="T84" s="395">
        <v>250</v>
      </c>
      <c r="U84" s="395"/>
      <c r="V84" s="395"/>
      <c r="W84" s="392">
        <v>200</v>
      </c>
      <c r="X84" s="515">
        <f t="shared" si="12"/>
        <v>2300</v>
      </c>
    </row>
    <row r="85" spans="1:50" x14ac:dyDescent="0.3">
      <c r="A85" s="808"/>
      <c r="B85" s="800">
        <v>38</v>
      </c>
      <c r="C85" s="801" t="s">
        <v>618</v>
      </c>
      <c r="D85" s="802"/>
      <c r="E85" s="592"/>
      <c r="F85" s="761"/>
      <c r="G85" s="592"/>
      <c r="H85" s="594"/>
      <c r="I85" s="592"/>
      <c r="J85" s="594"/>
      <c r="K85" s="592"/>
      <c r="L85" s="594"/>
      <c r="M85" s="592"/>
      <c r="N85" s="594"/>
      <c r="O85" s="592"/>
      <c r="P85" s="592"/>
      <c r="Q85" s="803"/>
      <c r="R85" s="807"/>
      <c r="S85" s="805"/>
      <c r="T85" s="805"/>
      <c r="U85" s="805"/>
      <c r="V85" s="805"/>
      <c r="W85" s="805"/>
      <c r="X85" s="806">
        <v>3315</v>
      </c>
      <c r="Y85" s="579" t="s">
        <v>614</v>
      </c>
    </row>
    <row r="86" spans="1:50" x14ac:dyDescent="0.3">
      <c r="A86" s="416"/>
      <c r="B86" s="507">
        <v>231</v>
      </c>
      <c r="C86" s="394" t="s">
        <v>287</v>
      </c>
      <c r="D86" s="397" t="s">
        <v>314</v>
      </c>
      <c r="E86" s="354">
        <v>1</v>
      </c>
      <c r="F86" s="420"/>
      <c r="G86" s="354">
        <v>1</v>
      </c>
      <c r="H86" s="585"/>
      <c r="I86" s="414">
        <v>1</v>
      </c>
      <c r="J86" s="585"/>
      <c r="K86" s="640">
        <v>1</v>
      </c>
      <c r="L86" s="585"/>
      <c r="M86" s="640">
        <v>1</v>
      </c>
      <c r="N86" s="420"/>
      <c r="O86" s="354"/>
      <c r="P86" s="414"/>
      <c r="Q86" s="683"/>
      <c r="R86" s="677">
        <v>1550</v>
      </c>
      <c r="S86" s="586">
        <v>300</v>
      </c>
      <c r="T86" s="395"/>
      <c r="U86" s="395"/>
      <c r="V86" s="395"/>
      <c r="W86" s="392"/>
      <c r="X86" s="515">
        <f t="shared" si="12"/>
        <v>1850</v>
      </c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T86" s="181"/>
      <c r="AU86" s="181"/>
      <c r="AV86" s="181"/>
      <c r="AW86" s="181"/>
      <c r="AX86" s="181"/>
    </row>
    <row r="87" spans="1:50" x14ac:dyDescent="0.3">
      <c r="A87" s="497">
        <f>A91+1</f>
        <v>1</v>
      </c>
      <c r="B87" s="508">
        <v>228</v>
      </c>
      <c r="C87" s="394" t="s">
        <v>285</v>
      </c>
      <c r="D87" s="397" t="s">
        <v>315</v>
      </c>
      <c r="E87" s="354">
        <v>1</v>
      </c>
      <c r="F87" s="668"/>
      <c r="G87" s="354">
        <v>1</v>
      </c>
      <c r="H87" s="420"/>
      <c r="I87" s="354">
        <v>1</v>
      </c>
      <c r="J87" s="420"/>
      <c r="K87" s="354">
        <v>1</v>
      </c>
      <c r="L87" s="420"/>
      <c r="M87" s="789">
        <v>0</v>
      </c>
      <c r="N87" s="594" t="s">
        <v>471</v>
      </c>
      <c r="O87" s="354"/>
      <c r="P87" s="420"/>
      <c r="Q87" s="683"/>
      <c r="R87" s="645">
        <v>1240</v>
      </c>
      <c r="S87" s="392"/>
      <c r="T87" s="392"/>
      <c r="U87" s="392"/>
      <c r="V87" s="392"/>
      <c r="W87" s="392"/>
      <c r="X87" s="515">
        <f t="shared" si="12"/>
        <v>1240</v>
      </c>
    </row>
    <row r="88" spans="1:50" x14ac:dyDescent="0.3">
      <c r="A88" s="416"/>
      <c r="B88" s="507">
        <v>242</v>
      </c>
      <c r="C88" s="394" t="s">
        <v>301</v>
      </c>
      <c r="D88" s="545" t="s">
        <v>189</v>
      </c>
      <c r="E88" s="354">
        <v>1</v>
      </c>
      <c r="F88" s="420"/>
      <c r="G88" s="354">
        <v>1</v>
      </c>
      <c r="H88" s="414"/>
      <c r="I88" s="414">
        <v>1</v>
      </c>
      <c r="J88" s="585"/>
      <c r="K88" s="640">
        <v>1</v>
      </c>
      <c r="L88" s="585"/>
      <c r="M88" s="640">
        <v>1</v>
      </c>
      <c r="N88" s="420"/>
      <c r="O88" s="354"/>
      <c r="P88" s="414"/>
      <c r="Q88" s="683"/>
      <c r="R88" s="627">
        <v>2500</v>
      </c>
      <c r="S88" s="392"/>
      <c r="T88" s="392"/>
      <c r="U88" s="392"/>
      <c r="V88" s="392"/>
      <c r="W88" s="392"/>
      <c r="X88" s="515">
        <f t="shared" si="12"/>
        <v>2500</v>
      </c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</row>
    <row r="89" spans="1:50" ht="13.95" customHeight="1" thickBot="1" x14ac:dyDescent="0.35">
      <c r="A89" s="497"/>
      <c r="B89" s="780">
        <v>204</v>
      </c>
      <c r="C89" s="781" t="s">
        <v>260</v>
      </c>
      <c r="D89" s="782" t="s">
        <v>265</v>
      </c>
      <c r="E89" s="783">
        <v>0</v>
      </c>
      <c r="F89" s="784" t="s">
        <v>167</v>
      </c>
      <c r="G89" s="783">
        <v>0</v>
      </c>
      <c r="H89" s="785" t="s">
        <v>167</v>
      </c>
      <c r="I89" s="783">
        <v>0</v>
      </c>
      <c r="J89" s="793" t="s">
        <v>167</v>
      </c>
      <c r="K89" s="783">
        <v>0</v>
      </c>
      <c r="L89" s="793" t="s">
        <v>167</v>
      </c>
      <c r="M89" s="783">
        <v>0</v>
      </c>
      <c r="N89" s="793" t="s">
        <v>167</v>
      </c>
      <c r="O89" s="783"/>
      <c r="P89" s="793"/>
      <c r="Q89" s="786"/>
      <c r="R89" s="794"/>
      <c r="S89" s="787"/>
      <c r="T89" s="787"/>
      <c r="U89" s="787"/>
      <c r="V89" s="787"/>
      <c r="W89" s="787"/>
      <c r="X89" s="788">
        <v>0</v>
      </c>
    </row>
    <row r="90" spans="1:50" s="427" customFormat="1" x14ac:dyDescent="0.3">
      <c r="A90" s="421"/>
      <c r="B90" s="422"/>
      <c r="C90" s="423"/>
      <c r="D90" s="424"/>
      <c r="E90" s="425">
        <f>SUM(E70:E88)</f>
        <v>15</v>
      </c>
      <c r="F90" s="425"/>
      <c r="G90" s="425">
        <f>SUM(G70:G88)</f>
        <v>15</v>
      </c>
      <c r="H90" s="425"/>
      <c r="I90" s="425">
        <f>SUM(I70:I88)</f>
        <v>15</v>
      </c>
      <c r="J90" s="425"/>
      <c r="K90" s="425">
        <f t="shared" ref="K90:M90" si="13">SUM(K70:K88)</f>
        <v>14</v>
      </c>
      <c r="L90" s="425"/>
      <c r="M90" s="425">
        <f t="shared" si="13"/>
        <v>15</v>
      </c>
      <c r="N90" s="425"/>
      <c r="O90" s="425"/>
      <c r="P90" s="425"/>
      <c r="Q90" s="425"/>
      <c r="R90" s="421">
        <f>SUM(R70:R89)</f>
        <v>37550</v>
      </c>
      <c r="S90" s="421">
        <f t="shared" ref="S90:W90" si="14">SUM(S70:S89)</f>
        <v>2600</v>
      </c>
      <c r="T90" s="421">
        <f t="shared" si="14"/>
        <v>1500</v>
      </c>
      <c r="U90" s="421">
        <f t="shared" si="14"/>
        <v>400</v>
      </c>
      <c r="V90" s="421">
        <f t="shared" si="14"/>
        <v>0</v>
      </c>
      <c r="W90" s="421">
        <f t="shared" si="14"/>
        <v>500</v>
      </c>
      <c r="X90" s="532">
        <f>SUM(X70:X89)</f>
        <v>61075.66</v>
      </c>
      <c r="Y90" s="580"/>
    </row>
    <row r="91" spans="1:50" s="431" customFormat="1" ht="15" thickBot="1" x14ac:dyDescent="0.35">
      <c r="Q91"/>
      <c r="R91"/>
      <c r="X91" s="496">
        <f>F106-X90</f>
        <v>0</v>
      </c>
      <c r="Y91" s="579"/>
      <c r="Z91"/>
      <c r="AA91"/>
      <c r="AB91"/>
      <c r="AC91"/>
      <c r="AD91"/>
      <c r="AE91"/>
      <c r="AF91"/>
    </row>
    <row r="92" spans="1:50" ht="17.399999999999999" thickBot="1" x14ac:dyDescent="0.5">
      <c r="A92" s="443"/>
      <c r="B92" s="444"/>
      <c r="C92" s="444"/>
      <c r="D92" s="445" t="s">
        <v>14</v>
      </c>
      <c r="E92" s="445" t="s">
        <v>208</v>
      </c>
      <c r="F92" s="445" t="s">
        <v>17</v>
      </c>
      <c r="G92" s="446"/>
      <c r="I92" s="8"/>
      <c r="J92" s="91"/>
      <c r="K92" s="42" t="s">
        <v>8</v>
      </c>
      <c r="L92" s="42"/>
      <c r="M92" s="42" t="s">
        <v>9</v>
      </c>
      <c r="N92" s="42"/>
      <c r="O92" s="42" t="s">
        <v>9</v>
      </c>
      <c r="P92" s="42"/>
      <c r="Q92" s="42" t="s">
        <v>10</v>
      </c>
      <c r="R92" s="42"/>
      <c r="S92" s="42" t="s">
        <v>11</v>
      </c>
      <c r="T92" s="42"/>
      <c r="U92" s="42" t="s">
        <v>12</v>
      </c>
      <c r="V92" s="42"/>
    </row>
    <row r="93" spans="1:50" ht="16.2" x14ac:dyDescent="0.4">
      <c r="A93" s="448"/>
      <c r="B93" s="159">
        <v>0</v>
      </c>
      <c r="C93" s="449" t="s">
        <v>214</v>
      </c>
      <c r="D93" s="150">
        <v>0</v>
      </c>
      <c r="E93" s="150">
        <v>0</v>
      </c>
      <c r="F93" s="449">
        <f>D93</f>
        <v>0</v>
      </c>
      <c r="G93" s="450"/>
      <c r="I93" s="516"/>
      <c r="J93" s="96"/>
      <c r="K93" s="517"/>
      <c r="L93" s="517"/>
      <c r="M93" s="517"/>
      <c r="N93" s="517"/>
      <c r="O93" s="517"/>
      <c r="P93" s="517"/>
      <c r="Q93" s="517"/>
      <c r="R93" s="517"/>
      <c r="S93" s="517"/>
      <c r="T93" s="517"/>
      <c r="U93" s="517"/>
      <c r="V93" s="98" t="s">
        <v>28</v>
      </c>
    </row>
    <row r="94" spans="1:50" ht="16.8" x14ac:dyDescent="0.4">
      <c r="A94" s="448"/>
      <c r="B94" s="159">
        <v>2</v>
      </c>
      <c r="C94" s="449" t="s">
        <v>22</v>
      </c>
      <c r="D94" s="150">
        <f>1550*B94</f>
        <v>3100</v>
      </c>
      <c r="E94" s="150">
        <v>0</v>
      </c>
      <c r="F94" s="449">
        <f>D94</f>
        <v>3100</v>
      </c>
      <c r="G94" s="450"/>
      <c r="I94" s="569" t="s">
        <v>242</v>
      </c>
      <c r="J94" s="103"/>
      <c r="K94" s="518">
        <v>0</v>
      </c>
      <c r="L94" s="519"/>
      <c r="M94" s="518">
        <v>0</v>
      </c>
      <c r="N94" s="519"/>
      <c r="O94" s="518">
        <v>0</v>
      </c>
      <c r="P94" s="519"/>
      <c r="Q94" s="518">
        <v>0</v>
      </c>
      <c r="R94" s="519"/>
      <c r="S94" s="518">
        <v>0</v>
      </c>
      <c r="T94" s="519"/>
      <c r="U94" s="518">
        <v>0</v>
      </c>
      <c r="V94" s="106">
        <f>AVERAGE(K94,M94,O94,Q94,S94)</f>
        <v>0</v>
      </c>
    </row>
    <row r="95" spans="1:50" ht="16.8" x14ac:dyDescent="0.4">
      <c r="A95" s="448"/>
      <c r="B95" s="159">
        <v>4</v>
      </c>
      <c r="C95" s="449" t="s">
        <v>30</v>
      </c>
      <c r="D95" s="150">
        <f>2500+6000+6000+6000</f>
        <v>20500</v>
      </c>
      <c r="E95" s="150">
        <v>0</v>
      </c>
      <c r="F95" s="449">
        <f>D95</f>
        <v>20500</v>
      </c>
      <c r="G95" s="450"/>
      <c r="I95" s="569" t="s">
        <v>22</v>
      </c>
      <c r="J95" s="103"/>
      <c r="K95" s="518">
        <v>2</v>
      </c>
      <c r="L95" s="519"/>
      <c r="M95" s="518">
        <v>2</v>
      </c>
      <c r="N95" s="519"/>
      <c r="O95" s="518">
        <v>2</v>
      </c>
      <c r="P95" s="519"/>
      <c r="Q95" s="518">
        <v>2</v>
      </c>
      <c r="R95" s="519"/>
      <c r="S95" s="518">
        <v>2</v>
      </c>
      <c r="T95" s="519"/>
      <c r="U95" s="518">
        <v>0</v>
      </c>
      <c r="V95" s="106">
        <f t="shared" ref="V95:V97" si="15">AVERAGE(K95,M95,O95,Q95,S95)</f>
        <v>2</v>
      </c>
    </row>
    <row r="96" spans="1:50" ht="16.8" x14ac:dyDescent="0.4">
      <c r="A96" s="448"/>
      <c r="B96" s="68">
        <v>9</v>
      </c>
      <c r="C96" s="449" t="s">
        <v>32</v>
      </c>
      <c r="D96" s="150">
        <f>1550*B96</f>
        <v>13950</v>
      </c>
      <c r="E96" s="150">
        <v>0</v>
      </c>
      <c r="F96" s="449">
        <f>D96</f>
        <v>13950</v>
      </c>
      <c r="G96" s="453"/>
      <c r="I96" s="569" t="s">
        <v>30</v>
      </c>
      <c r="J96" s="103"/>
      <c r="K96" s="518">
        <v>4</v>
      </c>
      <c r="L96" s="519"/>
      <c r="M96" s="518">
        <v>4</v>
      </c>
      <c r="N96" s="519"/>
      <c r="O96" s="518">
        <v>4</v>
      </c>
      <c r="P96" s="519"/>
      <c r="Q96" s="518">
        <v>4</v>
      </c>
      <c r="R96" s="519"/>
      <c r="S96" s="518">
        <v>4</v>
      </c>
      <c r="T96" s="519"/>
      <c r="U96" s="518">
        <v>0</v>
      </c>
      <c r="V96" s="106">
        <f t="shared" si="15"/>
        <v>4</v>
      </c>
    </row>
    <row r="97" spans="1:24" ht="16.8" x14ac:dyDescent="0.45">
      <c r="A97" s="454"/>
      <c r="B97" s="455">
        <f>SUM(B93:B96)</f>
        <v>15</v>
      </c>
      <c r="C97" s="150"/>
      <c r="D97" s="456"/>
      <c r="E97" s="456"/>
      <c r="F97" s="457">
        <f>SUM(F93:F96)</f>
        <v>37550</v>
      </c>
      <c r="G97" s="453"/>
      <c r="I97" s="569" t="s">
        <v>32</v>
      </c>
      <c r="J97" s="103"/>
      <c r="K97" s="518">
        <v>9</v>
      </c>
      <c r="L97" s="519"/>
      <c r="M97" s="518">
        <v>9</v>
      </c>
      <c r="N97" s="519"/>
      <c r="O97" s="518">
        <v>9</v>
      </c>
      <c r="P97" s="519"/>
      <c r="Q97" s="518">
        <v>8</v>
      </c>
      <c r="R97" s="519"/>
      <c r="S97" s="518">
        <v>9</v>
      </c>
      <c r="T97" s="519"/>
      <c r="U97" s="518">
        <v>0</v>
      </c>
      <c r="V97" s="106">
        <f t="shared" si="15"/>
        <v>8.8000000000000007</v>
      </c>
    </row>
    <row r="98" spans="1:24" ht="19.8" thickBot="1" x14ac:dyDescent="0.5">
      <c r="A98" s="454"/>
      <c r="B98" s="456"/>
      <c r="C98" s="150"/>
      <c r="D98" s="459"/>
      <c r="E98" s="460" t="s">
        <v>7</v>
      </c>
      <c r="F98" s="457">
        <f>+S90</f>
        <v>2600</v>
      </c>
      <c r="G98" s="461"/>
      <c r="I98" s="572"/>
      <c r="J98" s="573"/>
      <c r="K98" s="574">
        <f>SUM(K94:K97)</f>
        <v>15</v>
      </c>
      <c r="L98" s="574"/>
      <c r="M98" s="574">
        <f t="shared" ref="M98" si="16">SUM(M94:M97)</f>
        <v>15</v>
      </c>
      <c r="N98" s="574"/>
      <c r="O98" s="574">
        <f t="shared" ref="O98" si="17">SUM(O94:O97)</f>
        <v>15</v>
      </c>
      <c r="P98" s="574"/>
      <c r="Q98" s="574">
        <f t="shared" ref="Q98" si="18">SUM(Q94:Q97)</f>
        <v>14</v>
      </c>
      <c r="R98" s="574"/>
      <c r="S98" s="574">
        <f t="shared" ref="S98" si="19">SUM(S94:S97)</f>
        <v>15</v>
      </c>
      <c r="T98" s="574"/>
      <c r="U98" s="574">
        <f t="shared" ref="U98" si="20">SUM(U94:U97)</f>
        <v>0</v>
      </c>
      <c r="V98" s="621">
        <f>AVERAGE(K98,M98,O98,Q98,S98)</f>
        <v>14.8</v>
      </c>
    </row>
    <row r="99" spans="1:24" ht="16.8" x14ac:dyDescent="0.45">
      <c r="A99" s="454"/>
      <c r="B99" s="456"/>
      <c r="C99" s="150"/>
      <c r="D99" s="68"/>
      <c r="E99" s="460" t="s">
        <v>209</v>
      </c>
      <c r="F99" s="457">
        <f>+T90</f>
        <v>1500</v>
      </c>
      <c r="G99" s="461"/>
      <c r="I99" s="391"/>
      <c r="L99" s="431"/>
      <c r="M99" s="431"/>
      <c r="N99" s="431"/>
      <c r="O99" s="431"/>
      <c r="P99" s="431"/>
      <c r="S99" s="431"/>
      <c r="T99" s="431"/>
      <c r="U99" s="431"/>
      <c r="V99" s="431"/>
    </row>
    <row r="100" spans="1:24" ht="16.8" x14ac:dyDescent="0.45">
      <c r="A100" s="454"/>
      <c r="B100" s="456"/>
      <c r="C100" s="150"/>
      <c r="D100" s="68"/>
      <c r="E100" s="460" t="s">
        <v>215</v>
      </c>
      <c r="F100" s="457">
        <f>U90</f>
        <v>400</v>
      </c>
      <c r="G100" s="461"/>
      <c r="I100" s="391"/>
      <c r="L100" s="431"/>
      <c r="M100" s="431"/>
      <c r="N100" s="431"/>
      <c r="O100" s="431"/>
      <c r="P100" s="431"/>
      <c r="S100" s="431"/>
      <c r="T100" s="431"/>
      <c r="U100" s="431"/>
      <c r="V100" s="431"/>
    </row>
    <row r="101" spans="1:24" ht="16.8" x14ac:dyDescent="0.45">
      <c r="A101" s="454"/>
      <c r="B101" s="456"/>
      <c r="C101" s="150"/>
      <c r="D101" s="68"/>
      <c r="E101" s="460" t="s">
        <v>316</v>
      </c>
      <c r="F101" s="457">
        <f>W90</f>
        <v>500</v>
      </c>
      <c r="G101" s="461"/>
      <c r="I101" s="391"/>
      <c r="L101" s="431"/>
      <c r="M101" s="431"/>
      <c r="N101" s="431"/>
      <c r="O101" s="431"/>
      <c r="P101" s="431"/>
      <c r="S101" s="431"/>
      <c r="T101" s="431"/>
      <c r="U101" s="431"/>
      <c r="V101" s="431"/>
    </row>
    <row r="102" spans="1:24" ht="25.2" x14ac:dyDescent="0.45">
      <c r="A102" s="454"/>
      <c r="B102" s="456"/>
      <c r="C102" s="150"/>
      <c r="D102" s="68"/>
      <c r="E102" s="460" t="s">
        <v>615</v>
      </c>
      <c r="F102" s="457">
        <v>10000</v>
      </c>
      <c r="G102" s="461"/>
      <c r="I102" s="391"/>
      <c r="L102" s="431"/>
      <c r="M102" s="431"/>
      <c r="N102" s="431"/>
      <c r="O102" s="431"/>
      <c r="P102" s="431"/>
      <c r="S102" s="431"/>
      <c r="T102" s="431"/>
      <c r="U102" s="431"/>
      <c r="V102" s="431"/>
    </row>
    <row r="103" spans="1:24" ht="25.2" x14ac:dyDescent="0.45">
      <c r="A103" s="454"/>
      <c r="B103" s="456"/>
      <c r="C103" s="150"/>
      <c r="D103" s="68"/>
      <c r="E103" s="460" t="s">
        <v>616</v>
      </c>
      <c r="F103" s="457">
        <v>5210.66</v>
      </c>
      <c r="G103" s="461"/>
      <c r="I103" s="391"/>
      <c r="L103" s="431"/>
      <c r="M103" s="431"/>
      <c r="N103" s="431"/>
      <c r="O103" s="431"/>
      <c r="P103" s="431"/>
      <c r="S103" s="431"/>
      <c r="T103" s="431"/>
      <c r="U103" s="431"/>
      <c r="V103" s="431"/>
    </row>
    <row r="104" spans="1:24" ht="16.8" x14ac:dyDescent="0.45">
      <c r="A104" s="454"/>
      <c r="B104" s="456"/>
      <c r="C104" s="150"/>
      <c r="D104" s="68"/>
      <c r="E104" s="460" t="s">
        <v>619</v>
      </c>
      <c r="F104" s="457">
        <v>3315</v>
      </c>
      <c r="G104" s="461"/>
      <c r="I104" s="391"/>
      <c r="L104" s="431"/>
      <c r="M104" s="431"/>
      <c r="N104" s="431"/>
      <c r="O104" s="431"/>
      <c r="P104" s="431"/>
      <c r="S104" s="431"/>
      <c r="T104" s="431"/>
      <c r="U104" s="431"/>
      <c r="V104" s="431"/>
    </row>
    <row r="105" spans="1:24" ht="16.8" x14ac:dyDescent="0.45">
      <c r="A105" s="454"/>
      <c r="B105" s="456"/>
      <c r="C105" s="150"/>
      <c r="D105" s="68"/>
      <c r="E105" s="460"/>
      <c r="F105" s="457"/>
      <c r="G105" s="461"/>
      <c r="I105" s="391"/>
      <c r="L105" s="431"/>
      <c r="M105" s="431"/>
      <c r="N105" s="431"/>
      <c r="O105" s="431"/>
      <c r="P105" s="431"/>
      <c r="S105" s="431"/>
      <c r="T105" s="431"/>
      <c r="U105" s="431"/>
      <c r="V105" s="431"/>
    </row>
    <row r="106" spans="1:24" ht="16.2" x14ac:dyDescent="0.4">
      <c r="A106" s="454"/>
      <c r="B106" s="456"/>
      <c r="C106" s="150"/>
      <c r="D106" s="456"/>
      <c r="E106" s="456"/>
      <c r="F106" s="463">
        <f>SUM(F97:F104)</f>
        <v>61075.66</v>
      </c>
      <c r="G106" s="453"/>
      <c r="I106" s="391"/>
      <c r="L106" s="431"/>
      <c r="M106" s="431"/>
      <c r="N106" s="431"/>
      <c r="O106" s="431"/>
      <c r="P106" s="431"/>
      <c r="S106" s="431"/>
      <c r="T106" s="431"/>
      <c r="U106" s="431"/>
      <c r="V106" s="431"/>
    </row>
    <row r="107" spans="1:24" ht="16.8" thickBot="1" x14ac:dyDescent="0.45">
      <c r="A107" s="464"/>
      <c r="B107" s="465"/>
      <c r="C107" s="466"/>
      <c r="D107" s="467"/>
      <c r="E107" s="467"/>
      <c r="F107" s="467"/>
      <c r="G107" s="468"/>
      <c r="I107" s="391"/>
      <c r="S107" s="431"/>
      <c r="T107" s="431"/>
      <c r="U107" s="431"/>
      <c r="V107" s="431"/>
    </row>
    <row r="108" spans="1:24" ht="15" thickBot="1" x14ac:dyDescent="0.35">
      <c r="A108" s="431"/>
      <c r="B108" s="431"/>
      <c r="C108" s="431"/>
      <c r="D108" s="431"/>
      <c r="E108" s="431"/>
      <c r="F108" s="431"/>
      <c r="G108" s="431"/>
      <c r="H108" s="431"/>
      <c r="I108" s="431"/>
      <c r="J108" s="431"/>
      <c r="K108" s="431"/>
      <c r="L108" s="431"/>
      <c r="M108" s="431"/>
      <c r="N108" s="431"/>
      <c r="O108" s="431"/>
      <c r="P108" s="431"/>
    </row>
    <row r="109" spans="1:24" ht="53.25" customHeight="1" x14ac:dyDescent="0.4">
      <c r="B109" s="856" t="str">
        <f>+B1</f>
        <v>SEMANA DEL 09 AL 15  DE DICIEMBRE DEL 2024</v>
      </c>
      <c r="C109" s="857"/>
      <c r="D109" s="857"/>
      <c r="E109" s="857"/>
      <c r="F109" s="857"/>
      <c r="G109" s="857"/>
      <c r="H109" s="857"/>
      <c r="I109" s="857"/>
      <c r="J109" s="857"/>
      <c r="K109" s="857"/>
      <c r="L109" s="857"/>
      <c r="M109" s="857"/>
      <c r="N109" s="857"/>
      <c r="O109" s="857"/>
      <c r="P109" s="857"/>
      <c r="Q109" s="858"/>
    </row>
    <row r="110" spans="1:24" ht="27" customHeight="1" x14ac:dyDescent="0.4">
      <c r="A110" s="393"/>
      <c r="B110" s="870" t="s">
        <v>194</v>
      </c>
      <c r="C110" s="871"/>
      <c r="D110" s="871"/>
      <c r="E110" s="871"/>
      <c r="F110" s="871"/>
      <c r="G110" s="871"/>
      <c r="H110" s="871"/>
      <c r="I110" s="871"/>
      <c r="J110" s="871"/>
      <c r="K110" s="871"/>
      <c r="L110" s="871"/>
      <c r="M110" s="871"/>
      <c r="N110" s="871"/>
      <c r="O110" s="871"/>
      <c r="P110" s="871"/>
      <c r="Q110" s="872"/>
    </row>
    <row r="111" spans="1:24" ht="15" thickBot="1" x14ac:dyDescent="0.35">
      <c r="A111" s="393"/>
      <c r="B111" s="859" t="s">
        <v>195</v>
      </c>
      <c r="C111" s="860"/>
      <c r="D111" s="860"/>
      <c r="E111" s="860"/>
      <c r="F111" s="860"/>
      <c r="G111" s="860"/>
      <c r="H111" s="860"/>
      <c r="I111" s="860"/>
      <c r="J111" s="860"/>
      <c r="K111" s="860"/>
      <c r="L111" s="860"/>
      <c r="M111" s="860"/>
      <c r="N111" s="860"/>
      <c r="O111" s="860"/>
      <c r="P111" s="860"/>
      <c r="Q111" s="873"/>
    </row>
    <row r="112" spans="1:24" ht="15" customHeight="1" x14ac:dyDescent="0.3">
      <c r="A112" s="393"/>
      <c r="B112" s="555" t="s">
        <v>185</v>
      </c>
      <c r="C112" s="712"/>
      <c r="D112" s="712"/>
      <c r="E112" s="712"/>
      <c r="F112" s="712"/>
      <c r="G112" s="712"/>
      <c r="H112" s="712"/>
      <c r="I112" s="712"/>
      <c r="J112" s="712"/>
      <c r="K112" s="712"/>
      <c r="L112" s="712"/>
      <c r="M112" s="712"/>
      <c r="N112" s="712"/>
      <c r="O112" s="712"/>
      <c r="P112" s="712"/>
      <c r="Q112" s="556"/>
      <c r="R112" s="874" t="s">
        <v>202</v>
      </c>
      <c r="S112" s="868" t="s">
        <v>203</v>
      </c>
      <c r="T112" s="868" t="s">
        <v>204</v>
      </c>
      <c r="U112" s="868" t="s">
        <v>248</v>
      </c>
      <c r="V112" s="868" t="s">
        <v>243</v>
      </c>
      <c r="W112" s="868" t="s">
        <v>212</v>
      </c>
      <c r="X112" s="885" t="s">
        <v>205</v>
      </c>
    </row>
    <row r="113" spans="1:50" ht="12" customHeight="1" x14ac:dyDescent="0.3">
      <c r="A113" s="393"/>
      <c r="B113" s="499" t="s">
        <v>186</v>
      </c>
      <c r="C113" s="500" t="s">
        <v>135</v>
      </c>
      <c r="D113" s="500" t="s">
        <v>136</v>
      </c>
      <c r="E113" s="501" t="s">
        <v>8</v>
      </c>
      <c r="F113" s="501"/>
      <c r="G113" s="501" t="s">
        <v>9</v>
      </c>
      <c r="H113" s="501"/>
      <c r="I113" s="501" t="s">
        <v>9</v>
      </c>
      <c r="J113" s="501"/>
      <c r="K113" s="501" t="s">
        <v>10</v>
      </c>
      <c r="L113" s="501"/>
      <c r="M113" s="501" t="s">
        <v>11</v>
      </c>
      <c r="N113" s="501"/>
      <c r="O113" s="501" t="s">
        <v>12</v>
      </c>
      <c r="P113" s="501"/>
      <c r="Q113" s="502" t="s">
        <v>187</v>
      </c>
      <c r="R113" s="875"/>
      <c r="S113" s="869"/>
      <c r="T113" s="869"/>
      <c r="U113" s="869" t="s">
        <v>210</v>
      </c>
      <c r="V113" s="869"/>
      <c r="W113" s="869"/>
      <c r="X113" s="886"/>
    </row>
    <row r="114" spans="1:50" x14ac:dyDescent="0.3">
      <c r="A114" s="416">
        <v>2</v>
      </c>
      <c r="B114" s="508">
        <v>166</v>
      </c>
      <c r="C114" s="394" t="s">
        <v>152</v>
      </c>
      <c r="D114" s="544" t="s">
        <v>234</v>
      </c>
      <c r="E114" s="354">
        <v>1</v>
      </c>
      <c r="F114" s="420"/>
      <c r="G114" s="354">
        <v>1</v>
      </c>
      <c r="H114" s="354"/>
      <c r="I114" s="354">
        <v>1</v>
      </c>
      <c r="J114" s="401"/>
      <c r="K114" s="414">
        <v>1</v>
      </c>
      <c r="L114" s="354"/>
      <c r="M114" s="354">
        <v>1</v>
      </c>
      <c r="N114" s="420"/>
      <c r="O114" s="354"/>
      <c r="P114" s="354"/>
      <c r="Q114" s="473"/>
      <c r="R114" s="478">
        <v>1550</v>
      </c>
      <c r="S114" s="587">
        <v>300</v>
      </c>
      <c r="T114" s="395">
        <v>150</v>
      </c>
      <c r="U114" s="395"/>
      <c r="V114" s="395"/>
      <c r="W114" s="395"/>
      <c r="X114" s="531">
        <f t="shared" ref="X114:X120" si="21">(R114+S114+T114+U114+V114+W114)</f>
        <v>2000</v>
      </c>
    </row>
    <row r="115" spans="1:50" x14ac:dyDescent="0.3">
      <c r="A115" s="416">
        <v>3</v>
      </c>
      <c r="B115" s="508">
        <v>58</v>
      </c>
      <c r="C115" s="396" t="s">
        <v>81</v>
      </c>
      <c r="D115" s="433" t="s">
        <v>189</v>
      </c>
      <c r="E115" s="354">
        <v>1</v>
      </c>
      <c r="F115" s="420"/>
      <c r="G115" s="354">
        <v>1</v>
      </c>
      <c r="H115" s="354"/>
      <c r="I115" s="354">
        <v>1</v>
      </c>
      <c r="J115" s="354"/>
      <c r="K115" s="414">
        <v>1</v>
      </c>
      <c r="L115" s="585"/>
      <c r="M115" s="354">
        <v>1</v>
      </c>
      <c r="N115" s="420"/>
      <c r="O115" s="354"/>
      <c r="P115" s="354"/>
      <c r="Q115" s="473"/>
      <c r="R115" s="491">
        <v>7000</v>
      </c>
      <c r="S115" s="395"/>
      <c r="T115" s="395"/>
      <c r="U115" s="392"/>
      <c r="V115" s="395"/>
      <c r="W115" s="395"/>
      <c r="X115" s="531">
        <f t="shared" si="21"/>
        <v>7000</v>
      </c>
    </row>
    <row r="116" spans="1:50" s="417" customFormat="1" x14ac:dyDescent="0.3">
      <c r="A116" s="416">
        <v>4</v>
      </c>
      <c r="B116" s="507">
        <v>19</v>
      </c>
      <c r="C116" s="394" t="s">
        <v>49</v>
      </c>
      <c r="D116" s="546" t="s">
        <v>189</v>
      </c>
      <c r="E116" s="354">
        <v>1</v>
      </c>
      <c r="F116" s="420"/>
      <c r="G116" s="354">
        <v>1</v>
      </c>
      <c r="H116" s="420"/>
      <c r="I116" s="354">
        <v>1</v>
      </c>
      <c r="J116" s="420"/>
      <c r="K116" s="414">
        <v>1</v>
      </c>
      <c r="L116" s="420"/>
      <c r="M116" s="776">
        <v>1</v>
      </c>
      <c r="N116" s="775" t="s">
        <v>239</v>
      </c>
      <c r="O116" s="354"/>
      <c r="P116" s="354"/>
      <c r="Q116" s="473"/>
      <c r="R116" s="477">
        <v>1700</v>
      </c>
      <c r="S116" s="587">
        <v>300</v>
      </c>
      <c r="T116" s="395"/>
      <c r="U116" s="395">
        <v>200</v>
      </c>
      <c r="V116" s="395"/>
      <c r="W116" s="395"/>
      <c r="X116" s="531">
        <f t="shared" si="21"/>
        <v>2200</v>
      </c>
      <c r="Y116" s="579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0" x14ac:dyDescent="0.3">
      <c r="B117" s="510">
        <v>195</v>
      </c>
      <c r="C117" s="394" t="s">
        <v>281</v>
      </c>
      <c r="D117" s="598" t="s">
        <v>140</v>
      </c>
      <c r="E117" s="354">
        <v>1</v>
      </c>
      <c r="F117" s="420"/>
      <c r="G117" s="592">
        <v>0</v>
      </c>
      <c r="H117" s="594" t="s">
        <v>129</v>
      </c>
      <c r="I117" s="354">
        <v>1</v>
      </c>
      <c r="J117" s="420"/>
      <c r="K117" s="414">
        <v>1</v>
      </c>
      <c r="L117" s="420"/>
      <c r="M117" s="354">
        <v>1</v>
      </c>
      <c r="N117" s="420"/>
      <c r="O117" s="354"/>
      <c r="P117" s="420"/>
      <c r="Q117" s="473"/>
      <c r="R117" s="478">
        <v>1240</v>
      </c>
      <c r="S117" s="587"/>
      <c r="T117" s="395"/>
      <c r="U117" s="395"/>
      <c r="V117" s="395"/>
      <c r="W117" s="395"/>
      <c r="X117" s="515">
        <f t="shared" si="21"/>
        <v>1240</v>
      </c>
      <c r="Y117" s="579">
        <v>-310</v>
      </c>
    </row>
    <row r="118" spans="1:50" x14ac:dyDescent="0.3">
      <c r="A118" s="416">
        <v>5</v>
      </c>
      <c r="B118" s="508">
        <v>39</v>
      </c>
      <c r="C118" s="394" t="s">
        <v>50</v>
      </c>
      <c r="D118" s="547" t="s">
        <v>250</v>
      </c>
      <c r="E118" s="354">
        <v>1</v>
      </c>
      <c r="F118" s="640"/>
      <c r="G118" s="354">
        <v>1</v>
      </c>
      <c r="H118" s="640"/>
      <c r="I118" s="354">
        <v>1</v>
      </c>
      <c r="J118" s="420"/>
      <c r="K118" s="414">
        <v>1</v>
      </c>
      <c r="L118" s="420"/>
      <c r="M118" s="354">
        <v>1</v>
      </c>
      <c r="N118" s="420"/>
      <c r="O118" s="354"/>
      <c r="P118" s="354"/>
      <c r="Q118" s="473"/>
      <c r="R118" s="484">
        <v>1600</v>
      </c>
      <c r="S118" s="587">
        <v>300</v>
      </c>
      <c r="T118" s="395">
        <v>150</v>
      </c>
      <c r="U118" s="395">
        <v>200</v>
      </c>
      <c r="V118" s="395"/>
      <c r="W118" s="395"/>
      <c r="X118" s="531">
        <f t="shared" si="21"/>
        <v>2250</v>
      </c>
    </row>
    <row r="119" spans="1:50" x14ac:dyDescent="0.3">
      <c r="A119" s="416">
        <v>6</v>
      </c>
      <c r="B119" s="508">
        <v>64</v>
      </c>
      <c r="C119" s="394" t="s">
        <v>90</v>
      </c>
      <c r="D119" s="544" t="s">
        <v>235</v>
      </c>
      <c r="E119" s="354">
        <v>1</v>
      </c>
      <c r="F119" s="420"/>
      <c r="G119" s="354">
        <v>1</v>
      </c>
      <c r="H119" s="420"/>
      <c r="I119" s="419">
        <v>1</v>
      </c>
      <c r="J119" s="420"/>
      <c r="K119" s="790">
        <v>1</v>
      </c>
      <c r="L119" s="775" t="s">
        <v>239</v>
      </c>
      <c r="M119" s="354">
        <v>1</v>
      </c>
      <c r="N119" s="420"/>
      <c r="O119" s="354"/>
      <c r="P119" s="420"/>
      <c r="Q119" s="473"/>
      <c r="R119" s="478">
        <v>1550</v>
      </c>
      <c r="S119" s="587">
        <v>300</v>
      </c>
      <c r="T119" s="395"/>
      <c r="U119" s="395"/>
      <c r="V119" s="395"/>
      <c r="W119" s="395"/>
      <c r="X119" s="531">
        <f t="shared" si="21"/>
        <v>1850</v>
      </c>
    </row>
    <row r="120" spans="1:50" s="417" customFormat="1" ht="16.5" customHeight="1" thickBot="1" x14ac:dyDescent="0.35">
      <c r="A120" s="416">
        <v>7</v>
      </c>
      <c r="B120" s="509">
        <v>141</v>
      </c>
      <c r="C120" s="485" t="s">
        <v>120</v>
      </c>
      <c r="D120" s="595" t="s">
        <v>236</v>
      </c>
      <c r="E120" s="486">
        <v>1</v>
      </c>
      <c r="F120" s="578"/>
      <c r="G120" s="486">
        <v>1</v>
      </c>
      <c r="H120" s="486"/>
      <c r="I120" s="486">
        <v>1</v>
      </c>
      <c r="J120" s="486"/>
      <c r="K120" s="722">
        <v>1</v>
      </c>
      <c r="L120" s="486"/>
      <c r="M120" s="486">
        <v>1</v>
      </c>
      <c r="N120" s="578"/>
      <c r="O120" s="486"/>
      <c r="P120" s="486"/>
      <c r="Q120" s="487"/>
      <c r="R120" s="488">
        <v>1550</v>
      </c>
      <c r="S120" s="589">
        <v>300</v>
      </c>
      <c r="T120" s="474">
        <v>150</v>
      </c>
      <c r="U120" s="474"/>
      <c r="V120" s="474"/>
      <c r="W120" s="474"/>
      <c r="X120" s="596">
        <f t="shared" si="21"/>
        <v>2000</v>
      </c>
      <c r="Y120" s="579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0" s="427" customFormat="1" x14ac:dyDescent="0.3">
      <c r="A121" s="421"/>
      <c r="B121" s="422"/>
      <c r="C121" s="423"/>
      <c r="D121" s="424"/>
      <c r="E121" s="425">
        <f>SUM(E114:E120)</f>
        <v>7</v>
      </c>
      <c r="F121" s="425"/>
      <c r="G121" s="425">
        <f>SUM(G114:G120)</f>
        <v>6</v>
      </c>
      <c r="H121" s="425"/>
      <c r="I121" s="425">
        <f>SUM(I114:I120)</f>
        <v>7</v>
      </c>
      <c r="J121" s="425"/>
      <c r="K121" s="425">
        <f>SUM(K114:K120)</f>
        <v>7</v>
      </c>
      <c r="L121" s="425"/>
      <c r="M121" s="425">
        <f>SUM(M114:M120)</f>
        <v>7</v>
      </c>
      <c r="N121" s="425"/>
      <c r="O121" s="425"/>
      <c r="P121" s="425"/>
      <c r="Q121" s="425"/>
      <c r="R121" s="421"/>
      <c r="S121" s="421">
        <f>SUM(S114:S120)</f>
        <v>1500</v>
      </c>
      <c r="T121" s="421">
        <f>SUM(T114:T120)</f>
        <v>450</v>
      </c>
      <c r="U121" s="421">
        <f>SUM(U114:U120)</f>
        <v>400</v>
      </c>
      <c r="V121" s="421">
        <f>SUM(V114:V120)</f>
        <v>0</v>
      </c>
      <c r="W121" s="421">
        <f>SUM(W114:W120)</f>
        <v>0</v>
      </c>
      <c r="X121" s="532">
        <f>SUM(X114:X120)-Y117</f>
        <v>18850</v>
      </c>
      <c r="Y121" s="580"/>
    </row>
    <row r="122" spans="1:50" ht="15" thickBot="1" x14ac:dyDescent="0.35">
      <c r="A122" s="431"/>
      <c r="B122" s="431"/>
      <c r="C122" s="431"/>
      <c r="D122" s="431"/>
      <c r="E122" s="431"/>
      <c r="F122" s="431"/>
      <c r="G122" s="431"/>
      <c r="H122" s="431"/>
      <c r="I122" s="431"/>
      <c r="J122" s="431"/>
      <c r="K122" s="431"/>
      <c r="L122" s="431"/>
      <c r="M122" s="431"/>
      <c r="N122" s="431"/>
      <c r="O122" s="431"/>
      <c r="P122" s="431"/>
      <c r="S122" s="431"/>
      <c r="T122" s="431"/>
      <c r="U122" s="431"/>
      <c r="V122" s="431"/>
    </row>
    <row r="123" spans="1:50" ht="17.399999999999999" thickBot="1" x14ac:dyDescent="0.5">
      <c r="A123" s="443"/>
      <c r="B123" s="444"/>
      <c r="C123" s="444"/>
      <c r="D123" s="445" t="s">
        <v>14</v>
      </c>
      <c r="E123" s="445" t="s">
        <v>208</v>
      </c>
      <c r="F123" s="445" t="s">
        <v>17</v>
      </c>
      <c r="G123" s="446"/>
      <c r="I123" s="8"/>
      <c r="J123" s="91"/>
      <c r="K123" s="42" t="s">
        <v>8</v>
      </c>
      <c r="L123" s="42"/>
      <c r="M123" s="42" t="s">
        <v>9</v>
      </c>
      <c r="N123" s="42"/>
      <c r="O123" s="42" t="s">
        <v>9</v>
      </c>
      <c r="P123" s="42"/>
      <c r="Q123" s="42" t="s">
        <v>10</v>
      </c>
      <c r="R123" s="42"/>
      <c r="S123" s="42" t="s">
        <v>11</v>
      </c>
      <c r="T123" s="42"/>
      <c r="U123" s="42" t="s">
        <v>12</v>
      </c>
      <c r="V123" s="42"/>
      <c r="X123" s="470">
        <f>F133-X121</f>
        <v>0</v>
      </c>
    </row>
    <row r="124" spans="1:50" ht="24.75" customHeight="1" x14ac:dyDescent="0.4">
      <c r="A124" s="448"/>
      <c r="B124" s="68">
        <v>2</v>
      </c>
      <c r="C124" s="449" t="s">
        <v>30</v>
      </c>
      <c r="D124" s="150">
        <f>7000+1700</f>
        <v>8700</v>
      </c>
      <c r="E124" s="150">
        <v>0</v>
      </c>
      <c r="F124" s="449">
        <f>+D124</f>
        <v>8700</v>
      </c>
      <c r="G124" s="453"/>
      <c r="I124" s="516"/>
      <c r="J124" s="96"/>
      <c r="K124" s="517"/>
      <c r="L124" s="517"/>
      <c r="M124" s="517"/>
      <c r="N124" s="517"/>
      <c r="O124" s="517"/>
      <c r="P124" s="517"/>
      <c r="Q124" s="517"/>
      <c r="R124" s="517"/>
      <c r="S124" s="517"/>
      <c r="T124" s="517"/>
      <c r="U124" s="517"/>
      <c r="V124" s="98" t="s">
        <v>28</v>
      </c>
      <c r="Z124" s="470"/>
    </row>
    <row r="125" spans="1:50" ht="16.2" x14ac:dyDescent="0.4">
      <c r="A125" s="448"/>
      <c r="B125" s="68">
        <v>4</v>
      </c>
      <c r="C125" s="449" t="s">
        <v>32</v>
      </c>
      <c r="D125" s="150">
        <f>1550*B125</f>
        <v>6200</v>
      </c>
      <c r="E125" s="150">
        <v>0</v>
      </c>
      <c r="F125" s="449">
        <f>D125</f>
        <v>6200</v>
      </c>
      <c r="G125" s="453"/>
      <c r="I125" s="569" t="s">
        <v>29</v>
      </c>
      <c r="J125" s="103"/>
      <c r="K125" s="518">
        <v>0</v>
      </c>
      <c r="L125" s="519"/>
      <c r="M125" s="518">
        <v>0</v>
      </c>
      <c r="N125" s="519"/>
      <c r="O125" s="518">
        <v>0</v>
      </c>
      <c r="P125" s="519"/>
      <c r="Q125" s="518">
        <v>0</v>
      </c>
      <c r="R125" s="519"/>
      <c r="S125" s="518">
        <v>0</v>
      </c>
      <c r="T125" s="519"/>
      <c r="U125" s="518">
        <v>0</v>
      </c>
      <c r="V125" s="106">
        <f>AVERAGE(K125,M125,O125,Q125,S125)</f>
        <v>0</v>
      </c>
    </row>
    <row r="126" spans="1:50" ht="16.8" x14ac:dyDescent="0.4">
      <c r="A126" s="448"/>
      <c r="B126" s="68">
        <v>1</v>
      </c>
      <c r="C126" s="449" t="s">
        <v>22</v>
      </c>
      <c r="D126" s="150">
        <f>1600</f>
        <v>1600</v>
      </c>
      <c r="E126" s="150">
        <v>0</v>
      </c>
      <c r="F126" s="449">
        <f>D126</f>
        <v>1600</v>
      </c>
      <c r="G126" s="453"/>
      <c r="I126" s="569" t="s">
        <v>22</v>
      </c>
      <c r="J126" s="103"/>
      <c r="K126" s="518">
        <v>1</v>
      </c>
      <c r="L126" s="519"/>
      <c r="M126" s="518">
        <v>1</v>
      </c>
      <c r="N126" s="519"/>
      <c r="O126" s="518">
        <v>1</v>
      </c>
      <c r="P126" s="519"/>
      <c r="Q126" s="518">
        <v>1</v>
      </c>
      <c r="R126" s="519"/>
      <c r="S126" s="518">
        <v>1</v>
      </c>
      <c r="T126" s="519"/>
      <c r="U126" s="518">
        <v>0</v>
      </c>
      <c r="V126" s="106">
        <f t="shared" ref="V126:V129" si="22">AVERAGE(K126,M126,O126,Q126,S126)</f>
        <v>1</v>
      </c>
    </row>
    <row r="127" spans="1:50" ht="16.8" x14ac:dyDescent="0.45">
      <c r="A127" s="454"/>
      <c r="B127" s="455">
        <f>SUM(B124:B126)</f>
        <v>7</v>
      </c>
      <c r="C127" s="150"/>
      <c r="D127" s="456"/>
      <c r="E127" s="456"/>
      <c r="F127" s="457">
        <f>SUM(F124:F126)</f>
        <v>16500</v>
      </c>
      <c r="G127" s="453"/>
      <c r="I127" s="569" t="s">
        <v>30</v>
      </c>
      <c r="J127" s="103"/>
      <c r="K127" s="518">
        <v>2</v>
      </c>
      <c r="L127" s="519"/>
      <c r="M127" s="518">
        <v>2</v>
      </c>
      <c r="N127" s="519"/>
      <c r="O127" s="518">
        <v>2</v>
      </c>
      <c r="P127" s="519"/>
      <c r="Q127" s="518">
        <v>2</v>
      </c>
      <c r="R127" s="519"/>
      <c r="S127" s="518">
        <v>2</v>
      </c>
      <c r="T127" s="519"/>
      <c r="U127" s="518">
        <v>0</v>
      </c>
      <c r="V127" s="106">
        <f t="shared" si="22"/>
        <v>2</v>
      </c>
    </row>
    <row r="128" spans="1:50" ht="16.8" x14ac:dyDescent="0.45">
      <c r="A128" s="454"/>
      <c r="B128" s="456"/>
      <c r="C128" s="150"/>
      <c r="D128" s="459"/>
      <c r="E128" s="460" t="s">
        <v>7</v>
      </c>
      <c r="F128" s="457">
        <f>+S121</f>
        <v>1500</v>
      </c>
      <c r="G128" s="461"/>
      <c r="I128" s="569" t="s">
        <v>32</v>
      </c>
      <c r="J128" s="103"/>
      <c r="K128" s="518">
        <v>4</v>
      </c>
      <c r="L128" s="519"/>
      <c r="M128" s="518">
        <v>3</v>
      </c>
      <c r="N128" s="519"/>
      <c r="O128" s="518">
        <v>4</v>
      </c>
      <c r="P128" s="519"/>
      <c r="Q128" s="518">
        <v>4</v>
      </c>
      <c r="R128" s="519"/>
      <c r="S128" s="518">
        <v>4</v>
      </c>
      <c r="T128" s="519"/>
      <c r="U128" s="518">
        <v>0</v>
      </c>
      <c r="V128" s="106">
        <f t="shared" si="22"/>
        <v>3.8</v>
      </c>
    </row>
    <row r="129" spans="1:25" ht="19.8" thickBot="1" x14ac:dyDescent="0.5">
      <c r="A129" s="454"/>
      <c r="B129" s="456"/>
      <c r="C129" s="150"/>
      <c r="D129" s="68"/>
      <c r="E129" s="460" t="s">
        <v>238</v>
      </c>
      <c r="F129" s="457">
        <f>W121</f>
        <v>0</v>
      </c>
      <c r="G129" s="461"/>
      <c r="I129" s="572"/>
      <c r="J129" s="573"/>
      <c r="K129" s="574">
        <f>SUM(K125:K128)</f>
        <v>7</v>
      </c>
      <c r="L129" s="574"/>
      <c r="M129" s="574">
        <f t="shared" ref="M129" si="23">SUM(M125:M128)</f>
        <v>6</v>
      </c>
      <c r="N129" s="574"/>
      <c r="O129" s="574">
        <f t="shared" ref="O129" si="24">SUM(O125:O128)</f>
        <v>7</v>
      </c>
      <c r="P129" s="574"/>
      <c r="Q129" s="574">
        <f t="shared" ref="Q129" si="25">SUM(Q125:Q128)</f>
        <v>7</v>
      </c>
      <c r="R129" s="574"/>
      <c r="S129" s="574">
        <f t="shared" ref="S129" si="26">SUM(S125:S128)</f>
        <v>7</v>
      </c>
      <c r="T129" s="574"/>
      <c r="U129" s="574">
        <f t="shared" ref="U129" si="27">SUM(U125:U128)</f>
        <v>0</v>
      </c>
      <c r="V129" s="621">
        <f t="shared" si="22"/>
        <v>6.8</v>
      </c>
    </row>
    <row r="130" spans="1:25" ht="16.8" x14ac:dyDescent="0.45">
      <c r="A130" s="454"/>
      <c r="B130" s="456"/>
      <c r="C130" s="150"/>
      <c r="D130" s="68"/>
      <c r="E130" s="460" t="s">
        <v>209</v>
      </c>
      <c r="F130" s="457">
        <f>+T121</f>
        <v>450</v>
      </c>
      <c r="G130" s="461"/>
      <c r="I130" s="391"/>
      <c r="L130" s="431"/>
      <c r="M130" s="431"/>
      <c r="N130" s="431"/>
      <c r="O130" s="431"/>
      <c r="P130" s="431"/>
      <c r="Q130" s="431"/>
      <c r="S130" s="431"/>
      <c r="T130" s="431"/>
      <c r="U130" s="431"/>
    </row>
    <row r="131" spans="1:25" ht="16.8" x14ac:dyDescent="0.45">
      <c r="A131" s="454"/>
      <c r="B131" s="456"/>
      <c r="C131" s="150"/>
      <c r="D131" s="68"/>
      <c r="E131" s="460" t="s">
        <v>215</v>
      </c>
      <c r="F131" s="457">
        <f>+U121</f>
        <v>400</v>
      </c>
      <c r="G131" s="461"/>
      <c r="I131" s="391"/>
      <c r="L131" s="431"/>
      <c r="M131" s="431"/>
      <c r="N131" s="431"/>
      <c r="O131" s="431"/>
      <c r="P131" s="431"/>
      <c r="Q131" s="431"/>
      <c r="S131" s="431"/>
      <c r="T131" s="431"/>
      <c r="U131" s="431"/>
    </row>
    <row r="132" spans="1:25" ht="16.8" x14ac:dyDescent="0.45">
      <c r="A132" s="454"/>
      <c r="B132" s="456"/>
      <c r="C132" s="150"/>
      <c r="D132" s="68"/>
      <c r="E132" s="460"/>
      <c r="F132" s="457"/>
      <c r="G132" s="461"/>
      <c r="I132" s="391"/>
      <c r="L132" s="431"/>
      <c r="M132" s="431"/>
      <c r="N132" s="431"/>
      <c r="O132" s="431"/>
      <c r="P132" s="431"/>
      <c r="Q132" s="431"/>
      <c r="S132" s="431"/>
      <c r="T132" s="431"/>
      <c r="U132" s="431"/>
    </row>
    <row r="133" spans="1:25" ht="16.2" x14ac:dyDescent="0.4">
      <c r="A133" s="454"/>
      <c r="B133" s="456"/>
      <c r="C133" s="150"/>
      <c r="D133" s="456"/>
      <c r="E133" s="456"/>
      <c r="F133" s="463">
        <f>SUM(F127:F132)</f>
        <v>18850</v>
      </c>
      <c r="G133" s="453"/>
      <c r="I133" s="391"/>
      <c r="L133" s="431"/>
      <c r="M133" s="431"/>
      <c r="N133" s="431"/>
      <c r="O133" s="431"/>
      <c r="P133" s="431"/>
      <c r="Q133" s="431"/>
      <c r="S133" s="431"/>
      <c r="T133" s="431"/>
      <c r="U133" s="431"/>
    </row>
    <row r="134" spans="1:25" ht="16.8" thickBot="1" x14ac:dyDescent="0.45">
      <c r="A134" s="464"/>
      <c r="B134" s="465"/>
      <c r="C134" s="466"/>
      <c r="D134" s="467"/>
      <c r="E134" s="467"/>
      <c r="F134" s="467"/>
      <c r="G134" s="468"/>
      <c r="I134" s="391"/>
      <c r="L134" s="431"/>
      <c r="M134" s="431"/>
      <c r="N134" s="431"/>
      <c r="O134" s="431"/>
      <c r="P134" s="431"/>
      <c r="Q134" s="431"/>
      <c r="S134" s="431"/>
      <c r="T134" s="431"/>
      <c r="U134" s="431"/>
    </row>
    <row r="135" spans="1:25" ht="15" thickBot="1" x14ac:dyDescent="0.35">
      <c r="A135" s="431"/>
      <c r="B135" s="431"/>
      <c r="C135" s="431"/>
      <c r="D135" s="431"/>
      <c r="E135" s="43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</row>
    <row r="136" spans="1:25" ht="72" customHeight="1" x14ac:dyDescent="0.4">
      <c r="A136" s="624"/>
      <c r="B136" s="856" t="str">
        <f>+B1</f>
        <v>SEMANA DEL 09 AL 15  DE DICIEMBRE DEL 2024</v>
      </c>
      <c r="C136" s="857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  <c r="O136" s="857"/>
      <c r="P136" s="857"/>
      <c r="Q136" s="858"/>
    </row>
    <row r="137" spans="1:25" ht="27" customHeight="1" thickBot="1" x14ac:dyDescent="0.35">
      <c r="A137" s="625"/>
      <c r="B137" s="859" t="s">
        <v>192</v>
      </c>
      <c r="C137" s="860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  <c r="O137" s="860"/>
      <c r="P137" s="860"/>
      <c r="Q137" s="873"/>
    </row>
    <row r="138" spans="1:25" ht="15" customHeight="1" x14ac:dyDescent="0.3">
      <c r="A138" s="625"/>
      <c r="B138" s="680" t="s">
        <v>185</v>
      </c>
      <c r="C138" s="681"/>
      <c r="D138" s="681"/>
      <c r="E138" s="681"/>
      <c r="F138" s="681"/>
      <c r="G138" s="681"/>
      <c r="H138" s="681"/>
      <c r="I138" s="681"/>
      <c r="J138" s="681"/>
      <c r="K138" s="681"/>
      <c r="L138" s="681"/>
      <c r="M138" s="681"/>
      <c r="N138" s="681"/>
      <c r="O138" s="681"/>
      <c r="P138" s="681"/>
      <c r="Q138" s="682"/>
      <c r="R138" s="874" t="s">
        <v>202</v>
      </c>
      <c r="S138" s="868" t="s">
        <v>203</v>
      </c>
      <c r="T138" s="868" t="s">
        <v>204</v>
      </c>
      <c r="U138" s="868" t="s">
        <v>248</v>
      </c>
      <c r="V138" s="868" t="s">
        <v>243</v>
      </c>
      <c r="W138" s="868" t="s">
        <v>212</v>
      </c>
      <c r="X138" s="885" t="s">
        <v>205</v>
      </c>
    </row>
    <row r="139" spans="1:25" ht="15" customHeight="1" x14ac:dyDescent="0.3">
      <c r="A139" s="625"/>
      <c r="B139" s="499" t="s">
        <v>186</v>
      </c>
      <c r="C139" s="500" t="s">
        <v>135</v>
      </c>
      <c r="D139" s="500" t="s">
        <v>136</v>
      </c>
      <c r="E139" s="501" t="s">
        <v>8</v>
      </c>
      <c r="F139" s="501"/>
      <c r="G139" s="501" t="s">
        <v>9</v>
      </c>
      <c r="H139" s="501"/>
      <c r="I139" s="501" t="s">
        <v>9</v>
      </c>
      <c r="J139" s="501"/>
      <c r="K139" s="501" t="s">
        <v>10</v>
      </c>
      <c r="L139" s="501"/>
      <c r="M139" s="501" t="s">
        <v>11</v>
      </c>
      <c r="N139" s="501"/>
      <c r="O139" s="501" t="s">
        <v>12</v>
      </c>
      <c r="P139" s="501"/>
      <c r="Q139" s="505" t="s">
        <v>187</v>
      </c>
      <c r="R139" s="875"/>
      <c r="S139" s="869"/>
      <c r="T139" s="869"/>
      <c r="U139" s="869" t="s">
        <v>212</v>
      </c>
      <c r="V139" s="869"/>
      <c r="W139" s="869"/>
      <c r="X139" s="886"/>
    </row>
    <row r="140" spans="1:25" x14ac:dyDescent="0.3">
      <c r="A140" s="416"/>
      <c r="B140" s="510"/>
      <c r="C140" s="396"/>
      <c r="D140" s="558"/>
      <c r="E140" s="482"/>
      <c r="F140" s="609"/>
      <c r="G140" s="482"/>
      <c r="H140" s="420"/>
      <c r="I140" s="482"/>
      <c r="J140" s="420"/>
      <c r="K140" s="482"/>
      <c r="L140" s="420"/>
      <c r="M140" s="483"/>
      <c r="N140" s="588"/>
      <c r="O140" s="482"/>
      <c r="P140" s="609"/>
      <c r="Q140" s="659"/>
      <c r="R140" s="478"/>
      <c r="S140" s="395"/>
      <c r="T140" s="395"/>
      <c r="U140" s="395"/>
      <c r="V140" s="395"/>
      <c r="W140" s="392"/>
      <c r="X140" s="550"/>
    </row>
    <row r="141" spans="1:25" s="427" customFormat="1" x14ac:dyDescent="0.3">
      <c r="A141" s="421"/>
      <c r="B141" s="422"/>
      <c r="C141" s="423"/>
      <c r="D141" s="424"/>
      <c r="E141" s="425">
        <v>0</v>
      </c>
      <c r="F141" s="425"/>
      <c r="G141" s="425">
        <v>0</v>
      </c>
      <c r="H141" s="425"/>
      <c r="I141" s="425">
        <v>0</v>
      </c>
      <c r="J141" s="425"/>
      <c r="K141" s="425">
        <v>0</v>
      </c>
      <c r="L141" s="425"/>
      <c r="M141" s="425">
        <v>0</v>
      </c>
      <c r="N141" s="425"/>
      <c r="O141" s="425">
        <v>0</v>
      </c>
      <c r="P141" s="425"/>
      <c r="Q141" s="425"/>
      <c r="R141" s="425">
        <f>SUM(R140)</f>
        <v>0</v>
      </c>
      <c r="S141" s="425">
        <f t="shared" ref="S141:W141" si="28">SUM(S140)</f>
        <v>0</v>
      </c>
      <c r="T141" s="425">
        <f t="shared" si="28"/>
        <v>0</v>
      </c>
      <c r="U141" s="425">
        <f t="shared" si="28"/>
        <v>0</v>
      </c>
      <c r="V141" s="425">
        <f t="shared" si="28"/>
        <v>0</v>
      </c>
      <c r="W141" s="425">
        <f t="shared" si="28"/>
        <v>0</v>
      </c>
      <c r="X141" s="626">
        <f>SUM(X140)</f>
        <v>0</v>
      </c>
      <c r="Y141" s="580"/>
    </row>
    <row r="142" spans="1:25" ht="15" thickBot="1" x14ac:dyDescent="0.35">
      <c r="A142"/>
      <c r="X142" s="470">
        <f>X141-F152</f>
        <v>0</v>
      </c>
    </row>
    <row r="143" spans="1:25" ht="16.8" x14ac:dyDescent="0.45">
      <c r="A143" s="443"/>
      <c r="B143" s="444"/>
      <c r="C143" s="444"/>
      <c r="D143" s="445" t="s">
        <v>14</v>
      </c>
      <c r="E143" s="445" t="s">
        <v>208</v>
      </c>
      <c r="F143" s="445" t="s">
        <v>17</v>
      </c>
      <c r="G143" s="446"/>
    </row>
    <row r="144" spans="1:25" ht="16.8" thickBot="1" x14ac:dyDescent="0.45">
      <c r="A144" s="448"/>
      <c r="B144" s="68">
        <v>0</v>
      </c>
      <c r="C144" s="449" t="s">
        <v>30</v>
      </c>
      <c r="D144" s="449">
        <f>0</f>
        <v>0</v>
      </c>
      <c r="E144" s="150">
        <v>0</v>
      </c>
      <c r="F144" s="150">
        <f>+D144</f>
        <v>0</v>
      </c>
      <c r="G144" s="453"/>
      <c r="I144" s="8"/>
      <c r="J144" s="91"/>
      <c r="K144" s="42" t="s">
        <v>8</v>
      </c>
      <c r="L144" s="42"/>
      <c r="M144" s="42" t="s">
        <v>9</v>
      </c>
      <c r="N144" s="42"/>
      <c r="O144" s="42" t="s">
        <v>9</v>
      </c>
      <c r="P144" s="42"/>
      <c r="Q144" s="42" t="s">
        <v>10</v>
      </c>
      <c r="R144" s="42"/>
      <c r="S144" s="42" t="s">
        <v>11</v>
      </c>
      <c r="T144" s="42"/>
      <c r="U144" s="42" t="s">
        <v>12</v>
      </c>
      <c r="V144" s="42"/>
    </row>
    <row r="145" spans="1:24" ht="16.2" x14ac:dyDescent="0.4">
      <c r="A145" s="448"/>
      <c r="B145" s="68">
        <v>0</v>
      </c>
      <c r="C145" s="449" t="s">
        <v>32</v>
      </c>
      <c r="D145" s="150">
        <v>0</v>
      </c>
      <c r="E145" s="150">
        <v>0</v>
      </c>
      <c r="F145" s="449">
        <f>D145</f>
        <v>0</v>
      </c>
      <c r="G145" s="453"/>
      <c r="I145" s="516"/>
      <c r="J145" s="96"/>
      <c r="K145" s="517"/>
      <c r="L145" s="517"/>
      <c r="M145" s="517"/>
      <c r="N145" s="517"/>
      <c r="O145" s="517"/>
      <c r="P145" s="517"/>
      <c r="Q145" s="517"/>
      <c r="R145" s="517"/>
      <c r="S145" s="517"/>
      <c r="T145" s="517"/>
      <c r="U145" s="517"/>
      <c r="V145" s="98" t="s">
        <v>28</v>
      </c>
    </row>
    <row r="146" spans="1:24" ht="16.2" x14ac:dyDescent="0.4">
      <c r="A146" s="448"/>
      <c r="B146" s="68">
        <v>0</v>
      </c>
      <c r="C146" s="449" t="s">
        <v>29</v>
      </c>
      <c r="D146" s="150">
        <f>1550*B146</f>
        <v>0</v>
      </c>
      <c r="E146" s="150">
        <v>0</v>
      </c>
      <c r="F146" s="150">
        <f>+B146*(D146+E146)</f>
        <v>0</v>
      </c>
      <c r="G146" s="453"/>
      <c r="I146" s="569" t="s">
        <v>29</v>
      </c>
      <c r="J146" s="103"/>
      <c r="K146" s="518">
        <v>0</v>
      </c>
      <c r="L146" s="519"/>
      <c r="M146" s="518">
        <v>0</v>
      </c>
      <c r="N146" s="519"/>
      <c r="O146" s="518">
        <v>0</v>
      </c>
      <c r="P146" s="519"/>
      <c r="Q146" s="518">
        <v>0</v>
      </c>
      <c r="R146" s="519"/>
      <c r="S146" s="518">
        <v>0</v>
      </c>
      <c r="T146" s="519"/>
      <c r="U146" s="518">
        <v>0</v>
      </c>
      <c r="V146" s="106">
        <f>AVERAGE(K146,M146,O146,Q146,S146)</f>
        <v>0</v>
      </c>
    </row>
    <row r="147" spans="1:24" ht="16.8" x14ac:dyDescent="0.45">
      <c r="A147" s="454"/>
      <c r="B147" s="455">
        <f>SUM(B144:B146)</f>
        <v>0</v>
      </c>
      <c r="C147" s="150"/>
      <c r="D147" s="456"/>
      <c r="E147" s="456"/>
      <c r="F147" s="457">
        <f>SUM(F144:F146)</f>
        <v>0</v>
      </c>
      <c r="G147" s="453"/>
      <c r="I147" s="569" t="s">
        <v>22</v>
      </c>
      <c r="J147" s="103"/>
      <c r="K147" s="518">
        <v>0</v>
      </c>
      <c r="L147" s="519"/>
      <c r="M147" s="518">
        <v>0</v>
      </c>
      <c r="N147" s="519"/>
      <c r="O147" s="518">
        <v>0</v>
      </c>
      <c r="P147" s="519"/>
      <c r="Q147" s="518">
        <v>0</v>
      </c>
      <c r="R147" s="519"/>
      <c r="S147" s="518">
        <v>0</v>
      </c>
      <c r="T147" s="519"/>
      <c r="U147" s="518">
        <v>0</v>
      </c>
      <c r="V147" s="106">
        <f t="shared" ref="V147:V150" si="29">AVERAGE(K147,M147,O147,Q147,S147)</f>
        <v>0</v>
      </c>
    </row>
    <row r="148" spans="1:24" ht="16.8" x14ac:dyDescent="0.45">
      <c r="A148" s="454"/>
      <c r="B148" s="456"/>
      <c r="C148" s="150"/>
      <c r="D148" s="459"/>
      <c r="E148" s="460" t="s">
        <v>7</v>
      </c>
      <c r="F148" s="457">
        <f>S141</f>
        <v>0</v>
      </c>
      <c r="G148" s="461"/>
      <c r="I148" s="569" t="s">
        <v>30</v>
      </c>
      <c r="J148" s="103"/>
      <c r="K148" s="518">
        <v>0</v>
      </c>
      <c r="L148" s="519"/>
      <c r="M148" s="518">
        <v>0</v>
      </c>
      <c r="N148" s="519"/>
      <c r="O148" s="518">
        <v>0</v>
      </c>
      <c r="P148" s="519"/>
      <c r="Q148" s="518">
        <v>0</v>
      </c>
      <c r="R148" s="519"/>
      <c r="S148" s="518">
        <v>0</v>
      </c>
      <c r="T148" s="519"/>
      <c r="U148" s="518">
        <v>0</v>
      </c>
      <c r="V148" s="106">
        <f t="shared" si="29"/>
        <v>0</v>
      </c>
    </row>
    <row r="149" spans="1:24" ht="16.8" x14ac:dyDescent="0.45">
      <c r="A149" s="454"/>
      <c r="B149" s="456"/>
      <c r="C149" s="150"/>
      <c r="D149" s="459"/>
      <c r="E149" s="460" t="s">
        <v>209</v>
      </c>
      <c r="F149" s="457">
        <f>T141</f>
        <v>0</v>
      </c>
      <c r="G149" s="461"/>
      <c r="I149" s="569" t="s">
        <v>32</v>
      </c>
      <c r="J149" s="103"/>
      <c r="K149" s="518">
        <v>0</v>
      </c>
      <c r="L149" s="519"/>
      <c r="M149" s="518">
        <v>0</v>
      </c>
      <c r="N149" s="519"/>
      <c r="O149" s="518">
        <v>0</v>
      </c>
      <c r="P149" s="519"/>
      <c r="Q149" s="518">
        <v>0</v>
      </c>
      <c r="R149" s="519"/>
      <c r="S149" s="518">
        <v>0</v>
      </c>
      <c r="T149" s="519"/>
      <c r="U149" s="518">
        <v>0</v>
      </c>
      <c r="V149" s="106">
        <f t="shared" si="29"/>
        <v>0</v>
      </c>
    </row>
    <row r="150" spans="1:24" ht="19.8" thickBot="1" x14ac:dyDescent="0.5">
      <c r="A150" s="454"/>
      <c r="B150" s="456"/>
      <c r="C150" s="150"/>
      <c r="D150" s="459"/>
      <c r="E150" s="460" t="s">
        <v>215</v>
      </c>
      <c r="F150" s="457">
        <f>U141</f>
        <v>0</v>
      </c>
      <c r="G150" s="461"/>
      <c r="I150" s="572"/>
      <c r="J150" s="573"/>
      <c r="K150" s="574">
        <f>SUM(K146:K149)</f>
        <v>0</v>
      </c>
      <c r="L150" s="574"/>
      <c r="M150" s="574">
        <f t="shared" ref="M150" si="30">SUM(M146:M149)</f>
        <v>0</v>
      </c>
      <c r="N150" s="574"/>
      <c r="O150" s="574">
        <f t="shared" ref="O150" si="31">SUM(O146:O149)</f>
        <v>0</v>
      </c>
      <c r="P150" s="574"/>
      <c r="Q150" s="574">
        <f t="shared" ref="Q150" si="32">SUM(Q146:Q149)</f>
        <v>0</v>
      </c>
      <c r="R150" s="574"/>
      <c r="S150" s="574">
        <f t="shared" ref="S150" si="33">SUM(S146:S149)</f>
        <v>0</v>
      </c>
      <c r="T150" s="574"/>
      <c r="U150" s="574">
        <f t="shared" ref="U150" si="34">SUM(U146:U149)</f>
        <v>0</v>
      </c>
      <c r="V150" s="621">
        <f t="shared" si="29"/>
        <v>0</v>
      </c>
    </row>
    <row r="151" spans="1:24" ht="19.2" x14ac:dyDescent="0.45">
      <c r="A151" s="454"/>
      <c r="B151" s="456"/>
      <c r="C151" s="150"/>
      <c r="D151" s="459"/>
      <c r="E151" s="460"/>
      <c r="F151" s="457"/>
      <c r="G151" s="461"/>
      <c r="I151" s="611"/>
      <c r="J151" s="151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115"/>
    </row>
    <row r="152" spans="1:24" ht="16.2" x14ac:dyDescent="0.4">
      <c r="A152" s="454"/>
      <c r="B152" s="456"/>
      <c r="C152" s="150"/>
      <c r="D152" s="456"/>
      <c r="E152" s="456"/>
      <c r="F152" s="463">
        <f>SUM(F147:F150)</f>
        <v>0</v>
      </c>
      <c r="G152" s="453"/>
      <c r="I152" s="391"/>
    </row>
    <row r="153" spans="1:24" ht="16.8" thickBot="1" x14ac:dyDescent="0.45">
      <c r="A153" s="464"/>
      <c r="B153" s="465"/>
      <c r="C153" s="466"/>
      <c r="D153" s="467"/>
      <c r="E153" s="467"/>
      <c r="F153" s="467"/>
      <c r="G153" s="468"/>
    </row>
    <row r="154" spans="1:24" x14ac:dyDescent="0.3">
      <c r="A154"/>
    </row>
    <row r="155" spans="1:24" ht="15" thickBot="1" x14ac:dyDescent="0.35">
      <c r="A155"/>
    </row>
    <row r="156" spans="1:24" ht="45" customHeight="1" thickBot="1" x14ac:dyDescent="0.45">
      <c r="B156" s="856" t="str">
        <f>+B1</f>
        <v>SEMANA DEL 09 AL 15  DE DICIEMBRE DEL 2024</v>
      </c>
      <c r="C156" s="857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  <c r="O156" s="857"/>
      <c r="P156" s="857"/>
      <c r="Q156" s="858"/>
    </row>
    <row r="157" spans="1:24" ht="27" customHeight="1" x14ac:dyDescent="0.3">
      <c r="A157" s="393"/>
      <c r="B157" s="859" t="s">
        <v>193</v>
      </c>
      <c r="C157" s="860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  <c r="O157" s="860"/>
      <c r="P157" s="860"/>
      <c r="Q157" s="861"/>
      <c r="R157" s="874" t="s">
        <v>202</v>
      </c>
      <c r="S157" s="868" t="s">
        <v>203</v>
      </c>
      <c r="T157" s="868" t="s">
        <v>204</v>
      </c>
      <c r="U157" s="868" t="s">
        <v>248</v>
      </c>
      <c r="V157" s="868" t="s">
        <v>243</v>
      </c>
      <c r="W157" s="868" t="s">
        <v>212</v>
      </c>
      <c r="X157" s="885" t="s">
        <v>205</v>
      </c>
    </row>
    <row r="158" spans="1:24" ht="12" customHeight="1" x14ac:dyDescent="0.3">
      <c r="A158" s="393"/>
      <c r="B158" s="735" t="s">
        <v>185</v>
      </c>
      <c r="C158" s="736"/>
      <c r="D158" s="736"/>
      <c r="E158" s="736"/>
      <c r="F158" s="736"/>
      <c r="G158" s="736"/>
      <c r="H158" s="736"/>
      <c r="I158" s="736"/>
      <c r="J158" s="736"/>
      <c r="K158" s="736"/>
      <c r="L158" s="736"/>
      <c r="M158" s="736"/>
      <c r="N158" s="736"/>
      <c r="O158" s="736"/>
      <c r="P158" s="736"/>
      <c r="Q158" s="737"/>
      <c r="R158" s="875"/>
      <c r="S158" s="869"/>
      <c r="T158" s="869"/>
      <c r="U158" s="869"/>
      <c r="V158" s="869"/>
      <c r="W158" s="869"/>
      <c r="X158" s="886"/>
    </row>
    <row r="159" spans="1:24" ht="0.75" hidden="1" customHeight="1" x14ac:dyDescent="0.3">
      <c r="A159" s="393"/>
      <c r="B159" s="499" t="s">
        <v>186</v>
      </c>
      <c r="C159" s="500" t="s">
        <v>135</v>
      </c>
      <c r="D159" s="500" t="s">
        <v>136</v>
      </c>
      <c r="E159" s="501" t="s">
        <v>8</v>
      </c>
      <c r="F159" s="501"/>
      <c r="G159" s="501" t="s">
        <v>9</v>
      </c>
      <c r="H159" s="501"/>
      <c r="I159" s="501" t="s">
        <v>9</v>
      </c>
      <c r="J159" s="501"/>
      <c r="K159" s="501" t="s">
        <v>10</v>
      </c>
      <c r="L159" s="501"/>
      <c r="M159" s="501" t="s">
        <v>11</v>
      </c>
      <c r="N159" s="501"/>
      <c r="O159" s="501" t="s">
        <v>12</v>
      </c>
      <c r="P159" s="501"/>
      <c r="Q159" s="505" t="s">
        <v>187</v>
      </c>
      <c r="R159" s="733"/>
      <c r="S159" s="732"/>
      <c r="T159" s="732"/>
      <c r="U159" s="732"/>
      <c r="V159" s="732"/>
      <c r="W159" s="732"/>
      <c r="X159" s="734"/>
    </row>
    <row r="160" spans="1:24" ht="15.6" customHeight="1" x14ac:dyDescent="0.3">
      <c r="A160" s="416"/>
      <c r="B160" s="499" t="s">
        <v>186</v>
      </c>
      <c r="C160" s="500" t="s">
        <v>135</v>
      </c>
      <c r="D160" s="500" t="s">
        <v>136</v>
      </c>
      <c r="E160" s="501" t="s">
        <v>8</v>
      </c>
      <c r="F160" s="501"/>
      <c r="G160" s="501" t="s">
        <v>9</v>
      </c>
      <c r="H160" s="501"/>
      <c r="I160" s="501" t="s">
        <v>9</v>
      </c>
      <c r="J160" s="501"/>
      <c r="K160" s="501" t="s">
        <v>10</v>
      </c>
      <c r="L160" s="501"/>
      <c r="M160" s="501" t="s">
        <v>11</v>
      </c>
      <c r="N160" s="501"/>
      <c r="O160" s="501" t="s">
        <v>12</v>
      </c>
      <c r="P160" s="501"/>
      <c r="Q160" s="505" t="s">
        <v>187</v>
      </c>
      <c r="R160" s="733"/>
      <c r="S160" s="732"/>
      <c r="T160" s="732"/>
      <c r="U160" s="732"/>
      <c r="V160" s="732"/>
      <c r="W160" s="732"/>
      <c r="X160" s="734"/>
    </row>
    <row r="161" spans="1:32" x14ac:dyDescent="0.3">
      <c r="A161" s="416">
        <v>4</v>
      </c>
      <c r="B161" s="508">
        <v>75</v>
      </c>
      <c r="C161" s="394" t="s">
        <v>91</v>
      </c>
      <c r="D161" s="558" t="s">
        <v>240</v>
      </c>
      <c r="E161" s="482">
        <v>1</v>
      </c>
      <c r="F161" s="609"/>
      <c r="G161" s="483">
        <v>1</v>
      </c>
      <c r="H161" s="483"/>
      <c r="I161" s="483">
        <v>1</v>
      </c>
      <c r="J161" s="588"/>
      <c r="K161" s="483">
        <v>1</v>
      </c>
      <c r="L161" s="588"/>
      <c r="M161" s="791">
        <v>0</v>
      </c>
      <c r="N161" s="792" t="s">
        <v>129</v>
      </c>
      <c r="O161" s="483"/>
      <c r="P161" s="483"/>
      <c r="Q161" s="759"/>
      <c r="R161" s="617">
        <v>1240</v>
      </c>
      <c r="S161" s="587"/>
      <c r="T161" s="395"/>
      <c r="U161" s="395"/>
      <c r="V161" s="395"/>
      <c r="W161" s="392"/>
      <c r="X161" s="550">
        <f>(R161+S161+T161+U161)+W161+V161</f>
        <v>1240</v>
      </c>
      <c r="Y161" s="579">
        <v>-310</v>
      </c>
    </row>
    <row r="162" spans="1:32" x14ac:dyDescent="0.3">
      <c r="A162" s="416">
        <v>2</v>
      </c>
      <c r="B162" s="510">
        <v>74</v>
      </c>
      <c r="C162" s="396" t="s">
        <v>85</v>
      </c>
      <c r="D162" s="558" t="s">
        <v>240</v>
      </c>
      <c r="E162" s="776">
        <v>1</v>
      </c>
      <c r="F162" s="775" t="s">
        <v>239</v>
      </c>
      <c r="G162" s="482">
        <v>1</v>
      </c>
      <c r="H162" s="420"/>
      <c r="I162" s="776">
        <v>1</v>
      </c>
      <c r="J162" s="775" t="s">
        <v>239</v>
      </c>
      <c r="K162" s="776">
        <v>1</v>
      </c>
      <c r="L162" s="775" t="s">
        <v>239</v>
      </c>
      <c r="M162" s="483">
        <v>1</v>
      </c>
      <c r="N162" s="588"/>
      <c r="O162" s="482"/>
      <c r="P162" s="609"/>
      <c r="Q162" s="756"/>
      <c r="R162" s="478">
        <v>1550</v>
      </c>
      <c r="S162" s="587">
        <v>300</v>
      </c>
      <c r="T162" s="395">
        <v>250</v>
      </c>
      <c r="U162" s="395"/>
      <c r="V162" s="395"/>
      <c r="W162" s="392"/>
      <c r="X162" s="550">
        <f>(R162+S162+T162+U162)+W162+V162</f>
        <v>2100</v>
      </c>
    </row>
    <row r="163" spans="1:32" x14ac:dyDescent="0.3">
      <c r="A163" s="393">
        <v>3</v>
      </c>
      <c r="B163" s="510">
        <v>29</v>
      </c>
      <c r="C163" s="396" t="s">
        <v>53</v>
      </c>
      <c r="D163" s="558" t="s">
        <v>240</v>
      </c>
      <c r="E163" s="354">
        <v>1</v>
      </c>
      <c r="F163" s="609"/>
      <c r="G163" s="354">
        <v>1</v>
      </c>
      <c r="H163" s="420"/>
      <c r="I163" s="354">
        <v>1</v>
      </c>
      <c r="J163" s="420"/>
      <c r="K163" s="354">
        <v>1</v>
      </c>
      <c r="L163" s="420"/>
      <c r="M163" s="483">
        <v>1</v>
      </c>
      <c r="N163" s="588"/>
      <c r="O163" s="482"/>
      <c r="P163" s="414"/>
      <c r="Q163" s="756"/>
      <c r="R163" s="478">
        <v>1550</v>
      </c>
      <c r="S163" s="587">
        <v>300</v>
      </c>
      <c r="T163" s="395">
        <v>250</v>
      </c>
      <c r="U163" s="395"/>
      <c r="V163" s="395"/>
      <c r="W163" s="392"/>
      <c r="X163" s="550">
        <f>(R163+S163+T163+U163)+W163+V163</f>
        <v>2100</v>
      </c>
    </row>
    <row r="164" spans="1:32" x14ac:dyDescent="0.3">
      <c r="A164" s="416">
        <v>1</v>
      </c>
      <c r="B164" s="510">
        <v>30</v>
      </c>
      <c r="C164" s="396" t="s">
        <v>206</v>
      </c>
      <c r="D164" s="545" t="s">
        <v>189</v>
      </c>
      <c r="E164" s="483">
        <v>1</v>
      </c>
      <c r="F164" s="588"/>
      <c r="G164" s="354">
        <v>1</v>
      </c>
      <c r="H164" s="420"/>
      <c r="I164" s="483">
        <v>1</v>
      </c>
      <c r="J164" s="588"/>
      <c r="K164" s="483">
        <v>1</v>
      </c>
      <c r="L164" s="483"/>
      <c r="M164" s="483">
        <v>1</v>
      </c>
      <c r="N164" s="483"/>
      <c r="O164" s="483"/>
      <c r="P164" s="483"/>
      <c r="Q164" s="756"/>
      <c r="R164" s="477">
        <v>1700</v>
      </c>
      <c r="S164" s="587">
        <v>300</v>
      </c>
      <c r="T164" s="118">
        <v>150</v>
      </c>
      <c r="U164" s="395">
        <v>200</v>
      </c>
      <c r="V164" s="395"/>
      <c r="W164" s="395"/>
      <c r="X164" s="550">
        <f>(R164+S164+T164+U164)+W164+V164</f>
        <v>2350</v>
      </c>
    </row>
    <row r="165" spans="1:32" ht="15" thickBot="1" x14ac:dyDescent="0.35">
      <c r="A165" s="416">
        <v>1</v>
      </c>
      <c r="B165" s="509">
        <v>37</v>
      </c>
      <c r="C165" s="485" t="s">
        <v>55</v>
      </c>
      <c r="D165" s="671" t="s">
        <v>189</v>
      </c>
      <c r="E165" s="486">
        <v>1</v>
      </c>
      <c r="F165" s="679"/>
      <c r="G165" s="613">
        <v>1</v>
      </c>
      <c r="H165" s="613"/>
      <c r="I165" s="613">
        <v>1</v>
      </c>
      <c r="J165" s="614"/>
      <c r="K165" s="613">
        <v>1</v>
      </c>
      <c r="L165" s="614"/>
      <c r="M165" s="613">
        <v>1</v>
      </c>
      <c r="N165" s="614"/>
      <c r="O165" s="613"/>
      <c r="P165" s="486"/>
      <c r="Q165" s="760"/>
      <c r="R165" s="591">
        <v>1700</v>
      </c>
      <c r="S165" s="589">
        <v>300</v>
      </c>
      <c r="T165" s="615">
        <v>250</v>
      </c>
      <c r="U165" s="474">
        <v>200</v>
      </c>
      <c r="V165" s="474"/>
      <c r="W165" s="615"/>
      <c r="X165" s="616">
        <f>(R165+S165+T165+U165)+W165+V165</f>
        <v>2450</v>
      </c>
    </row>
    <row r="166" spans="1:32" s="427" customFormat="1" x14ac:dyDescent="0.3">
      <c r="A166" s="421"/>
      <c r="B166" s="422"/>
      <c r="C166" s="423"/>
      <c r="D166" s="424"/>
      <c r="E166" s="425">
        <f>SUM(E161:E165)</f>
        <v>5</v>
      </c>
      <c r="F166" s="425"/>
      <c r="G166" s="425">
        <f>SUM(G161:G165)</f>
        <v>5</v>
      </c>
      <c r="H166" s="425"/>
      <c r="I166" s="425">
        <f>SUM(I161:I165)</f>
        <v>5</v>
      </c>
      <c r="J166" s="425"/>
      <c r="K166" s="425">
        <f>SUM(K161:K165)</f>
        <v>5</v>
      </c>
      <c r="L166" s="425"/>
      <c r="M166" s="425">
        <f>SUM(M161:M165)</f>
        <v>4</v>
      </c>
      <c r="N166" s="425"/>
      <c r="O166" s="425">
        <f>SUM(O161:O165)</f>
        <v>0</v>
      </c>
      <c r="P166" s="425"/>
      <c r="Q166" s="425"/>
      <c r="R166" s="421">
        <f>SUM(R161:R165)</f>
        <v>7740</v>
      </c>
      <c r="S166" s="421">
        <f t="shared" ref="S166:W166" si="35">SUM(S161:S165)</f>
        <v>1200</v>
      </c>
      <c r="T166" s="421">
        <f t="shared" si="35"/>
        <v>900</v>
      </c>
      <c r="U166" s="421">
        <f>SUM(U161:U165)</f>
        <v>400</v>
      </c>
      <c r="V166" s="421">
        <f t="shared" si="35"/>
        <v>0</v>
      </c>
      <c r="W166" s="421">
        <f t="shared" si="35"/>
        <v>0</v>
      </c>
      <c r="X166" s="532">
        <f>SUM(X161:X165)-Y161</f>
        <v>10550</v>
      </c>
      <c r="Y166" s="580"/>
    </row>
    <row r="167" spans="1:32" s="431" customFormat="1" ht="15" thickBot="1" x14ac:dyDescent="0.35">
      <c r="A167" s="393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 s="470">
        <f>+X166-F177</f>
        <v>0</v>
      </c>
      <c r="Y167" s="579"/>
      <c r="Z167"/>
      <c r="AA167"/>
      <c r="AB167"/>
      <c r="AC167"/>
      <c r="AD167"/>
      <c r="AE167"/>
      <c r="AF167"/>
    </row>
    <row r="168" spans="1:32" ht="17.399999999999999" thickBot="1" x14ac:dyDescent="0.5">
      <c r="A168" s="443"/>
      <c r="B168" s="444"/>
      <c r="C168" s="444"/>
      <c r="D168" s="445" t="s">
        <v>14</v>
      </c>
      <c r="E168" s="445" t="s">
        <v>208</v>
      </c>
      <c r="F168" s="445" t="s">
        <v>17</v>
      </c>
      <c r="G168" s="446"/>
      <c r="H168" s="520"/>
      <c r="I168" s="8"/>
      <c r="J168" s="91"/>
      <c r="K168" s="42" t="s">
        <v>8</v>
      </c>
      <c r="L168" s="42"/>
      <c r="M168" s="42" t="s">
        <v>9</v>
      </c>
      <c r="N168" s="42"/>
      <c r="O168" s="42" t="s">
        <v>9</v>
      </c>
      <c r="P168" s="42"/>
      <c r="Q168" s="42" t="s">
        <v>10</v>
      </c>
      <c r="R168" s="42"/>
      <c r="S168" s="42" t="s">
        <v>11</v>
      </c>
      <c r="T168" s="42"/>
      <c r="U168" s="42" t="s">
        <v>12</v>
      </c>
      <c r="V168" s="42"/>
    </row>
    <row r="169" spans="1:32" ht="16.2" x14ac:dyDescent="0.4">
      <c r="A169" s="448"/>
      <c r="B169" s="68">
        <v>2</v>
      </c>
      <c r="C169" s="449" t="s">
        <v>30</v>
      </c>
      <c r="D169" s="449">
        <f>B169*1700</f>
        <v>3400</v>
      </c>
      <c r="E169" s="150">
        <v>0</v>
      </c>
      <c r="F169" s="150">
        <f>+D169</f>
        <v>3400</v>
      </c>
      <c r="G169" s="453"/>
      <c r="H169" s="458"/>
      <c r="I169" s="516"/>
      <c r="J169" s="96"/>
      <c r="K169" s="517"/>
      <c r="L169" s="517"/>
      <c r="M169" s="517"/>
      <c r="N169" s="517"/>
      <c r="O169" s="517"/>
      <c r="P169" s="517"/>
      <c r="Q169" s="517"/>
      <c r="R169" s="517"/>
      <c r="S169" s="517"/>
      <c r="T169" s="517"/>
      <c r="U169" s="517"/>
      <c r="V169" s="98" t="s">
        <v>28</v>
      </c>
    </row>
    <row r="170" spans="1:32" ht="16.2" x14ac:dyDescent="0.4">
      <c r="A170" s="448"/>
      <c r="B170" s="68">
        <v>3</v>
      </c>
      <c r="C170" s="449" t="s">
        <v>32</v>
      </c>
      <c r="D170" s="150">
        <f>1550*B170</f>
        <v>4650</v>
      </c>
      <c r="E170" s="150">
        <v>0</v>
      </c>
      <c r="F170" s="449">
        <f>D170</f>
        <v>4650</v>
      </c>
      <c r="G170" s="453"/>
      <c r="H170" s="458"/>
      <c r="I170" s="569" t="s">
        <v>29</v>
      </c>
      <c r="J170" s="103"/>
      <c r="K170" s="518">
        <v>0</v>
      </c>
      <c r="L170" s="519"/>
      <c r="M170" s="518">
        <v>0</v>
      </c>
      <c r="N170" s="519"/>
      <c r="O170" s="518">
        <v>0</v>
      </c>
      <c r="P170" s="519"/>
      <c r="Q170" s="518">
        <v>0</v>
      </c>
      <c r="R170" s="519"/>
      <c r="S170" s="518">
        <v>0</v>
      </c>
      <c r="T170" s="519"/>
      <c r="U170" s="518">
        <v>0</v>
      </c>
      <c r="V170" s="106">
        <f>AVERAGE(K170,M170,O170,Q170,S170)</f>
        <v>0</v>
      </c>
    </row>
    <row r="171" spans="1:32" ht="16.8" x14ac:dyDescent="0.4">
      <c r="A171" s="448"/>
      <c r="B171" s="68">
        <v>0</v>
      </c>
      <c r="C171" s="449" t="s">
        <v>29</v>
      </c>
      <c r="D171" s="150">
        <v>0</v>
      </c>
      <c r="E171" s="150">
        <v>0</v>
      </c>
      <c r="F171" s="150">
        <f>+B171*(D171+E171)</f>
        <v>0</v>
      </c>
      <c r="G171" s="453"/>
      <c r="H171" s="458"/>
      <c r="I171" s="569" t="s">
        <v>22</v>
      </c>
      <c r="J171" s="103"/>
      <c r="K171" s="518">
        <v>0</v>
      </c>
      <c r="L171" s="519"/>
      <c r="M171" s="518">
        <v>0</v>
      </c>
      <c r="N171" s="519"/>
      <c r="O171" s="518">
        <v>0</v>
      </c>
      <c r="P171" s="519"/>
      <c r="Q171" s="518">
        <v>0</v>
      </c>
      <c r="R171" s="519"/>
      <c r="S171" s="518">
        <v>0</v>
      </c>
      <c r="T171" s="519"/>
      <c r="U171" s="518">
        <v>0</v>
      </c>
      <c r="V171" s="106">
        <f t="shared" ref="V171:V173" si="36">AVERAGE(K171,M171,O171,Q171,S171)</f>
        <v>0</v>
      </c>
    </row>
    <row r="172" spans="1:32" ht="16.8" x14ac:dyDescent="0.45">
      <c r="A172" s="454"/>
      <c r="B172" s="455">
        <f>SUM(B169:B171)</f>
        <v>5</v>
      </c>
      <c r="C172" s="150"/>
      <c r="D172" s="456"/>
      <c r="E172" s="456"/>
      <c r="F172" s="457">
        <f>SUM(F169:F171)</f>
        <v>8050</v>
      </c>
      <c r="G172" s="453"/>
      <c r="H172" s="458"/>
      <c r="I172" s="569" t="s">
        <v>30</v>
      </c>
      <c r="J172" s="103"/>
      <c r="K172" s="518">
        <v>2</v>
      </c>
      <c r="L172" s="519"/>
      <c r="M172" s="518">
        <v>2</v>
      </c>
      <c r="N172" s="519"/>
      <c r="O172" s="518">
        <v>2</v>
      </c>
      <c r="P172" s="519"/>
      <c r="Q172" s="518">
        <v>2</v>
      </c>
      <c r="R172" s="519"/>
      <c r="S172" s="518">
        <v>2</v>
      </c>
      <c r="T172" s="519"/>
      <c r="U172" s="518">
        <v>0</v>
      </c>
      <c r="V172" s="106">
        <f t="shared" si="36"/>
        <v>2</v>
      </c>
    </row>
    <row r="173" spans="1:32" ht="16.8" x14ac:dyDescent="0.45">
      <c r="A173" s="454"/>
      <c r="B173" s="456"/>
      <c r="C173" s="150"/>
      <c r="D173" s="459"/>
      <c r="E173" s="460" t="s">
        <v>7</v>
      </c>
      <c r="F173" s="457">
        <f>+S166</f>
        <v>1200</v>
      </c>
      <c r="G173" s="461"/>
      <c r="I173" s="569" t="s">
        <v>32</v>
      </c>
      <c r="J173" s="103"/>
      <c r="K173" s="518">
        <v>3</v>
      </c>
      <c r="L173" s="519"/>
      <c r="M173" s="518">
        <v>3</v>
      </c>
      <c r="N173" s="519"/>
      <c r="O173" s="518">
        <v>3</v>
      </c>
      <c r="P173" s="519"/>
      <c r="Q173" s="518">
        <v>3</v>
      </c>
      <c r="R173" s="519"/>
      <c r="S173" s="518">
        <v>2</v>
      </c>
      <c r="T173" s="519"/>
      <c r="U173" s="518">
        <v>0</v>
      </c>
      <c r="V173" s="106">
        <f t="shared" si="36"/>
        <v>2.8</v>
      </c>
    </row>
    <row r="174" spans="1:32" ht="19.8" thickBot="1" x14ac:dyDescent="0.5">
      <c r="A174" s="454"/>
      <c r="B174" s="456"/>
      <c r="C174" s="150"/>
      <c r="D174" s="68"/>
      <c r="E174" s="460" t="s">
        <v>215</v>
      </c>
      <c r="F174" s="457">
        <f>U166</f>
        <v>400</v>
      </c>
      <c r="G174" s="461"/>
      <c r="I174" s="572"/>
      <c r="J174" s="573"/>
      <c r="K174" s="574">
        <f>SUM(K170:K173)</f>
        <v>5</v>
      </c>
      <c r="L174" s="574"/>
      <c r="M174" s="574">
        <f t="shared" ref="M174" si="37">SUM(M170:M173)</f>
        <v>5</v>
      </c>
      <c r="N174" s="574"/>
      <c r="O174" s="574">
        <f t="shared" ref="O174" si="38">SUM(O170:O173)</f>
        <v>5</v>
      </c>
      <c r="P174" s="574"/>
      <c r="Q174" s="574">
        <f t="shared" ref="Q174" si="39">SUM(Q170:Q173)</f>
        <v>5</v>
      </c>
      <c r="R174" s="574"/>
      <c r="S174" s="574">
        <f t="shared" ref="S174" si="40">SUM(S170:S173)</f>
        <v>4</v>
      </c>
      <c r="T174" s="574"/>
      <c r="U174" s="574">
        <f t="shared" ref="U174" si="41">SUM(U170:U173)</f>
        <v>0</v>
      </c>
      <c r="V174" s="621">
        <f>AVERAGE(K174,M174,O174,Q174,S174)</f>
        <v>4.8</v>
      </c>
    </row>
    <row r="175" spans="1:32" ht="16.8" x14ac:dyDescent="0.45">
      <c r="A175" s="454"/>
      <c r="B175" s="456"/>
      <c r="C175" s="150"/>
      <c r="D175" s="68"/>
      <c r="E175" s="460" t="s">
        <v>209</v>
      </c>
      <c r="F175" s="457">
        <f>+T166</f>
        <v>900</v>
      </c>
      <c r="G175" s="461"/>
      <c r="I175" s="391"/>
    </row>
    <row r="176" spans="1:32" ht="22.5" customHeight="1" x14ac:dyDescent="0.45">
      <c r="A176" s="454"/>
      <c r="B176" s="456"/>
      <c r="C176" s="150"/>
      <c r="D176" s="68"/>
      <c r="E176" s="460" t="s">
        <v>303</v>
      </c>
      <c r="F176" s="462">
        <f>W166</f>
        <v>0</v>
      </c>
      <c r="G176" s="461"/>
      <c r="I176" s="391"/>
    </row>
    <row r="177" spans="1:50" ht="16.2" x14ac:dyDescent="0.4">
      <c r="A177" s="454"/>
      <c r="B177" s="456"/>
      <c r="C177" s="150"/>
      <c r="D177" s="456"/>
      <c r="E177" s="456"/>
      <c r="F177" s="463">
        <f>SUM(F172:F176)</f>
        <v>10550</v>
      </c>
      <c r="G177" s="453"/>
      <c r="I177" s="391"/>
    </row>
    <row r="178" spans="1:50" ht="16.8" thickBot="1" x14ac:dyDescent="0.45">
      <c r="A178" s="464"/>
      <c r="B178" s="465"/>
      <c r="C178" s="466"/>
      <c r="D178" s="467"/>
      <c r="E178" s="467"/>
      <c r="F178" s="467"/>
      <c r="G178" s="468"/>
      <c r="I178" s="391"/>
    </row>
    <row r="179" spans="1:50" ht="15" thickBot="1" x14ac:dyDescent="0.35">
      <c r="A179" s="416"/>
    </row>
    <row r="180" spans="1:50" ht="37.5" customHeight="1" x14ac:dyDescent="0.4">
      <c r="B180" s="856" t="str">
        <f>+B1</f>
        <v>SEMANA DEL 09 AL 15  DE DICIEMBRE DEL 2024</v>
      </c>
      <c r="C180" s="857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  <c r="O180" s="857"/>
      <c r="P180" s="857"/>
      <c r="Q180" s="858"/>
    </row>
    <row r="181" spans="1:50" ht="26.25" customHeight="1" x14ac:dyDescent="0.4">
      <c r="B181" s="862" t="s">
        <v>44</v>
      </c>
      <c r="C181" s="863"/>
      <c r="D181" s="863"/>
      <c r="E181" s="863"/>
      <c r="F181" s="863"/>
      <c r="G181" s="863"/>
      <c r="H181" s="863"/>
      <c r="I181" s="863"/>
      <c r="J181" s="863"/>
      <c r="K181" s="863"/>
      <c r="L181" s="863"/>
      <c r="M181" s="863"/>
      <c r="N181" s="863"/>
      <c r="O181" s="863"/>
      <c r="P181" s="863"/>
      <c r="Q181" s="864"/>
    </row>
    <row r="182" spans="1:50" ht="25.5" customHeight="1" thickBot="1" x14ac:dyDescent="0.35">
      <c r="B182" s="876" t="s">
        <v>195</v>
      </c>
      <c r="C182" s="877"/>
      <c r="D182" s="877"/>
      <c r="E182" s="877"/>
      <c r="F182" s="877"/>
      <c r="G182" s="877"/>
      <c r="H182" s="877"/>
      <c r="I182" s="877"/>
      <c r="J182" s="877"/>
      <c r="K182" s="877"/>
      <c r="L182" s="877"/>
      <c r="M182" s="877"/>
      <c r="N182" s="877"/>
      <c r="O182" s="877"/>
      <c r="P182" s="877"/>
      <c r="Q182" s="878"/>
    </row>
    <row r="183" spans="1:50" ht="18" customHeight="1" x14ac:dyDescent="0.3">
      <c r="B183" s="723" t="s">
        <v>185</v>
      </c>
      <c r="C183" s="724"/>
      <c r="D183" s="724"/>
      <c r="E183" s="724"/>
      <c r="F183" s="724"/>
      <c r="G183" s="724"/>
      <c r="H183" s="724"/>
      <c r="I183" s="724"/>
      <c r="J183" s="724"/>
      <c r="K183" s="724"/>
      <c r="L183" s="724"/>
      <c r="M183" s="724"/>
      <c r="N183" s="724"/>
      <c r="O183" s="724"/>
      <c r="P183" s="724"/>
      <c r="Q183" s="725"/>
      <c r="R183" s="874" t="s">
        <v>202</v>
      </c>
      <c r="S183" s="868" t="s">
        <v>247</v>
      </c>
      <c r="T183" s="868" t="s">
        <v>204</v>
      </c>
      <c r="U183" s="868" t="s">
        <v>248</v>
      </c>
      <c r="V183" s="868" t="s">
        <v>243</v>
      </c>
      <c r="W183" s="868" t="s">
        <v>212</v>
      </c>
      <c r="X183" s="885" t="s">
        <v>205</v>
      </c>
    </row>
    <row r="184" spans="1:50" ht="15" customHeight="1" x14ac:dyDescent="0.3">
      <c r="A184" s="498">
        <v>1</v>
      </c>
      <c r="B184" s="499" t="s">
        <v>186</v>
      </c>
      <c r="C184" s="500" t="s">
        <v>135</v>
      </c>
      <c r="D184" s="500" t="s">
        <v>136</v>
      </c>
      <c r="E184" s="501" t="s">
        <v>8</v>
      </c>
      <c r="F184" s="501"/>
      <c r="G184" s="501" t="s">
        <v>9</v>
      </c>
      <c r="H184" s="501"/>
      <c r="I184" s="501" t="s">
        <v>9</v>
      </c>
      <c r="J184" s="501"/>
      <c r="K184" s="501" t="s">
        <v>10</v>
      </c>
      <c r="L184" s="501"/>
      <c r="M184" s="501" t="s">
        <v>11</v>
      </c>
      <c r="N184" s="501"/>
      <c r="O184" s="501" t="s">
        <v>12</v>
      </c>
      <c r="P184" s="501"/>
      <c r="Q184" s="502" t="s">
        <v>187</v>
      </c>
      <c r="R184" s="875"/>
      <c r="S184" s="869"/>
      <c r="T184" s="869"/>
      <c r="U184" s="869"/>
      <c r="V184" s="869"/>
      <c r="W184" s="869"/>
      <c r="X184" s="886"/>
      <c r="Y184" s="583"/>
      <c r="Z184" s="391"/>
      <c r="AA184" s="391"/>
      <c r="AB184" s="391"/>
      <c r="AC184" s="391"/>
      <c r="AD184" s="391"/>
      <c r="AE184" s="391"/>
      <c r="AF184" s="391"/>
    </row>
    <row r="185" spans="1:50" x14ac:dyDescent="0.3">
      <c r="B185" s="508">
        <v>239</v>
      </c>
      <c r="C185" s="394" t="s">
        <v>310</v>
      </c>
      <c r="D185" s="655" t="s">
        <v>240</v>
      </c>
      <c r="E185" s="354">
        <v>1</v>
      </c>
      <c r="F185" s="420"/>
      <c r="G185" s="354">
        <v>1</v>
      </c>
      <c r="H185" s="354"/>
      <c r="I185" s="419">
        <v>1</v>
      </c>
      <c r="J185" s="684"/>
      <c r="K185" s="414">
        <v>1</v>
      </c>
      <c r="L185" s="354"/>
      <c r="M185" s="354">
        <v>1</v>
      </c>
      <c r="N185" s="420"/>
      <c r="O185" s="354">
        <v>1</v>
      </c>
      <c r="P185" s="354"/>
      <c r="Q185" s="473"/>
      <c r="R185" s="617">
        <v>1550</v>
      </c>
      <c r="S185" s="392">
        <v>300</v>
      </c>
      <c r="T185" s="392">
        <v>150</v>
      </c>
      <c r="U185" s="392"/>
      <c r="V185" s="392"/>
      <c r="W185" s="392">
        <v>276.77999999999997</v>
      </c>
      <c r="X185" s="515">
        <f t="shared" ref="X185:X190" si="42">(R185+S185+T185+U185+V185+W185)</f>
        <v>2276.7799999999997</v>
      </c>
    </row>
    <row r="186" spans="1:50" x14ac:dyDescent="0.3">
      <c r="A186" s="287">
        <v>3</v>
      </c>
      <c r="B186" s="508">
        <v>63</v>
      </c>
      <c r="C186" s="394" t="s">
        <v>45</v>
      </c>
      <c r="D186" s="597" t="s">
        <v>141</v>
      </c>
      <c r="E186" s="354">
        <v>1</v>
      </c>
      <c r="F186" s="420"/>
      <c r="G186" s="354">
        <v>1</v>
      </c>
      <c r="H186" s="354"/>
      <c r="I186" s="419">
        <v>1</v>
      </c>
      <c r="J186" s="684"/>
      <c r="K186" s="414">
        <v>1</v>
      </c>
      <c r="L186" s="354"/>
      <c r="M186" s="354">
        <v>1</v>
      </c>
      <c r="N186" s="420"/>
      <c r="O186" s="354">
        <v>1</v>
      </c>
      <c r="P186" s="354"/>
      <c r="Q186" s="473"/>
      <c r="R186" s="477">
        <v>7000</v>
      </c>
      <c r="S186" s="395"/>
      <c r="T186" s="395"/>
      <c r="U186" s="395"/>
      <c r="V186" s="395">
        <v>2000</v>
      </c>
      <c r="W186" s="395"/>
      <c r="X186" s="515">
        <f t="shared" si="42"/>
        <v>9000</v>
      </c>
    </row>
    <row r="187" spans="1:50" x14ac:dyDescent="0.3">
      <c r="A187" s="593">
        <f>A161+1</f>
        <v>5</v>
      </c>
      <c r="B187" s="507">
        <v>73</v>
      </c>
      <c r="C187" s="394" t="s">
        <v>102</v>
      </c>
      <c r="D187" s="432" t="s">
        <v>190</v>
      </c>
      <c r="E187" s="354">
        <v>1</v>
      </c>
      <c r="F187" s="420"/>
      <c r="G187" s="354">
        <v>1</v>
      </c>
      <c r="H187" s="354"/>
      <c r="I187" s="419">
        <v>1</v>
      </c>
      <c r="J187" s="684"/>
      <c r="K187" s="776">
        <v>1</v>
      </c>
      <c r="L187" s="775" t="s">
        <v>239</v>
      </c>
      <c r="M187" s="354">
        <v>1</v>
      </c>
      <c r="N187" s="420"/>
      <c r="O187" s="354">
        <v>1</v>
      </c>
      <c r="P187" s="420"/>
      <c r="Q187" s="473"/>
      <c r="R187" s="489">
        <v>1550</v>
      </c>
      <c r="S187" s="587">
        <v>300</v>
      </c>
      <c r="T187" s="395">
        <v>150</v>
      </c>
      <c r="U187" s="395">
        <v>200</v>
      </c>
      <c r="V187" s="395"/>
      <c r="W187" s="395"/>
      <c r="X187" s="531">
        <f t="shared" si="42"/>
        <v>2200</v>
      </c>
      <c r="AT187" s="417"/>
      <c r="AU187" s="417"/>
      <c r="AV187" s="417"/>
      <c r="AW187" s="417"/>
      <c r="AX187" s="417"/>
    </row>
    <row r="188" spans="1:50" x14ac:dyDescent="0.3">
      <c r="A188" s="651"/>
      <c r="B188" s="507">
        <v>230</v>
      </c>
      <c r="C188" s="394" t="s">
        <v>288</v>
      </c>
      <c r="D188" s="558" t="s">
        <v>296</v>
      </c>
      <c r="E188" s="354">
        <v>1</v>
      </c>
      <c r="F188" s="420"/>
      <c r="G188" s="354">
        <v>1</v>
      </c>
      <c r="H188" s="354"/>
      <c r="I188" s="419">
        <v>1</v>
      </c>
      <c r="J188" s="684"/>
      <c r="K188" s="414">
        <v>1</v>
      </c>
      <c r="L188" s="354"/>
      <c r="M188" s="354">
        <v>1</v>
      </c>
      <c r="N188" s="420"/>
      <c r="O188" s="354">
        <v>1</v>
      </c>
      <c r="P188" s="354"/>
      <c r="Q188" s="473"/>
      <c r="R188" s="639">
        <v>1550</v>
      </c>
      <c r="S188" s="392">
        <v>300</v>
      </c>
      <c r="T188" s="395">
        <v>150</v>
      </c>
      <c r="U188" s="395"/>
      <c r="V188" s="395"/>
      <c r="W188" s="395">
        <v>55.33</v>
      </c>
      <c r="X188" s="531">
        <f t="shared" si="42"/>
        <v>2055.33</v>
      </c>
      <c r="AT188" s="417"/>
      <c r="AU188" s="417"/>
      <c r="AV188" s="417"/>
      <c r="AW188" s="417"/>
      <c r="AX188" s="417"/>
    </row>
    <row r="189" spans="1:50" x14ac:dyDescent="0.3">
      <c r="A189" s="650"/>
      <c r="B189" s="508">
        <v>241</v>
      </c>
      <c r="C189" s="394" t="s">
        <v>294</v>
      </c>
      <c r="D189" s="355" t="s">
        <v>240</v>
      </c>
      <c r="E189" s="354">
        <v>1</v>
      </c>
      <c r="F189" s="668"/>
      <c r="G189" s="354">
        <v>1</v>
      </c>
      <c r="H189" s="668"/>
      <c r="I189" s="419">
        <v>1</v>
      </c>
      <c r="J189" s="419"/>
      <c r="K189" s="414">
        <v>1</v>
      </c>
      <c r="L189" s="420"/>
      <c r="M189" s="354">
        <v>1</v>
      </c>
      <c r="N189" s="420"/>
      <c r="O189" s="354">
        <v>1</v>
      </c>
      <c r="P189" s="354"/>
      <c r="Q189" s="473"/>
      <c r="R189" s="639">
        <v>1550</v>
      </c>
      <c r="S189" s="392">
        <v>300</v>
      </c>
      <c r="T189" s="392">
        <v>150</v>
      </c>
      <c r="U189" s="392"/>
      <c r="V189" s="392"/>
      <c r="W189" s="392"/>
      <c r="X189" s="531">
        <f t="shared" si="42"/>
        <v>2000</v>
      </c>
      <c r="AT189" s="417"/>
      <c r="AU189" s="417"/>
      <c r="AV189" s="417"/>
      <c r="AW189" s="417"/>
      <c r="AX189" s="417"/>
    </row>
    <row r="190" spans="1:50" ht="15" thickBot="1" x14ac:dyDescent="0.35">
      <c r="A190" s="287">
        <v>9</v>
      </c>
      <c r="B190" s="509">
        <v>111</v>
      </c>
      <c r="C190" s="485" t="s">
        <v>106</v>
      </c>
      <c r="D190" s="637" t="s">
        <v>141</v>
      </c>
      <c r="E190" s="486">
        <v>1</v>
      </c>
      <c r="F190" s="578"/>
      <c r="G190" s="722">
        <v>1</v>
      </c>
      <c r="H190" s="578"/>
      <c r="I190" s="685">
        <v>1</v>
      </c>
      <c r="J190" s="686"/>
      <c r="K190" s="722">
        <v>1</v>
      </c>
      <c r="L190" s="578"/>
      <c r="M190" s="486">
        <v>1</v>
      </c>
      <c r="N190" s="578"/>
      <c r="O190" s="638">
        <v>1</v>
      </c>
      <c r="P190" s="578"/>
      <c r="Q190" s="487"/>
      <c r="R190" s="591">
        <v>1550</v>
      </c>
      <c r="S190" s="589">
        <v>300</v>
      </c>
      <c r="T190" s="474">
        <v>150</v>
      </c>
      <c r="U190" s="474">
        <v>200</v>
      </c>
      <c r="V190" s="474"/>
      <c r="W190" s="474"/>
      <c r="X190" s="557">
        <f t="shared" si="42"/>
        <v>2200</v>
      </c>
      <c r="Z190" s="431"/>
    </row>
    <row r="191" spans="1:50" s="427" customFormat="1" x14ac:dyDescent="0.3">
      <c r="A191" s="421"/>
      <c r="B191" s="422"/>
      <c r="C191" s="423"/>
      <c r="D191" s="424"/>
      <c r="E191" s="425">
        <f>SUM(E185:E190)</f>
        <v>6</v>
      </c>
      <c r="F191" s="425"/>
      <c r="G191" s="425">
        <f>SUM(G185:G190)</f>
        <v>6</v>
      </c>
      <c r="H191" s="425"/>
      <c r="I191" s="425">
        <f>SUM(I185:I190)</f>
        <v>6</v>
      </c>
      <c r="J191" s="425"/>
      <c r="K191" s="425">
        <f>SUM(K185:K190)</f>
        <v>6</v>
      </c>
      <c r="L191" s="425"/>
      <c r="M191" s="425">
        <f>SUM(M185:M190)</f>
        <v>6</v>
      </c>
      <c r="N191" s="425"/>
      <c r="O191" s="425">
        <f t="shared" ref="O191" si="43">SUM(O185:O190)</f>
        <v>6</v>
      </c>
      <c r="P191" s="425"/>
      <c r="Q191" s="425"/>
      <c r="R191" s="421"/>
      <c r="S191" s="421">
        <f t="shared" ref="S191:V191" si="44">SUM(S185:S190)</f>
        <v>1500</v>
      </c>
      <c r="T191" s="421">
        <f t="shared" si="44"/>
        <v>750</v>
      </c>
      <c r="U191" s="421">
        <f t="shared" si="44"/>
        <v>400</v>
      </c>
      <c r="V191" s="421">
        <f t="shared" si="44"/>
        <v>2000</v>
      </c>
      <c r="W191" s="421">
        <f>SUM(W185:W190)</f>
        <v>332.10999999999996</v>
      </c>
      <c r="X191" s="532">
        <f>SUM(X185:X190)-Y189</f>
        <v>19732.11</v>
      </c>
      <c r="Y191" s="729"/>
    </row>
    <row r="192" spans="1:50" s="431" customFormat="1" ht="15" thickBot="1" x14ac:dyDescent="0.35">
      <c r="A192"/>
      <c r="B192"/>
      <c r="C192"/>
      <c r="D192"/>
      <c r="E192" s="481"/>
      <c r="F192" s="481"/>
      <c r="G192" s="481"/>
      <c r="H192" s="481"/>
      <c r="I192" s="481"/>
      <c r="J192" s="481"/>
      <c r="K192" s="481"/>
      <c r="L192" s="481"/>
      <c r="M192" s="481"/>
      <c r="N192" s="481"/>
      <c r="O192" s="481"/>
      <c r="P192" s="481"/>
      <c r="Q192"/>
      <c r="R192"/>
      <c r="S192"/>
      <c r="T192"/>
      <c r="U192"/>
      <c r="V192"/>
      <c r="W192"/>
      <c r="X192" s="470">
        <f>F206-X191</f>
        <v>0</v>
      </c>
      <c r="Y192" s="579"/>
      <c r="Z192"/>
      <c r="AA192"/>
      <c r="AB192"/>
      <c r="AC192"/>
      <c r="AD192"/>
      <c r="AE192"/>
      <c r="AF192"/>
    </row>
    <row r="193" spans="1:22" ht="17.399999999999999" thickBot="1" x14ac:dyDescent="0.5">
      <c r="A193" s="443"/>
      <c r="B193" s="444"/>
      <c r="C193" s="444"/>
      <c r="D193" s="445" t="s">
        <v>14</v>
      </c>
      <c r="E193" s="445" t="s">
        <v>208</v>
      </c>
      <c r="F193" s="445" t="s">
        <v>17</v>
      </c>
      <c r="G193" s="446"/>
      <c r="I193" s="8"/>
      <c r="J193" s="91"/>
      <c r="K193" s="42" t="s">
        <v>8</v>
      </c>
      <c r="L193" s="42"/>
      <c r="M193" s="42" t="s">
        <v>9</v>
      </c>
      <c r="N193" s="42"/>
      <c r="O193" s="42" t="s">
        <v>9</v>
      </c>
      <c r="P193" s="42"/>
      <c r="Q193" s="42" t="s">
        <v>10</v>
      </c>
      <c r="R193" s="42"/>
      <c r="S193" s="42" t="s">
        <v>11</v>
      </c>
      <c r="T193" s="42"/>
      <c r="U193" s="42" t="s">
        <v>12</v>
      </c>
      <c r="V193" s="42"/>
    </row>
    <row r="194" spans="1:22" ht="16.2" x14ac:dyDescent="0.4">
      <c r="A194" s="448"/>
      <c r="B194" s="159">
        <v>3</v>
      </c>
      <c r="C194" s="449" t="s">
        <v>32</v>
      </c>
      <c r="D194" s="150">
        <f>1550*B194</f>
        <v>4650</v>
      </c>
      <c r="E194" s="150">
        <v>0</v>
      </c>
      <c r="F194" s="449">
        <f>D194</f>
        <v>4650</v>
      </c>
      <c r="G194" s="450"/>
      <c r="I194" s="516"/>
      <c r="J194" s="96"/>
      <c r="K194" s="517"/>
      <c r="L194" s="517"/>
      <c r="M194" s="517"/>
      <c r="N194" s="517"/>
      <c r="O194" s="517"/>
      <c r="P194" s="517"/>
      <c r="Q194" s="517"/>
      <c r="R194" s="517"/>
      <c r="S194" s="517"/>
      <c r="T194" s="517"/>
      <c r="U194" s="517"/>
      <c r="V194" s="98" t="s">
        <v>28</v>
      </c>
    </row>
    <row r="195" spans="1:22" ht="16.2" x14ac:dyDescent="0.4">
      <c r="A195" s="448"/>
      <c r="B195" s="159">
        <v>1</v>
      </c>
      <c r="C195" s="449" t="s">
        <v>22</v>
      </c>
      <c r="D195" s="150">
        <f>1550*B195</f>
        <v>1550</v>
      </c>
      <c r="E195" s="150">
        <v>0</v>
      </c>
      <c r="F195" s="449">
        <f>D195</f>
        <v>1550</v>
      </c>
      <c r="G195" s="450"/>
      <c r="I195" s="569" t="s">
        <v>29</v>
      </c>
      <c r="J195" s="103"/>
      <c r="K195" s="518">
        <v>0</v>
      </c>
      <c r="L195" s="519"/>
      <c r="M195" s="518">
        <v>0</v>
      </c>
      <c r="N195" s="519"/>
      <c r="O195" s="518">
        <v>0</v>
      </c>
      <c r="P195" s="519"/>
      <c r="Q195" s="518">
        <v>0</v>
      </c>
      <c r="R195" s="519"/>
      <c r="S195" s="518">
        <v>0</v>
      </c>
      <c r="T195" s="519"/>
      <c r="U195" s="518">
        <v>0</v>
      </c>
      <c r="V195" s="106">
        <f>AVERAGE(K195,M195,O195,Q195,S195,U195)</f>
        <v>0</v>
      </c>
    </row>
    <row r="196" spans="1:22" ht="16.8" x14ac:dyDescent="0.4">
      <c r="A196" s="448"/>
      <c r="B196" s="159">
        <v>0</v>
      </c>
      <c r="C196" s="449" t="s">
        <v>211</v>
      </c>
      <c r="D196" s="150">
        <v>0</v>
      </c>
      <c r="E196" s="150">
        <v>0</v>
      </c>
      <c r="F196" s="449">
        <v>0</v>
      </c>
      <c r="G196" s="450"/>
      <c r="I196" s="569" t="s">
        <v>22</v>
      </c>
      <c r="J196" s="103"/>
      <c r="K196" s="518">
        <v>1</v>
      </c>
      <c r="L196" s="519"/>
      <c r="M196" s="518">
        <v>1</v>
      </c>
      <c r="N196" s="519"/>
      <c r="O196" s="518">
        <v>1</v>
      </c>
      <c r="P196" s="519"/>
      <c r="Q196" s="518">
        <v>1</v>
      </c>
      <c r="R196" s="519"/>
      <c r="S196" s="518">
        <v>1</v>
      </c>
      <c r="T196" s="519"/>
      <c r="U196" s="518">
        <v>1</v>
      </c>
      <c r="V196" s="106">
        <f t="shared" ref="V196:V198" si="45">AVERAGE(K196,M196,O196,Q196,S196,U196)</f>
        <v>1</v>
      </c>
    </row>
    <row r="197" spans="1:22" ht="16.8" x14ac:dyDescent="0.4">
      <c r="A197" s="448"/>
      <c r="B197" s="159">
        <v>2</v>
      </c>
      <c r="C197" s="449" t="s">
        <v>30</v>
      </c>
      <c r="D197" s="150">
        <f>7000+1550</f>
        <v>8550</v>
      </c>
      <c r="E197" s="150">
        <v>0</v>
      </c>
      <c r="F197" s="449">
        <f>+D197</f>
        <v>8550</v>
      </c>
      <c r="G197" s="450"/>
      <c r="I197" s="569" t="s">
        <v>30</v>
      </c>
      <c r="J197" s="103"/>
      <c r="K197" s="518">
        <v>2</v>
      </c>
      <c r="L197" s="519"/>
      <c r="M197" s="518">
        <v>2</v>
      </c>
      <c r="N197" s="519"/>
      <c r="O197" s="518">
        <v>2</v>
      </c>
      <c r="P197" s="519"/>
      <c r="Q197" s="518">
        <v>2</v>
      </c>
      <c r="R197" s="519"/>
      <c r="S197" s="518">
        <v>2</v>
      </c>
      <c r="T197" s="519"/>
      <c r="U197" s="518">
        <v>2</v>
      </c>
      <c r="V197" s="106">
        <f t="shared" si="45"/>
        <v>2</v>
      </c>
    </row>
    <row r="198" spans="1:22" ht="16.8" x14ac:dyDescent="0.45">
      <c r="A198" s="454"/>
      <c r="B198" s="455">
        <f>SUM(B194:B197)</f>
        <v>6</v>
      </c>
      <c r="C198" s="150"/>
      <c r="D198" s="456"/>
      <c r="E198" s="456"/>
      <c r="F198" s="457">
        <f>SUM(F194:F197)</f>
        <v>14750</v>
      </c>
      <c r="G198" s="453"/>
      <c r="I198" s="569" t="s">
        <v>32</v>
      </c>
      <c r="J198" s="103"/>
      <c r="K198" s="518">
        <v>3</v>
      </c>
      <c r="L198" s="519"/>
      <c r="M198" s="518">
        <v>3</v>
      </c>
      <c r="N198" s="519"/>
      <c r="O198" s="518">
        <v>3</v>
      </c>
      <c r="P198" s="519"/>
      <c r="Q198" s="518">
        <v>3</v>
      </c>
      <c r="R198" s="519"/>
      <c r="S198" s="518">
        <v>3</v>
      </c>
      <c r="T198" s="519"/>
      <c r="U198" s="518">
        <v>3</v>
      </c>
      <c r="V198" s="106">
        <f t="shared" si="45"/>
        <v>3</v>
      </c>
    </row>
    <row r="199" spans="1:22" ht="19.8" thickBot="1" x14ac:dyDescent="0.5">
      <c r="A199" s="454"/>
      <c r="B199" s="456"/>
      <c r="C199" s="150"/>
      <c r="D199" s="459"/>
      <c r="E199" s="460" t="s">
        <v>7</v>
      </c>
      <c r="F199" s="457">
        <f>S191</f>
        <v>1500</v>
      </c>
      <c r="G199" s="461"/>
      <c r="I199" s="572"/>
      <c r="J199" s="573"/>
      <c r="K199" s="574">
        <f>SUM(K195:K198)</f>
        <v>6</v>
      </c>
      <c r="L199" s="574"/>
      <c r="M199" s="574">
        <f t="shared" ref="M199" si="46">SUM(M195:M198)</f>
        <v>6</v>
      </c>
      <c r="N199" s="574"/>
      <c r="O199" s="574">
        <f t="shared" ref="O199" si="47">SUM(O195:O198)</f>
        <v>6</v>
      </c>
      <c r="P199" s="574"/>
      <c r="Q199" s="574">
        <f t="shared" ref="Q199" si="48">SUM(Q195:Q198)</f>
        <v>6</v>
      </c>
      <c r="R199" s="574"/>
      <c r="S199" s="574">
        <f t="shared" ref="S199" si="49">SUM(S195:S198)</f>
        <v>6</v>
      </c>
      <c r="T199" s="574"/>
      <c r="U199" s="574">
        <f t="shared" ref="U199" si="50">SUM(U195:U198)</f>
        <v>6</v>
      </c>
      <c r="V199" s="621">
        <f>AVERAGE(K199,M199,O199,Q199,S199,U199)</f>
        <v>6</v>
      </c>
    </row>
    <row r="200" spans="1:22" ht="16.8" x14ac:dyDescent="0.45">
      <c r="A200" s="454"/>
      <c r="B200" s="456"/>
      <c r="C200" s="150"/>
      <c r="D200" s="68"/>
      <c r="E200" s="460" t="s">
        <v>209</v>
      </c>
      <c r="F200" s="457">
        <f>T191</f>
        <v>750</v>
      </c>
      <c r="G200" s="461"/>
      <c r="I200" s="391"/>
      <c r="S200" s="431"/>
      <c r="T200" s="431"/>
      <c r="U200" s="431"/>
    </row>
    <row r="201" spans="1:22" ht="16.8" x14ac:dyDescent="0.45">
      <c r="A201" s="454"/>
      <c r="B201" s="456"/>
      <c r="C201" s="150"/>
      <c r="D201" s="68"/>
      <c r="E201" s="460" t="s">
        <v>215</v>
      </c>
      <c r="F201" s="457">
        <f>U191</f>
        <v>400</v>
      </c>
      <c r="G201" s="461"/>
      <c r="I201" s="391"/>
      <c r="S201" s="431"/>
      <c r="T201" s="431"/>
      <c r="U201" s="431"/>
    </row>
    <row r="202" spans="1:22" ht="16.8" x14ac:dyDescent="0.45">
      <c r="A202" s="454"/>
      <c r="B202" s="456"/>
      <c r="C202" s="150"/>
      <c r="D202" s="68"/>
      <c r="E202" s="460" t="s">
        <v>473</v>
      </c>
      <c r="F202" s="457">
        <f>W191</f>
        <v>332.10999999999996</v>
      </c>
      <c r="G202" s="461"/>
      <c r="I202" s="391"/>
      <c r="S202" s="431"/>
      <c r="T202" s="431"/>
      <c r="U202" s="431"/>
    </row>
    <row r="203" spans="1:22" ht="16.8" x14ac:dyDescent="0.45">
      <c r="A203" s="454"/>
      <c r="B203" s="456"/>
      <c r="C203" s="150"/>
      <c r="D203" s="68"/>
      <c r="E203" s="460" t="s">
        <v>617</v>
      </c>
      <c r="F203" s="457">
        <v>2000</v>
      </c>
      <c r="G203" s="461"/>
      <c r="I203" s="391"/>
      <c r="S203" s="431"/>
      <c r="T203" s="431"/>
      <c r="U203" s="431"/>
    </row>
    <row r="204" spans="1:22" ht="16.8" x14ac:dyDescent="0.45">
      <c r="A204" s="454"/>
      <c r="B204" s="456"/>
      <c r="C204" s="150"/>
      <c r="D204" s="68"/>
      <c r="E204" s="460"/>
      <c r="F204" s="457"/>
      <c r="G204" s="461"/>
      <c r="I204" s="391"/>
      <c r="S204" s="431"/>
      <c r="T204" s="431"/>
      <c r="U204" s="431"/>
    </row>
    <row r="205" spans="1:22" ht="16.8" x14ac:dyDescent="0.45">
      <c r="A205" s="454"/>
      <c r="B205" s="456"/>
      <c r="C205" s="150"/>
      <c r="D205" s="68"/>
      <c r="E205" s="460"/>
      <c r="F205" s="457"/>
      <c r="G205" s="461"/>
      <c r="I205" s="391"/>
      <c r="S205" s="431"/>
      <c r="T205" s="431"/>
      <c r="U205" s="431"/>
    </row>
    <row r="206" spans="1:22" ht="16.2" x14ac:dyDescent="0.4">
      <c r="A206" s="454"/>
      <c r="B206" s="456"/>
      <c r="C206" s="150"/>
      <c r="D206" s="456"/>
      <c r="E206" s="456"/>
      <c r="F206" s="463">
        <f>SUM(F198:F205)</f>
        <v>19732.11</v>
      </c>
      <c r="G206" s="453"/>
      <c r="S206" s="431"/>
      <c r="T206" s="431"/>
      <c r="U206" s="431"/>
    </row>
    <row r="207" spans="1:22" ht="16.8" thickBot="1" x14ac:dyDescent="0.45">
      <c r="A207" s="464"/>
      <c r="B207" s="465"/>
      <c r="C207" s="466"/>
      <c r="D207" s="467"/>
      <c r="E207" s="467"/>
      <c r="F207" s="467"/>
      <c r="G207" s="468"/>
      <c r="S207" s="431"/>
      <c r="T207" s="431"/>
      <c r="U207" s="431"/>
    </row>
    <row r="208" spans="1:22" ht="16.2" x14ac:dyDescent="0.4">
      <c r="A208" s="68"/>
      <c r="B208" s="456"/>
      <c r="C208" s="449"/>
      <c r="D208" s="150"/>
      <c r="E208" s="150"/>
      <c r="F208" s="150"/>
      <c r="G208" s="68"/>
      <c r="S208" s="431"/>
      <c r="T208" s="431"/>
      <c r="U208" s="431"/>
    </row>
    <row r="209" spans="1:50" ht="16.8" thickBot="1" x14ac:dyDescent="0.45">
      <c r="A209" s="68"/>
      <c r="B209" s="456"/>
      <c r="C209" s="449"/>
      <c r="D209" s="150"/>
      <c r="E209" s="150"/>
      <c r="F209" s="150"/>
      <c r="G209" s="68"/>
      <c r="S209" s="431"/>
      <c r="T209" s="431"/>
      <c r="U209" s="431"/>
    </row>
    <row r="210" spans="1:50" ht="26.25" customHeight="1" x14ac:dyDescent="0.4">
      <c r="A210" s="856" t="str">
        <f>+B180</f>
        <v>SEMANA DEL 09 AL 15  DE DICIEMBRE DEL 2024</v>
      </c>
      <c r="B210" s="857"/>
      <c r="C210" s="857"/>
      <c r="D210" s="857"/>
      <c r="E210" s="857"/>
      <c r="F210" s="857"/>
      <c r="G210" s="857"/>
      <c r="H210" s="857"/>
      <c r="I210" s="857"/>
      <c r="J210" s="857"/>
      <c r="K210" s="857"/>
      <c r="L210" s="857"/>
      <c r="M210" s="857"/>
      <c r="N210" s="857"/>
      <c r="O210" s="857"/>
      <c r="P210" s="857"/>
      <c r="Q210" s="858"/>
    </row>
    <row r="211" spans="1:50" ht="26.25" customHeight="1" x14ac:dyDescent="0.4">
      <c r="A211" s="862" t="s">
        <v>44</v>
      </c>
      <c r="B211" s="863"/>
      <c r="C211" s="863"/>
      <c r="D211" s="863"/>
      <c r="E211" s="863"/>
      <c r="F211" s="863"/>
      <c r="G211" s="863"/>
      <c r="H211" s="863"/>
      <c r="I211" s="863"/>
      <c r="J211" s="863"/>
      <c r="K211" s="863"/>
      <c r="L211" s="863"/>
      <c r="M211" s="863"/>
      <c r="N211" s="863"/>
      <c r="O211" s="863"/>
      <c r="P211" s="863"/>
      <c r="Q211" s="864"/>
    </row>
    <row r="212" spans="1:50" ht="15.75" customHeight="1" thickBot="1" x14ac:dyDescent="0.35">
      <c r="A212" s="876" t="s">
        <v>192</v>
      </c>
      <c r="B212" s="877"/>
      <c r="C212" s="877"/>
      <c r="D212" s="877"/>
      <c r="E212" s="877"/>
      <c r="F212" s="877"/>
      <c r="G212" s="877"/>
      <c r="H212" s="877"/>
      <c r="I212" s="877"/>
      <c r="J212" s="877"/>
      <c r="K212" s="877"/>
      <c r="L212" s="877"/>
      <c r="M212" s="877"/>
      <c r="N212" s="877"/>
      <c r="O212" s="877"/>
      <c r="P212" s="877"/>
      <c r="Q212" s="878"/>
    </row>
    <row r="213" spans="1:50" ht="14.4" customHeight="1" x14ac:dyDescent="0.3">
      <c r="A213" s="735" t="s">
        <v>185</v>
      </c>
      <c r="B213" s="736" t="s">
        <v>185</v>
      </c>
      <c r="C213" s="736"/>
      <c r="D213" s="736"/>
      <c r="E213" s="736"/>
      <c r="F213" s="736"/>
      <c r="G213" s="736"/>
      <c r="H213" s="736"/>
      <c r="I213" s="736"/>
      <c r="J213" s="736"/>
      <c r="K213" s="736"/>
      <c r="L213" s="736"/>
      <c r="M213" s="736"/>
      <c r="N213" s="736"/>
      <c r="O213" s="736"/>
      <c r="P213" s="736"/>
      <c r="Q213" s="737"/>
      <c r="R213" s="874" t="s">
        <v>202</v>
      </c>
      <c r="S213" s="868" t="s">
        <v>247</v>
      </c>
      <c r="T213" s="868" t="s">
        <v>204</v>
      </c>
      <c r="U213" s="868" t="s">
        <v>248</v>
      </c>
      <c r="V213" s="868" t="s">
        <v>243</v>
      </c>
      <c r="W213" s="868" t="s">
        <v>212</v>
      </c>
      <c r="X213" s="885" t="s">
        <v>205</v>
      </c>
    </row>
    <row r="214" spans="1:50" ht="22.95" customHeight="1" x14ac:dyDescent="0.3">
      <c r="A214" s="499" t="s">
        <v>186</v>
      </c>
      <c r="B214" s="500" t="s">
        <v>186</v>
      </c>
      <c r="C214" s="500" t="s">
        <v>135</v>
      </c>
      <c r="D214" s="500" t="s">
        <v>136</v>
      </c>
      <c r="E214" s="501" t="s">
        <v>8</v>
      </c>
      <c r="F214" s="501"/>
      <c r="G214" s="501" t="s">
        <v>9</v>
      </c>
      <c r="H214" s="501"/>
      <c r="I214" s="501" t="s">
        <v>9</v>
      </c>
      <c r="J214" s="501"/>
      <c r="K214" s="501" t="s">
        <v>10</v>
      </c>
      <c r="L214" s="501"/>
      <c r="M214" s="501" t="s">
        <v>11</v>
      </c>
      <c r="N214" s="501"/>
      <c r="O214" s="501" t="s">
        <v>12</v>
      </c>
      <c r="P214" s="501"/>
      <c r="Q214" s="505" t="s">
        <v>187</v>
      </c>
      <c r="R214" s="875"/>
      <c r="S214" s="869"/>
      <c r="T214" s="869"/>
      <c r="U214" s="869"/>
      <c r="V214" s="869"/>
      <c r="W214" s="869"/>
      <c r="X214" s="886"/>
    </row>
    <row r="215" spans="1:50" x14ac:dyDescent="0.3">
      <c r="A215" s="618"/>
      <c r="B215" s="507">
        <v>132</v>
      </c>
      <c r="C215" s="394" t="s">
        <v>264</v>
      </c>
      <c r="D215" s="355" t="s">
        <v>265</v>
      </c>
      <c r="E215" s="354">
        <v>1</v>
      </c>
      <c r="F215" s="668"/>
      <c r="G215" s="354">
        <v>1</v>
      </c>
      <c r="H215" s="420"/>
      <c r="I215" s="354">
        <v>1</v>
      </c>
      <c r="J215" s="420"/>
      <c r="K215" s="354">
        <v>1</v>
      </c>
      <c r="L215" s="420"/>
      <c r="M215" s="354">
        <v>1</v>
      </c>
      <c r="N215" s="420"/>
      <c r="O215" s="354">
        <v>1</v>
      </c>
      <c r="P215" s="354"/>
      <c r="Q215" s="683"/>
      <c r="R215" s="490">
        <v>1550</v>
      </c>
      <c r="S215" s="587">
        <v>300</v>
      </c>
      <c r="T215" s="395">
        <v>150</v>
      </c>
      <c r="U215" s="395"/>
      <c r="V215" s="395"/>
      <c r="W215" s="395"/>
      <c r="X215" s="515">
        <f>+R215+S215+T215+U215+V215+W215</f>
        <v>2000</v>
      </c>
    </row>
    <row r="216" spans="1:50" x14ac:dyDescent="0.3">
      <c r="A216" s="688"/>
      <c r="B216" s="507">
        <v>250</v>
      </c>
      <c r="C216" s="394" t="s">
        <v>312</v>
      </c>
      <c r="D216" s="432" t="s">
        <v>263</v>
      </c>
      <c r="E216" s="592">
        <v>0</v>
      </c>
      <c r="F216" s="761" t="s">
        <v>471</v>
      </c>
      <c r="G216" s="592">
        <v>0</v>
      </c>
      <c r="H216" s="594" t="s">
        <v>471</v>
      </c>
      <c r="I216" s="354">
        <v>1</v>
      </c>
      <c r="J216" s="419"/>
      <c r="K216" s="419">
        <v>1</v>
      </c>
      <c r="L216" s="419"/>
      <c r="M216" s="354">
        <v>1</v>
      </c>
      <c r="N216" s="420"/>
      <c r="O216" s="354">
        <v>1</v>
      </c>
      <c r="P216" s="354"/>
      <c r="Q216" s="683"/>
      <c r="R216" s="708">
        <v>930</v>
      </c>
      <c r="S216" s="392"/>
      <c r="T216" s="392"/>
      <c r="U216" s="395">
        <v>200</v>
      </c>
      <c r="V216" s="395">
        <v>200</v>
      </c>
      <c r="W216" s="395"/>
      <c r="X216" s="515">
        <f>+R216+S216+T216+U216+V216+W216</f>
        <v>1330</v>
      </c>
      <c r="Y216" s="579">
        <v>-620</v>
      </c>
    </row>
    <row r="217" spans="1:50" x14ac:dyDescent="0.3">
      <c r="A217" s="656">
        <v>4</v>
      </c>
      <c r="B217" s="653">
        <v>69</v>
      </c>
      <c r="C217" s="394" t="s">
        <v>88</v>
      </c>
      <c r="D217" s="600" t="s">
        <v>298</v>
      </c>
      <c r="E217" s="640">
        <v>1</v>
      </c>
      <c r="F217" s="420"/>
      <c r="G217" s="640">
        <v>1</v>
      </c>
      <c r="H217" s="420"/>
      <c r="I217" s="414">
        <v>1</v>
      </c>
      <c r="J217" s="420"/>
      <c r="K217" s="354">
        <v>1</v>
      </c>
      <c r="L217" s="420"/>
      <c r="M217" s="354">
        <v>1</v>
      </c>
      <c r="N217" s="420"/>
      <c r="O217" s="354">
        <v>1</v>
      </c>
      <c r="P217" s="420"/>
      <c r="Q217" s="683"/>
      <c r="R217" s="484">
        <v>1550</v>
      </c>
      <c r="S217" s="587">
        <v>250</v>
      </c>
      <c r="T217" s="395">
        <v>150</v>
      </c>
      <c r="U217" s="395">
        <v>200</v>
      </c>
      <c r="V217" s="395"/>
      <c r="W217" s="395"/>
      <c r="X217" s="515">
        <f>(R217+S217+T217+U217+V217+W217)</f>
        <v>2150</v>
      </c>
    </row>
    <row r="218" spans="1:50" s="417" customFormat="1" x14ac:dyDescent="0.3">
      <c r="A218" s="656">
        <v>2</v>
      </c>
      <c r="B218" s="653">
        <v>107</v>
      </c>
      <c r="C218" s="394" t="s">
        <v>103</v>
      </c>
      <c r="D218" s="597" t="s">
        <v>141</v>
      </c>
      <c r="E218" s="354">
        <v>1</v>
      </c>
      <c r="F218" s="420"/>
      <c r="G218" s="354">
        <v>1</v>
      </c>
      <c r="H218" s="354"/>
      <c r="I218" s="414">
        <v>1</v>
      </c>
      <c r="J218" s="354"/>
      <c r="K218" s="354">
        <v>1</v>
      </c>
      <c r="L218" s="354"/>
      <c r="M218" s="354">
        <v>1</v>
      </c>
      <c r="N218" s="354"/>
      <c r="O218" s="354">
        <v>1</v>
      </c>
      <c r="P218" s="420"/>
      <c r="Q218" s="683"/>
      <c r="R218" s="477">
        <v>3100</v>
      </c>
      <c r="S218" s="395"/>
      <c r="T218" s="395"/>
      <c r="U218" s="395"/>
      <c r="V218" s="395">
        <v>250</v>
      </c>
      <c r="W218" s="395">
        <v>1000</v>
      </c>
      <c r="X218" s="515">
        <f>(R218+S218+T218+U218+V218+W218)</f>
        <v>4350</v>
      </c>
      <c r="Y218" s="579"/>
      <c r="Z218"/>
      <c r="AA218"/>
      <c r="AB218"/>
      <c r="AC218"/>
      <c r="AD218"/>
      <c r="AE218"/>
      <c r="AF218"/>
      <c r="AG218" s="391"/>
      <c r="AH218" s="391"/>
      <c r="AI218" s="391"/>
      <c r="AJ218" s="391"/>
      <c r="AK218" s="391"/>
      <c r="AL218" s="391"/>
      <c r="AM218" s="391"/>
      <c r="AN218" s="391"/>
      <c r="AO218" s="391"/>
      <c r="AP218" s="391"/>
      <c r="AQ218" s="391"/>
      <c r="AR218" s="391"/>
      <c r="AS218" s="391"/>
      <c r="AT218" s="391"/>
      <c r="AU218" s="391"/>
      <c r="AV218" s="391"/>
      <c r="AW218" s="391"/>
      <c r="AX218" s="391"/>
    </row>
    <row r="219" spans="1:50" s="417" customFormat="1" x14ac:dyDescent="0.3">
      <c r="A219" s="656"/>
      <c r="B219" s="653">
        <v>232</v>
      </c>
      <c r="C219" s="394" t="s">
        <v>289</v>
      </c>
      <c r="D219" s="655" t="s">
        <v>297</v>
      </c>
      <c r="E219" s="354">
        <v>1</v>
      </c>
      <c r="F219" s="420"/>
      <c r="G219" s="354">
        <v>1</v>
      </c>
      <c r="H219" s="354"/>
      <c r="I219" s="414">
        <v>1</v>
      </c>
      <c r="J219" s="354"/>
      <c r="K219" s="354">
        <v>1</v>
      </c>
      <c r="L219" s="354"/>
      <c r="M219" s="354">
        <v>1</v>
      </c>
      <c r="N219" s="354"/>
      <c r="O219" s="354">
        <v>1</v>
      </c>
      <c r="P219" s="420"/>
      <c r="Q219" s="683"/>
      <c r="R219" s="617">
        <v>1550</v>
      </c>
      <c r="S219" s="392">
        <v>300</v>
      </c>
      <c r="T219" s="392">
        <v>150</v>
      </c>
      <c r="U219" s="395"/>
      <c r="V219" s="395"/>
      <c r="W219" s="395"/>
      <c r="X219" s="515">
        <f>(R219+S219+T219+U219+V219+W219)</f>
        <v>2000</v>
      </c>
      <c r="Y219" s="579"/>
      <c r="Z219"/>
      <c r="AA219"/>
      <c r="AB219"/>
      <c r="AC219"/>
      <c r="AD219"/>
      <c r="AE219"/>
      <c r="AF219"/>
      <c r="AG219" s="391"/>
      <c r="AH219" s="391"/>
      <c r="AI219" s="391"/>
      <c r="AJ219" s="391"/>
      <c r="AK219" s="391"/>
      <c r="AL219" s="391"/>
      <c r="AM219" s="391"/>
      <c r="AN219" s="391"/>
      <c r="AO219" s="391"/>
      <c r="AP219" s="391"/>
      <c r="AQ219" s="391"/>
      <c r="AR219" s="391"/>
      <c r="AS219" s="391"/>
      <c r="AT219" s="391"/>
      <c r="AU219" s="391"/>
      <c r="AV219" s="391"/>
      <c r="AW219" s="391"/>
      <c r="AX219" s="391"/>
    </row>
    <row r="220" spans="1:50" s="417" customFormat="1" x14ac:dyDescent="0.3">
      <c r="A220" s="656"/>
      <c r="B220" s="653">
        <v>235</v>
      </c>
      <c r="C220" s="394" t="s">
        <v>292</v>
      </c>
      <c r="D220" s="655" t="s">
        <v>300</v>
      </c>
      <c r="E220" s="354">
        <v>1</v>
      </c>
      <c r="F220" s="420"/>
      <c r="G220" s="354">
        <v>1</v>
      </c>
      <c r="H220" s="354"/>
      <c r="I220" s="414">
        <v>1</v>
      </c>
      <c r="J220" s="354"/>
      <c r="K220" s="354">
        <v>1</v>
      </c>
      <c r="L220" s="354"/>
      <c r="M220" s="354">
        <v>1</v>
      </c>
      <c r="N220" s="420"/>
      <c r="O220" s="354">
        <v>1</v>
      </c>
      <c r="P220" s="354"/>
      <c r="Q220" s="683"/>
      <c r="R220" s="617">
        <v>1550</v>
      </c>
      <c r="S220" s="392">
        <v>300</v>
      </c>
      <c r="T220" s="392">
        <v>150</v>
      </c>
      <c r="U220" s="392"/>
      <c r="V220" s="392"/>
      <c r="W220" s="395"/>
      <c r="X220" s="515">
        <f>(R220+S220+T220+U220+V220+W220)</f>
        <v>2000</v>
      </c>
      <c r="Y220" s="579"/>
      <c r="Z220"/>
      <c r="AA220"/>
      <c r="AB220"/>
      <c r="AC220"/>
      <c r="AD220"/>
      <c r="AE220"/>
      <c r="AF220"/>
      <c r="AG220" s="391"/>
      <c r="AH220" s="391"/>
      <c r="AI220" s="391"/>
      <c r="AJ220" s="391"/>
      <c r="AK220" s="391"/>
      <c r="AL220" s="391"/>
      <c r="AM220" s="391"/>
      <c r="AN220" s="391"/>
      <c r="AO220" s="391"/>
      <c r="AP220" s="391"/>
      <c r="AQ220" s="391"/>
      <c r="AR220" s="391"/>
      <c r="AS220" s="391"/>
      <c r="AT220" s="391"/>
      <c r="AU220" s="391"/>
      <c r="AV220" s="391"/>
      <c r="AW220" s="391"/>
      <c r="AX220" s="391"/>
    </row>
    <row r="221" spans="1:50" x14ac:dyDescent="0.3">
      <c r="A221" s="508">
        <v>107</v>
      </c>
      <c r="B221" s="653">
        <v>226</v>
      </c>
      <c r="C221" s="394" t="s">
        <v>283</v>
      </c>
      <c r="D221" s="597" t="s">
        <v>299</v>
      </c>
      <c r="E221" s="354">
        <v>1</v>
      </c>
      <c r="F221" s="420"/>
      <c r="G221" s="354">
        <v>1</v>
      </c>
      <c r="H221" s="354"/>
      <c r="I221" s="414">
        <v>1</v>
      </c>
      <c r="J221" s="354"/>
      <c r="K221" s="354">
        <v>1</v>
      </c>
      <c r="L221" s="354"/>
      <c r="M221" s="354">
        <v>1</v>
      </c>
      <c r="N221" s="354"/>
      <c r="O221" s="354">
        <v>1</v>
      </c>
      <c r="P221" s="354"/>
      <c r="Q221" s="683"/>
      <c r="R221" s="477">
        <v>1550</v>
      </c>
      <c r="S221" s="395">
        <v>300</v>
      </c>
      <c r="T221" s="395">
        <v>150</v>
      </c>
      <c r="U221" s="395"/>
      <c r="V221" s="395"/>
      <c r="W221" s="395"/>
      <c r="X221" s="515">
        <f>(R221+S221+T221+U221+V221+W221)</f>
        <v>2000</v>
      </c>
    </row>
    <row r="222" spans="1:50" ht="15" thickBot="1" x14ac:dyDescent="0.35">
      <c r="A222" s="757"/>
      <c r="B222" s="758">
        <v>207</v>
      </c>
      <c r="C222" s="485" t="s">
        <v>266</v>
      </c>
      <c r="D222" s="707" t="s">
        <v>265</v>
      </c>
      <c r="E222" s="486">
        <v>1</v>
      </c>
      <c r="F222" s="678"/>
      <c r="G222" s="486">
        <v>1</v>
      </c>
      <c r="H222" s="578"/>
      <c r="I222" s="486">
        <v>1</v>
      </c>
      <c r="J222" s="578"/>
      <c r="K222" s="486">
        <v>1</v>
      </c>
      <c r="L222" s="578"/>
      <c r="M222" s="486">
        <v>1</v>
      </c>
      <c r="N222" s="578"/>
      <c r="O222" s="486">
        <v>1</v>
      </c>
      <c r="P222" s="578"/>
      <c r="Q222" s="506"/>
      <c r="R222" s="670">
        <v>1550</v>
      </c>
      <c r="S222" s="474">
        <v>300</v>
      </c>
      <c r="T222" s="474">
        <v>150</v>
      </c>
      <c r="U222" s="474"/>
      <c r="V222" s="474"/>
      <c r="W222" s="474"/>
      <c r="X222" s="557">
        <f>+R222+S222+T222+U222+V222+W222</f>
        <v>2000</v>
      </c>
      <c r="Z222" s="579"/>
    </row>
    <row r="223" spans="1:50" x14ac:dyDescent="0.3">
      <c r="A223" s="431"/>
      <c r="B223" s="431"/>
      <c r="C223" s="431"/>
      <c r="D223" s="431"/>
      <c r="E223" s="481">
        <f>SUM(E214:E222)</f>
        <v>7</v>
      </c>
      <c r="F223" s="481"/>
      <c r="G223" s="481">
        <f t="shared" ref="G223:O223" si="51">SUM(G214:G222)</f>
        <v>7</v>
      </c>
      <c r="H223" s="481"/>
      <c r="I223" s="481">
        <f t="shared" si="51"/>
        <v>8</v>
      </c>
      <c r="J223" s="481"/>
      <c r="K223" s="481">
        <f t="shared" si="51"/>
        <v>8</v>
      </c>
      <c r="L223" s="481"/>
      <c r="M223" s="481">
        <f t="shared" si="51"/>
        <v>8</v>
      </c>
      <c r="N223" s="481"/>
      <c r="O223" s="481">
        <f t="shared" si="51"/>
        <v>8</v>
      </c>
      <c r="P223" s="481"/>
      <c r="Q223" s="481"/>
      <c r="R223" s="431">
        <f>SUM(R215:R222)</f>
        <v>13330</v>
      </c>
      <c r="S223" s="431">
        <f>SUM(S215:S222)</f>
        <v>1750</v>
      </c>
      <c r="T223" s="431">
        <f t="shared" ref="T223:W223" si="52">SUM(T215:T222)</f>
        <v>900</v>
      </c>
      <c r="U223" s="431">
        <f t="shared" si="52"/>
        <v>400</v>
      </c>
      <c r="V223" s="431">
        <f t="shared" si="52"/>
        <v>450</v>
      </c>
      <c r="W223" s="431">
        <f t="shared" si="52"/>
        <v>1000</v>
      </c>
      <c r="X223" s="476">
        <f>SUM(X215:X222)-Y216</f>
        <v>18450</v>
      </c>
      <c r="Y223" s="582"/>
      <c r="Z223" s="431"/>
      <c r="AA223" s="431"/>
      <c r="AB223" s="431"/>
      <c r="AC223" s="431"/>
      <c r="AD223" s="431"/>
      <c r="AE223" s="431"/>
      <c r="AF223" s="431"/>
    </row>
    <row r="224" spans="1:50" ht="16.8" thickBot="1" x14ac:dyDescent="0.45">
      <c r="A224" s="68"/>
      <c r="B224" s="456"/>
      <c r="C224" s="449"/>
      <c r="D224" s="150"/>
      <c r="E224" s="150"/>
      <c r="F224" s="150"/>
      <c r="G224" s="68"/>
      <c r="S224" s="431"/>
      <c r="T224" s="431"/>
      <c r="U224" s="431"/>
    </row>
    <row r="225" spans="1:24" ht="18.75" customHeight="1" thickBot="1" x14ac:dyDescent="0.55000000000000004">
      <c r="A225" s="865"/>
      <c r="B225" s="866"/>
      <c r="C225" s="866"/>
      <c r="D225" s="866"/>
      <c r="E225" s="866"/>
      <c r="F225" s="866"/>
      <c r="G225" s="867"/>
      <c r="X225" s="470">
        <f>F239-X223</f>
        <v>0</v>
      </c>
    </row>
    <row r="226" spans="1:24" ht="18.75" customHeight="1" thickBot="1" x14ac:dyDescent="0.5">
      <c r="A226" s="443"/>
      <c r="B226" s="444"/>
      <c r="C226" s="444"/>
      <c r="D226" s="445" t="s">
        <v>14</v>
      </c>
      <c r="E226" s="445" t="s">
        <v>208</v>
      </c>
      <c r="F226" s="445" t="s">
        <v>17</v>
      </c>
      <c r="G226" s="446"/>
      <c r="I226" s="8"/>
      <c r="J226" s="91"/>
      <c r="K226" s="42" t="s">
        <v>8</v>
      </c>
      <c r="L226" s="42"/>
      <c r="M226" s="42" t="s">
        <v>9</v>
      </c>
      <c r="N226" s="42"/>
      <c r="O226" s="42" t="s">
        <v>9</v>
      </c>
      <c r="P226" s="42"/>
      <c r="Q226" s="42" t="s">
        <v>10</v>
      </c>
      <c r="R226" s="42"/>
      <c r="S226" s="42" t="s">
        <v>11</v>
      </c>
      <c r="T226" s="42"/>
      <c r="U226" s="42" t="s">
        <v>12</v>
      </c>
      <c r="V226" s="42"/>
    </row>
    <row r="227" spans="1:24" ht="19.5" customHeight="1" x14ac:dyDescent="0.4">
      <c r="A227" s="448"/>
      <c r="B227" s="159">
        <v>4</v>
      </c>
      <c r="C227" s="449" t="s">
        <v>32</v>
      </c>
      <c r="D227" s="150">
        <f>1550*B227</f>
        <v>6200</v>
      </c>
      <c r="E227" s="150">
        <v>0</v>
      </c>
      <c r="F227" s="449">
        <f>D227</f>
        <v>6200</v>
      </c>
      <c r="G227" s="450"/>
      <c r="I227" s="516"/>
      <c r="J227" s="96"/>
      <c r="K227" s="517"/>
      <c r="L227" s="517"/>
      <c r="M227" s="517"/>
      <c r="N227" s="517"/>
      <c r="O227" s="517"/>
      <c r="P227" s="517"/>
      <c r="Q227" s="517"/>
      <c r="R227" s="517"/>
      <c r="S227" s="517"/>
      <c r="T227" s="517"/>
      <c r="U227" s="517"/>
      <c r="V227" s="98" t="s">
        <v>28</v>
      </c>
    </row>
    <row r="228" spans="1:24" ht="18.75" customHeight="1" x14ac:dyDescent="0.4">
      <c r="A228" s="448"/>
      <c r="B228" s="159">
        <v>2</v>
      </c>
      <c r="C228" s="449" t="s">
        <v>22</v>
      </c>
      <c r="D228" s="150">
        <f>1550*B228</f>
        <v>3100</v>
      </c>
      <c r="E228" s="150">
        <v>0</v>
      </c>
      <c r="F228" s="449">
        <f>D228</f>
        <v>3100</v>
      </c>
      <c r="G228" s="450"/>
      <c r="I228" s="569" t="s">
        <v>29</v>
      </c>
      <c r="J228" s="103"/>
      <c r="K228" s="518">
        <v>0</v>
      </c>
      <c r="L228" s="519"/>
      <c r="M228" s="518">
        <v>0</v>
      </c>
      <c r="N228" s="519"/>
      <c r="O228" s="518">
        <v>0</v>
      </c>
      <c r="P228" s="519"/>
      <c r="Q228" s="518">
        <v>0</v>
      </c>
      <c r="R228" s="519"/>
      <c r="S228" s="518">
        <v>0</v>
      </c>
      <c r="T228" s="519"/>
      <c r="U228" s="518">
        <v>0</v>
      </c>
      <c r="V228" s="106">
        <f>AVERAGE(K228,M228,O228,Q228,S228)</f>
        <v>0</v>
      </c>
    </row>
    <row r="229" spans="1:24" ht="15.75" customHeight="1" x14ac:dyDescent="0.4">
      <c r="A229" s="448"/>
      <c r="B229" s="159">
        <v>0</v>
      </c>
      <c r="C229" s="449" t="s">
        <v>211</v>
      </c>
      <c r="D229" s="150">
        <v>0</v>
      </c>
      <c r="E229" s="150">
        <v>0</v>
      </c>
      <c r="F229" s="449">
        <v>0</v>
      </c>
      <c r="G229" s="450"/>
      <c r="I229" s="569" t="s">
        <v>22</v>
      </c>
      <c r="J229" s="103"/>
      <c r="K229" s="518">
        <v>1</v>
      </c>
      <c r="L229" s="519"/>
      <c r="M229" s="518">
        <v>1</v>
      </c>
      <c r="N229" s="519"/>
      <c r="O229" s="518">
        <v>2</v>
      </c>
      <c r="P229" s="519"/>
      <c r="Q229" s="518">
        <v>2</v>
      </c>
      <c r="R229" s="519"/>
      <c r="S229" s="518">
        <v>2</v>
      </c>
      <c r="T229" s="519"/>
      <c r="U229" s="518">
        <v>2</v>
      </c>
      <c r="V229" s="106">
        <f t="shared" ref="V229" si="53">AVERAGE(K229,M229,O229,Q229,S229)</f>
        <v>1.6</v>
      </c>
    </row>
    <row r="230" spans="1:24" ht="18" customHeight="1" x14ac:dyDescent="0.4">
      <c r="A230" s="448"/>
      <c r="B230" s="159">
        <v>2</v>
      </c>
      <c r="C230" s="449" t="s">
        <v>30</v>
      </c>
      <c r="D230" s="150">
        <f>3100+1550</f>
        <v>4650</v>
      </c>
      <c r="E230" s="150">
        <v>0</v>
      </c>
      <c r="F230" s="449">
        <f>+D230</f>
        <v>4650</v>
      </c>
      <c r="G230" s="450"/>
      <c r="I230" s="569" t="s">
        <v>30</v>
      </c>
      <c r="J230" s="103"/>
      <c r="K230" s="518">
        <v>2</v>
      </c>
      <c r="L230" s="519"/>
      <c r="M230" s="518">
        <v>2</v>
      </c>
      <c r="N230" s="519"/>
      <c r="O230" s="518">
        <v>2</v>
      </c>
      <c r="P230" s="519"/>
      <c r="Q230" s="518">
        <v>2</v>
      </c>
      <c r="R230" s="519"/>
      <c r="S230" s="518">
        <v>2</v>
      </c>
      <c r="T230" s="519"/>
      <c r="U230" s="518">
        <v>2</v>
      </c>
      <c r="V230" s="106">
        <f>AVERAGE(K230,M230,O230,Q230,S230,U230)</f>
        <v>2</v>
      </c>
    </row>
    <row r="231" spans="1:24" ht="16.5" customHeight="1" x14ac:dyDescent="0.45">
      <c r="A231" s="454"/>
      <c r="B231" s="455">
        <f>SUM(B227:B230)</f>
        <v>8</v>
      </c>
      <c r="C231" s="150"/>
      <c r="D231" s="456"/>
      <c r="E231" s="456"/>
      <c r="F231" s="457">
        <f>SUM(F227:F230)</f>
        <v>13950</v>
      </c>
      <c r="G231" s="453"/>
      <c r="I231" s="569" t="s">
        <v>32</v>
      </c>
      <c r="J231" s="103"/>
      <c r="K231" s="518">
        <v>4</v>
      </c>
      <c r="L231" s="519"/>
      <c r="M231" s="518">
        <v>4</v>
      </c>
      <c r="N231" s="519"/>
      <c r="O231" s="518">
        <v>4</v>
      </c>
      <c r="P231" s="519"/>
      <c r="Q231" s="518">
        <v>4</v>
      </c>
      <c r="R231" s="519"/>
      <c r="S231" s="518">
        <v>4</v>
      </c>
      <c r="T231" s="519"/>
      <c r="U231" s="518">
        <v>4</v>
      </c>
      <c r="V231" s="106">
        <f t="shared" ref="V231:V232" si="54">AVERAGE(K231,M231,O231,Q231,S231,U231)</f>
        <v>4</v>
      </c>
    </row>
    <row r="232" spans="1:24" ht="16.5" customHeight="1" thickBot="1" x14ac:dyDescent="0.5">
      <c r="A232" s="454"/>
      <c r="B232" s="456"/>
      <c r="C232" s="150"/>
      <c r="D232" s="459"/>
      <c r="E232" s="460" t="s">
        <v>7</v>
      </c>
      <c r="F232" s="457">
        <f>S223</f>
        <v>1750</v>
      </c>
      <c r="G232" s="461"/>
      <c r="I232" s="572"/>
      <c r="J232" s="573"/>
      <c r="K232" s="574">
        <f>SUM(K228:K231)</f>
        <v>7</v>
      </c>
      <c r="L232" s="574"/>
      <c r="M232" s="574">
        <f t="shared" ref="M232" si="55">SUM(M228:M231)</f>
        <v>7</v>
      </c>
      <c r="N232" s="574"/>
      <c r="O232" s="574">
        <f t="shared" ref="O232" si="56">SUM(O228:O231)</f>
        <v>8</v>
      </c>
      <c r="P232" s="574"/>
      <c r="Q232" s="574">
        <f t="shared" ref="Q232" si="57">SUM(Q228:Q231)</f>
        <v>8</v>
      </c>
      <c r="R232" s="574"/>
      <c r="S232" s="574">
        <f t="shared" ref="S232" si="58">SUM(S228:S231)</f>
        <v>8</v>
      </c>
      <c r="T232" s="574"/>
      <c r="U232" s="574">
        <f>SUM(U228:U231)</f>
        <v>8</v>
      </c>
      <c r="V232" s="621">
        <f t="shared" si="54"/>
        <v>7.666666666666667</v>
      </c>
    </row>
    <row r="233" spans="1:24" ht="16.5" customHeight="1" x14ac:dyDescent="0.45">
      <c r="A233" s="454"/>
      <c r="B233" s="456"/>
      <c r="C233" s="150"/>
      <c r="D233" s="459"/>
      <c r="E233" s="460" t="s">
        <v>209</v>
      </c>
      <c r="F233" s="457">
        <f>T223</f>
        <v>900</v>
      </c>
      <c r="G233" s="461"/>
      <c r="I233" s="611"/>
      <c r="J233" s="151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115"/>
    </row>
    <row r="234" spans="1:24" ht="16.5" customHeight="1" x14ac:dyDescent="0.45">
      <c r="A234" s="454"/>
      <c r="B234" s="456"/>
      <c r="C234" s="150"/>
      <c r="D234" s="459"/>
      <c r="E234" s="460" t="s">
        <v>215</v>
      </c>
      <c r="F234" s="457">
        <f>U223</f>
        <v>400</v>
      </c>
      <c r="G234" s="461"/>
      <c r="I234" s="611"/>
      <c r="J234" s="151"/>
      <c r="K234" s="612"/>
      <c r="L234" s="612"/>
      <c r="M234" s="612"/>
      <c r="N234" s="612"/>
      <c r="O234" s="612"/>
      <c r="P234" s="612"/>
      <c r="Q234" s="612"/>
      <c r="R234" s="612"/>
      <c r="S234" s="612"/>
      <c r="T234" s="612"/>
      <c r="U234" s="612"/>
      <c r="V234" s="115"/>
    </row>
    <row r="235" spans="1:24" ht="44.25" customHeight="1" x14ac:dyDescent="0.45">
      <c r="A235" s="454"/>
      <c r="B235" s="456"/>
      <c r="C235" s="150"/>
      <c r="D235" s="459"/>
      <c r="E235" s="460" t="s">
        <v>611</v>
      </c>
      <c r="F235" s="457">
        <f>W223</f>
        <v>1000</v>
      </c>
      <c r="G235" s="461"/>
      <c r="I235" s="611"/>
      <c r="J235" s="151"/>
      <c r="K235" s="612"/>
      <c r="L235" s="612"/>
      <c r="M235" s="612"/>
      <c r="N235" s="612"/>
      <c r="O235" s="612"/>
      <c r="P235" s="612"/>
      <c r="Q235" s="612"/>
      <c r="R235" s="612"/>
      <c r="S235" s="612"/>
      <c r="T235" s="612"/>
      <c r="U235" s="612"/>
      <c r="V235" s="115"/>
    </row>
    <row r="236" spans="1:24" ht="28.5" customHeight="1" x14ac:dyDescent="0.45">
      <c r="A236" s="454"/>
      <c r="B236" s="456"/>
      <c r="C236" s="150"/>
      <c r="D236" s="459"/>
      <c r="E236" s="460" t="s">
        <v>610</v>
      </c>
      <c r="F236" s="457">
        <f>V216</f>
        <v>200</v>
      </c>
      <c r="G236" s="461"/>
      <c r="I236" s="611"/>
      <c r="J236" s="151"/>
      <c r="K236" s="612"/>
      <c r="L236" s="612"/>
      <c r="M236" s="612"/>
      <c r="N236" s="612"/>
      <c r="O236" s="612"/>
      <c r="P236" s="612"/>
      <c r="Q236" s="612"/>
      <c r="R236" s="612"/>
      <c r="S236" s="612"/>
      <c r="T236" s="612"/>
      <c r="U236" s="612"/>
      <c r="V236" s="115"/>
    </row>
    <row r="237" spans="1:24" ht="16.5" customHeight="1" x14ac:dyDescent="0.45">
      <c r="A237" s="454"/>
      <c r="B237" s="456"/>
      <c r="C237" s="150"/>
      <c r="D237" s="459"/>
      <c r="E237" s="460" t="s">
        <v>474</v>
      </c>
      <c r="F237" s="457">
        <f>V218</f>
        <v>250</v>
      </c>
      <c r="G237" s="461"/>
      <c r="I237" s="611"/>
      <c r="J237" s="151"/>
      <c r="K237" s="612"/>
      <c r="L237" s="612"/>
      <c r="M237" s="612"/>
      <c r="N237" s="612"/>
      <c r="O237" s="612"/>
      <c r="P237" s="612"/>
      <c r="Q237" s="612"/>
      <c r="R237" s="612"/>
      <c r="S237" s="612"/>
      <c r="T237" s="612"/>
      <c r="U237" s="612"/>
      <c r="V237" s="115"/>
    </row>
    <row r="238" spans="1:24" ht="16.5" customHeight="1" x14ac:dyDescent="0.45">
      <c r="A238" s="454"/>
      <c r="B238" s="456"/>
      <c r="C238" s="150"/>
      <c r="D238" s="68"/>
      <c r="E238" s="460"/>
      <c r="F238" s="457"/>
      <c r="G238" s="461"/>
      <c r="I238" s="391"/>
    </row>
    <row r="239" spans="1:24" ht="14.25" customHeight="1" x14ac:dyDescent="0.4">
      <c r="A239" s="454"/>
      <c r="B239" s="456"/>
      <c r="C239" s="150"/>
      <c r="D239" s="456"/>
      <c r="E239" s="456"/>
      <c r="F239" s="463">
        <f>SUM(F231:F238)</f>
        <v>18450</v>
      </c>
      <c r="G239" s="453"/>
    </row>
    <row r="240" spans="1:24" ht="15.75" customHeight="1" thickBot="1" x14ac:dyDescent="0.45">
      <c r="A240" s="464"/>
      <c r="B240" s="465"/>
      <c r="C240" s="466"/>
      <c r="D240" s="467"/>
      <c r="E240" s="467"/>
      <c r="F240" s="467"/>
      <c r="G240" s="468"/>
    </row>
    <row r="241" spans="1:32" ht="21" customHeight="1" thickBot="1" x14ac:dyDescent="0.35">
      <c r="A241"/>
    </row>
    <row r="242" spans="1:32" ht="45.75" customHeight="1" x14ac:dyDescent="0.4">
      <c r="B242" s="856" t="str">
        <f>+B1</f>
        <v>SEMANA DEL 09 AL 15  DE DICIEMBRE DEL 2024</v>
      </c>
      <c r="C242" s="857"/>
      <c r="D242" s="857"/>
      <c r="E242" s="857"/>
      <c r="F242" s="857"/>
      <c r="G242" s="857"/>
      <c r="H242" s="857"/>
      <c r="I242" s="857"/>
      <c r="J242" s="857"/>
      <c r="K242" s="857"/>
      <c r="L242" s="857"/>
      <c r="M242" s="857"/>
      <c r="N242" s="857"/>
      <c r="O242" s="857"/>
      <c r="P242" s="857"/>
      <c r="Q242" s="858"/>
      <c r="R242" s="68"/>
      <c r="S242" s="68"/>
      <c r="T242" s="68"/>
      <c r="U242" s="68"/>
      <c r="V242" s="68"/>
      <c r="W242" s="68"/>
    </row>
    <row r="243" spans="1:32" ht="27" customHeight="1" thickBot="1" x14ac:dyDescent="0.35">
      <c r="B243" s="859" t="s">
        <v>193</v>
      </c>
      <c r="C243" s="860"/>
      <c r="D243" s="860"/>
      <c r="E243" s="860"/>
      <c r="F243" s="860"/>
      <c r="G243" s="860"/>
      <c r="H243" s="860"/>
      <c r="I243" s="860"/>
      <c r="J243" s="860"/>
      <c r="K243" s="860"/>
      <c r="L243" s="860"/>
      <c r="M243" s="860"/>
      <c r="N243" s="860"/>
      <c r="O243" s="860"/>
      <c r="P243" s="860"/>
      <c r="Q243" s="873"/>
      <c r="R243" s="68"/>
      <c r="S243" s="68"/>
      <c r="T243" s="68"/>
      <c r="U243" s="68"/>
      <c r="V243" s="68"/>
      <c r="W243" s="68"/>
    </row>
    <row r="244" spans="1:32" ht="15" customHeight="1" x14ac:dyDescent="0.3">
      <c r="B244" s="555" t="s">
        <v>185</v>
      </c>
      <c r="C244" s="712"/>
      <c r="D244" s="712"/>
      <c r="E244" s="712"/>
      <c r="F244" s="712"/>
      <c r="G244" s="712"/>
      <c r="H244" s="712"/>
      <c r="I244" s="712"/>
      <c r="J244" s="712"/>
      <c r="K244" s="712"/>
      <c r="L244" s="712"/>
      <c r="M244" s="712"/>
      <c r="N244" s="712"/>
      <c r="O244" s="712"/>
      <c r="P244" s="712"/>
      <c r="Q244" s="556"/>
      <c r="R244" s="883" t="s">
        <v>202</v>
      </c>
      <c r="S244" s="879" t="s">
        <v>203</v>
      </c>
      <c r="T244" s="879" t="s">
        <v>204</v>
      </c>
      <c r="U244" s="879" t="s">
        <v>248</v>
      </c>
      <c r="V244" s="879" t="s">
        <v>243</v>
      </c>
      <c r="W244" s="879" t="s">
        <v>212</v>
      </c>
      <c r="X244" s="881" t="s">
        <v>205</v>
      </c>
    </row>
    <row r="245" spans="1:32" ht="15" customHeight="1" x14ac:dyDescent="0.3">
      <c r="B245" s="499" t="s">
        <v>186</v>
      </c>
      <c r="C245" s="500" t="s">
        <v>135</v>
      </c>
      <c r="D245" s="500" t="s">
        <v>136</v>
      </c>
      <c r="E245" s="501" t="s">
        <v>8</v>
      </c>
      <c r="F245" s="501"/>
      <c r="G245" s="501" t="s">
        <v>9</v>
      </c>
      <c r="H245" s="501"/>
      <c r="I245" s="501" t="s">
        <v>9</v>
      </c>
      <c r="J245" s="501"/>
      <c r="K245" s="501" t="s">
        <v>10</v>
      </c>
      <c r="L245" s="501"/>
      <c r="M245" s="501" t="s">
        <v>11</v>
      </c>
      <c r="N245" s="501"/>
      <c r="O245" s="501" t="s">
        <v>12</v>
      </c>
      <c r="P245" s="501"/>
      <c r="Q245" s="502" t="s">
        <v>187</v>
      </c>
      <c r="R245" s="884"/>
      <c r="S245" s="880"/>
      <c r="T245" s="880"/>
      <c r="U245" s="880"/>
      <c r="V245" s="880"/>
      <c r="W245" s="880"/>
      <c r="X245" s="882"/>
    </row>
    <row r="246" spans="1:32" x14ac:dyDescent="0.3">
      <c r="A246" s="287">
        <v>1</v>
      </c>
      <c r="B246" s="508">
        <v>94</v>
      </c>
      <c r="C246" s="394" t="s">
        <v>96</v>
      </c>
      <c r="D246" s="599" t="s">
        <v>141</v>
      </c>
      <c r="E246" s="354">
        <v>1</v>
      </c>
      <c r="F246" s="420"/>
      <c r="G246" s="354">
        <v>1</v>
      </c>
      <c r="H246" s="354"/>
      <c r="I246" s="414">
        <v>1</v>
      </c>
      <c r="J246" s="354"/>
      <c r="K246" s="354">
        <v>1</v>
      </c>
      <c r="L246" s="354"/>
      <c r="M246" s="354">
        <v>1</v>
      </c>
      <c r="N246" s="420"/>
      <c r="O246" s="354"/>
      <c r="P246" s="354"/>
      <c r="Q246" s="473"/>
      <c r="R246" s="477">
        <v>2000</v>
      </c>
      <c r="S246" s="587">
        <v>300</v>
      </c>
      <c r="T246" s="395">
        <v>250</v>
      </c>
      <c r="U246" s="395">
        <f>200</f>
        <v>200</v>
      </c>
      <c r="V246" s="395"/>
      <c r="W246" s="395">
        <v>1285.7</v>
      </c>
      <c r="X246" s="515">
        <f>R246+S246+T246+U246+W246+V246</f>
        <v>4035.7</v>
      </c>
    </row>
    <row r="247" spans="1:32" x14ac:dyDescent="0.3">
      <c r="B247" s="508">
        <v>70</v>
      </c>
      <c r="C247" s="394" t="s">
        <v>261</v>
      </c>
      <c r="D247" s="355" t="s">
        <v>265</v>
      </c>
      <c r="E247" s="592">
        <v>0</v>
      </c>
      <c r="F247" s="761" t="s">
        <v>471</v>
      </c>
      <c r="G247" s="592">
        <v>0</v>
      </c>
      <c r="H247" s="594" t="s">
        <v>471</v>
      </c>
      <c r="I247" s="354">
        <v>1</v>
      </c>
      <c r="J247" s="420"/>
      <c r="K247" s="354">
        <v>1</v>
      </c>
      <c r="L247" s="420"/>
      <c r="M247" s="354">
        <v>1</v>
      </c>
      <c r="N247" s="420"/>
      <c r="O247" s="354"/>
      <c r="P247" s="420"/>
      <c r="Q247" s="683"/>
      <c r="R247" s="478">
        <v>930</v>
      </c>
      <c r="S247" s="587"/>
      <c r="T247" s="395"/>
      <c r="U247" s="395"/>
      <c r="V247" s="395"/>
      <c r="W247" s="395"/>
      <c r="X247" s="515">
        <f>+R247+S247+T247+U247+V247+W247</f>
        <v>930</v>
      </c>
      <c r="Y247" s="579">
        <v>-620</v>
      </c>
    </row>
    <row r="248" spans="1:32" x14ac:dyDescent="0.3">
      <c r="B248" s="508">
        <v>227</v>
      </c>
      <c r="C248" s="394" t="s">
        <v>284</v>
      </c>
      <c r="D248" s="647" t="s">
        <v>265</v>
      </c>
      <c r="E248" s="354">
        <v>1</v>
      </c>
      <c r="F248" s="420"/>
      <c r="G248" s="354">
        <v>1</v>
      </c>
      <c r="H248" s="420"/>
      <c r="I248" s="414">
        <v>1</v>
      </c>
      <c r="J248" s="354"/>
      <c r="K248" s="354">
        <v>1</v>
      </c>
      <c r="L248" s="420"/>
      <c r="M248" s="354">
        <v>1</v>
      </c>
      <c r="N248" s="420"/>
      <c r="O248" s="354"/>
      <c r="P248" s="354"/>
      <c r="Q248" s="473"/>
      <c r="R248" s="617">
        <v>1550</v>
      </c>
      <c r="S248" s="392">
        <v>300</v>
      </c>
      <c r="T248" s="392">
        <v>250</v>
      </c>
      <c r="U248" s="395"/>
      <c r="V248" s="395"/>
      <c r="W248" s="395">
        <v>498.91</v>
      </c>
      <c r="X248" s="515">
        <f>R248+S248+T248+U248+W248+V248</f>
        <v>2598.91</v>
      </c>
    </row>
    <row r="249" spans="1:32" x14ac:dyDescent="0.3">
      <c r="A249" s="287">
        <v>3</v>
      </c>
      <c r="B249" s="508">
        <v>135</v>
      </c>
      <c r="C249" s="394" t="s">
        <v>116</v>
      </c>
      <c r="D249" s="600" t="s">
        <v>22</v>
      </c>
      <c r="E249" s="354">
        <v>1</v>
      </c>
      <c r="F249" s="420"/>
      <c r="G249" s="354">
        <v>1</v>
      </c>
      <c r="H249" s="420"/>
      <c r="I249" s="414">
        <v>1</v>
      </c>
      <c r="J249" s="419"/>
      <c r="K249" s="354">
        <v>1</v>
      </c>
      <c r="L249" s="420"/>
      <c r="M249" s="354">
        <v>1</v>
      </c>
      <c r="N249" s="420"/>
      <c r="O249" s="354"/>
      <c r="P249" s="354"/>
      <c r="Q249" s="473"/>
      <c r="R249" s="484">
        <v>1550</v>
      </c>
      <c r="S249" s="587">
        <v>200</v>
      </c>
      <c r="T249" s="395">
        <v>250</v>
      </c>
      <c r="U249" s="395">
        <v>200</v>
      </c>
      <c r="V249" s="395"/>
      <c r="W249" s="395"/>
      <c r="X249" s="515">
        <f>R249+S249+T249+U249+W249+V249</f>
        <v>2200</v>
      </c>
    </row>
    <row r="250" spans="1:32" ht="15" thickBot="1" x14ac:dyDescent="0.35">
      <c r="A250" s="287">
        <v>2</v>
      </c>
      <c r="B250" s="509">
        <v>45</v>
      </c>
      <c r="C250" s="485" t="s">
        <v>196</v>
      </c>
      <c r="D250" s="622" t="s">
        <v>141</v>
      </c>
      <c r="E250" s="486">
        <v>1</v>
      </c>
      <c r="F250" s="578"/>
      <c r="G250" s="486">
        <v>1</v>
      </c>
      <c r="H250" s="578"/>
      <c r="I250" s="722">
        <v>1</v>
      </c>
      <c r="J250" s="578"/>
      <c r="K250" s="486">
        <v>1</v>
      </c>
      <c r="L250" s="578"/>
      <c r="M250" s="486">
        <v>1</v>
      </c>
      <c r="N250" s="578"/>
      <c r="O250" s="486"/>
      <c r="P250" s="578"/>
      <c r="Q250" s="487"/>
      <c r="R250" s="591">
        <v>3500</v>
      </c>
      <c r="S250" s="474"/>
      <c r="T250" s="474"/>
      <c r="U250" s="474">
        <v>300</v>
      </c>
      <c r="V250" s="474"/>
      <c r="W250" s="728">
        <v>2000</v>
      </c>
      <c r="X250" s="557">
        <f>R250+S250+T250+U250+W250+V250</f>
        <v>5800</v>
      </c>
    </row>
    <row r="251" spans="1:32" x14ac:dyDescent="0.3">
      <c r="A251" s="431"/>
      <c r="B251" s="431"/>
      <c r="C251" s="431"/>
      <c r="D251" s="431"/>
      <c r="E251" s="481">
        <f>SUM(E246:E250)</f>
        <v>4</v>
      </c>
      <c r="F251" s="481"/>
      <c r="G251" s="481">
        <f>SUM(G246:G250)</f>
        <v>4</v>
      </c>
      <c r="H251" s="481"/>
      <c r="I251" s="481">
        <f>SUM(I246:I250)</f>
        <v>5</v>
      </c>
      <c r="J251" s="481"/>
      <c r="K251" s="481">
        <f>SUM(K246:K250)</f>
        <v>5</v>
      </c>
      <c r="L251" s="481"/>
      <c r="M251" s="481">
        <f>SUM(M246:M250)</f>
        <v>5</v>
      </c>
      <c r="N251" s="481"/>
      <c r="O251" s="481"/>
      <c r="P251" s="481"/>
      <c r="Q251" s="481"/>
      <c r="R251" s="431">
        <f>SUM(R246:R250)</f>
        <v>9530</v>
      </c>
      <c r="S251" s="431">
        <f>SUM(S246:S250)</f>
        <v>800</v>
      </c>
      <c r="T251" s="431">
        <f>SUM(T246:T250)</f>
        <v>750</v>
      </c>
      <c r="U251" s="431">
        <f t="shared" ref="U251:W251" si="59">SUM(U246:U250)</f>
        <v>700</v>
      </c>
      <c r="V251" s="431">
        <f t="shared" si="59"/>
        <v>0</v>
      </c>
      <c r="W251" s="431">
        <f t="shared" si="59"/>
        <v>3784.61</v>
      </c>
      <c r="X251" s="476">
        <f>SUM(X246:X250)-Y247</f>
        <v>16184.61</v>
      </c>
      <c r="Y251" s="730"/>
      <c r="Z251" s="431"/>
      <c r="AA251" s="431"/>
      <c r="AB251" s="431"/>
      <c r="AC251" s="431"/>
      <c r="AD251" s="431"/>
      <c r="AE251" s="431"/>
      <c r="AF251" s="431"/>
    </row>
    <row r="252" spans="1:32" s="431" customFormat="1" ht="15" thickBot="1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 s="470">
        <f>F264-X251</f>
        <v>0</v>
      </c>
      <c r="Y252" s="579"/>
      <c r="Z252"/>
      <c r="AA252"/>
      <c r="AB252"/>
      <c r="AC252"/>
      <c r="AD252"/>
      <c r="AE252"/>
      <c r="AF252"/>
    </row>
    <row r="253" spans="1:32" ht="17.399999999999999" thickBot="1" x14ac:dyDescent="0.5">
      <c r="A253" s="443"/>
      <c r="B253" s="444"/>
      <c r="C253" s="444"/>
      <c r="D253" s="445" t="s">
        <v>14</v>
      </c>
      <c r="E253" s="445" t="s">
        <v>208</v>
      </c>
      <c r="F253" s="445" t="s">
        <v>17</v>
      </c>
      <c r="G253" s="446"/>
      <c r="I253" s="8"/>
      <c r="J253" s="91"/>
      <c r="K253" s="42" t="s">
        <v>8</v>
      </c>
      <c r="L253" s="42"/>
      <c r="M253" s="42" t="s">
        <v>9</v>
      </c>
      <c r="N253" s="42"/>
      <c r="O253" s="42" t="s">
        <v>9</v>
      </c>
      <c r="P253" s="42"/>
      <c r="Q253" s="42" t="s">
        <v>10</v>
      </c>
      <c r="R253" s="42"/>
      <c r="S253" s="42" t="s">
        <v>11</v>
      </c>
      <c r="T253" s="42"/>
      <c r="U253" s="42" t="s">
        <v>12</v>
      </c>
      <c r="V253" s="42"/>
    </row>
    <row r="254" spans="1:32" ht="16.2" x14ac:dyDescent="0.4">
      <c r="A254" s="448"/>
      <c r="B254" s="159">
        <v>2</v>
      </c>
      <c r="C254" s="449" t="s">
        <v>32</v>
      </c>
      <c r="D254" s="150">
        <f>1550*B254</f>
        <v>3100</v>
      </c>
      <c r="E254" s="150">
        <v>0</v>
      </c>
      <c r="F254" s="449">
        <f>D254</f>
        <v>3100</v>
      </c>
      <c r="G254" s="450"/>
      <c r="I254" s="516"/>
      <c r="J254" s="96"/>
      <c r="K254" s="517"/>
      <c r="L254" s="517"/>
      <c r="M254" s="517"/>
      <c r="N254" s="517"/>
      <c r="O254" s="517"/>
      <c r="P254" s="517"/>
      <c r="Q254" s="517"/>
      <c r="R254" s="517"/>
      <c r="S254" s="517"/>
      <c r="T254" s="517"/>
      <c r="U254" s="517"/>
      <c r="V254" s="98" t="s">
        <v>28</v>
      </c>
    </row>
    <row r="255" spans="1:32" ht="16.2" x14ac:dyDescent="0.4">
      <c r="A255" s="448"/>
      <c r="B255" s="159">
        <v>1</v>
      </c>
      <c r="C255" s="449" t="s">
        <v>22</v>
      </c>
      <c r="D255" s="150">
        <f>1550*B255</f>
        <v>1550</v>
      </c>
      <c r="E255" s="150">
        <v>0</v>
      </c>
      <c r="F255" s="449">
        <f>D255</f>
        <v>1550</v>
      </c>
      <c r="G255" s="450"/>
      <c r="I255" s="569" t="s">
        <v>29</v>
      </c>
      <c r="J255" s="103"/>
      <c r="K255" s="518">
        <v>0</v>
      </c>
      <c r="L255" s="519"/>
      <c r="M255" s="518">
        <v>0</v>
      </c>
      <c r="N255" s="519"/>
      <c r="O255" s="518">
        <v>0</v>
      </c>
      <c r="P255" s="519"/>
      <c r="Q255" s="518">
        <v>0</v>
      </c>
      <c r="R255" s="519"/>
      <c r="S255" s="518">
        <v>0</v>
      </c>
      <c r="T255" s="519"/>
      <c r="U255" s="518">
        <v>0</v>
      </c>
      <c r="V255" s="106">
        <f>AVERAGE(K255,M255,O255,Q255,S255)</f>
        <v>0</v>
      </c>
    </row>
    <row r="256" spans="1:32" ht="16.8" x14ac:dyDescent="0.4">
      <c r="A256" s="448"/>
      <c r="B256" s="159">
        <v>0</v>
      </c>
      <c r="C256" s="449" t="s">
        <v>211</v>
      </c>
      <c r="D256" s="150">
        <v>0</v>
      </c>
      <c r="E256" s="150">
        <v>0</v>
      </c>
      <c r="F256" s="449">
        <v>0</v>
      </c>
      <c r="G256" s="450"/>
      <c r="I256" s="569" t="s">
        <v>22</v>
      </c>
      <c r="J256" s="103"/>
      <c r="K256" s="518">
        <v>1</v>
      </c>
      <c r="L256" s="519"/>
      <c r="M256" s="518">
        <v>1</v>
      </c>
      <c r="N256" s="519"/>
      <c r="O256" s="518">
        <v>1</v>
      </c>
      <c r="P256" s="519"/>
      <c r="Q256" s="518">
        <v>1</v>
      </c>
      <c r="R256" s="519"/>
      <c r="S256" s="518">
        <v>1</v>
      </c>
      <c r="T256" s="519"/>
      <c r="U256" s="518">
        <v>0</v>
      </c>
      <c r="V256" s="106">
        <f t="shared" ref="V256:V259" si="60">AVERAGE(K256,M256,O256,Q256,S256)</f>
        <v>1</v>
      </c>
    </row>
    <row r="257" spans="1:50" ht="16.8" x14ac:dyDescent="0.4">
      <c r="A257" s="448"/>
      <c r="B257" s="159">
        <v>2</v>
      </c>
      <c r="C257" s="449" t="s">
        <v>30</v>
      </c>
      <c r="D257" s="150">
        <f>2000+3500</f>
        <v>5500</v>
      </c>
      <c r="E257" s="150">
        <v>0</v>
      </c>
      <c r="F257" s="449">
        <f>+D257</f>
        <v>5500</v>
      </c>
      <c r="G257" s="450"/>
      <c r="I257" s="569" t="s">
        <v>30</v>
      </c>
      <c r="J257" s="103"/>
      <c r="K257" s="518">
        <v>2</v>
      </c>
      <c r="L257" s="519"/>
      <c r="M257" s="518">
        <v>2</v>
      </c>
      <c r="N257" s="519"/>
      <c r="O257" s="518">
        <v>2</v>
      </c>
      <c r="P257" s="519"/>
      <c r="Q257" s="518">
        <v>2</v>
      </c>
      <c r="R257" s="519"/>
      <c r="S257" s="518">
        <v>2</v>
      </c>
      <c r="T257" s="519"/>
      <c r="U257" s="518">
        <v>0</v>
      </c>
      <c r="V257" s="106">
        <f t="shared" si="60"/>
        <v>2</v>
      </c>
    </row>
    <row r="258" spans="1:50" ht="16.8" x14ac:dyDescent="0.45">
      <c r="A258" s="454"/>
      <c r="B258" s="455">
        <f>SUM(B254:B257)</f>
        <v>5</v>
      </c>
      <c r="C258" s="150"/>
      <c r="D258" s="456"/>
      <c r="E258" s="456"/>
      <c r="F258" s="457">
        <f>SUM(F254:F257)</f>
        <v>10150</v>
      </c>
      <c r="G258" s="453"/>
      <c r="I258" s="569" t="s">
        <v>32</v>
      </c>
      <c r="J258" s="103"/>
      <c r="K258" s="518">
        <v>1</v>
      </c>
      <c r="L258" s="519"/>
      <c r="M258" s="518">
        <v>1</v>
      </c>
      <c r="N258" s="519"/>
      <c r="O258" s="518">
        <v>2</v>
      </c>
      <c r="P258" s="519"/>
      <c r="Q258" s="518">
        <v>2</v>
      </c>
      <c r="R258" s="519"/>
      <c r="S258" s="518">
        <v>2</v>
      </c>
      <c r="T258" s="519"/>
      <c r="U258" s="518">
        <v>0</v>
      </c>
      <c r="V258" s="106">
        <f t="shared" si="60"/>
        <v>1.6</v>
      </c>
    </row>
    <row r="259" spans="1:50" ht="19.8" thickBot="1" x14ac:dyDescent="0.5">
      <c r="A259" s="454"/>
      <c r="B259" s="456"/>
      <c r="C259" s="150"/>
      <c r="D259" s="459"/>
      <c r="E259" s="460" t="s">
        <v>7</v>
      </c>
      <c r="F259" s="457">
        <f>S251</f>
        <v>800</v>
      </c>
      <c r="G259" s="461"/>
      <c r="I259" s="572"/>
      <c r="J259" s="573"/>
      <c r="K259" s="574">
        <f>SUM(K255:K258)</f>
        <v>4</v>
      </c>
      <c r="L259" s="574"/>
      <c r="M259" s="574">
        <f t="shared" ref="M259" si="61">SUM(M255:M258)</f>
        <v>4</v>
      </c>
      <c r="N259" s="574"/>
      <c r="O259" s="574">
        <f t="shared" ref="O259" si="62">SUM(O255:O258)</f>
        <v>5</v>
      </c>
      <c r="P259" s="574"/>
      <c r="Q259" s="574">
        <f t="shared" ref="Q259" si="63">SUM(Q255:Q258)</f>
        <v>5</v>
      </c>
      <c r="R259" s="574"/>
      <c r="S259" s="574">
        <f t="shared" ref="S259" si="64">SUM(S255:S258)</f>
        <v>5</v>
      </c>
      <c r="T259" s="574"/>
      <c r="U259" s="574">
        <f t="shared" ref="U259" si="65">SUM(U255:U258)</f>
        <v>0</v>
      </c>
      <c r="V259" s="621">
        <f t="shared" si="60"/>
        <v>4.5999999999999996</v>
      </c>
    </row>
    <row r="260" spans="1:50" ht="16.8" x14ac:dyDescent="0.45">
      <c r="A260" s="454"/>
      <c r="B260" s="456"/>
      <c r="C260" s="150"/>
      <c r="D260" s="68"/>
      <c r="E260" s="460" t="s">
        <v>209</v>
      </c>
      <c r="F260" s="457">
        <f>T251</f>
        <v>750</v>
      </c>
      <c r="G260" s="461"/>
      <c r="I260" s="391"/>
      <c r="S260" s="431"/>
      <c r="T260" s="431"/>
      <c r="U260" s="431"/>
    </row>
    <row r="261" spans="1:50" ht="16.8" x14ac:dyDescent="0.45">
      <c r="A261" s="454"/>
      <c r="B261" s="456"/>
      <c r="C261" s="150"/>
      <c r="D261" s="68"/>
      <c r="E261" s="460" t="s">
        <v>215</v>
      </c>
      <c r="F261" s="457">
        <f>U251</f>
        <v>700</v>
      </c>
      <c r="G261" s="461"/>
      <c r="I261" s="391"/>
      <c r="S261" s="431"/>
      <c r="T261" s="431"/>
      <c r="U261" s="431"/>
    </row>
    <row r="262" spans="1:50" ht="16.8" x14ac:dyDescent="0.45">
      <c r="A262" s="454"/>
      <c r="B262" s="456"/>
      <c r="C262" s="150"/>
      <c r="D262" s="68"/>
      <c r="E262" s="460" t="s">
        <v>317</v>
      </c>
      <c r="F262" s="457">
        <f>W251</f>
        <v>3784.61</v>
      </c>
      <c r="G262" s="461"/>
      <c r="I262" s="391"/>
      <c r="S262" s="431"/>
      <c r="T262" s="431"/>
      <c r="U262" s="431"/>
    </row>
    <row r="263" spans="1:50" ht="16.8" x14ac:dyDescent="0.45">
      <c r="A263" s="454"/>
      <c r="B263" s="456"/>
      <c r="C263" s="150"/>
      <c r="D263" s="68"/>
      <c r="E263" s="460"/>
      <c r="F263" s="457"/>
      <c r="G263" s="461"/>
      <c r="I263" s="391"/>
      <c r="S263" s="431"/>
      <c r="T263" s="431"/>
      <c r="U263" s="431"/>
    </row>
    <row r="264" spans="1:50" ht="16.2" x14ac:dyDescent="0.4">
      <c r="A264" s="454"/>
      <c r="B264" s="456"/>
      <c r="C264" s="150"/>
      <c r="D264" s="456"/>
      <c r="E264" s="456"/>
      <c r="F264" s="463">
        <f>SUM(F258:F263)</f>
        <v>16184.61</v>
      </c>
      <c r="G264" s="453"/>
      <c r="S264" s="431"/>
      <c r="T264" s="431"/>
      <c r="U264" s="431"/>
    </row>
    <row r="265" spans="1:50" ht="16.8" thickBot="1" x14ac:dyDescent="0.45">
      <c r="A265" s="464"/>
      <c r="B265" s="465"/>
      <c r="C265" s="466"/>
      <c r="D265" s="467"/>
      <c r="E265" s="467"/>
      <c r="F265" s="467"/>
      <c r="G265" s="468"/>
    </row>
    <row r="266" spans="1:50" ht="15" thickBot="1" x14ac:dyDescent="0.35">
      <c r="A266"/>
    </row>
    <row r="267" spans="1:50" ht="42.75" customHeight="1" thickBot="1" x14ac:dyDescent="0.45">
      <c r="B267" s="856" t="str">
        <f>+B1</f>
        <v>SEMANA DEL 09 AL 15  DE DICIEMBRE DEL 2024</v>
      </c>
      <c r="C267" s="857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  <c r="O267" s="857"/>
      <c r="P267" s="857"/>
      <c r="Q267" s="858"/>
      <c r="R267" s="68"/>
      <c r="S267" s="68"/>
      <c r="T267" s="68"/>
      <c r="U267" s="68"/>
      <c r="V267" s="68"/>
      <c r="W267" s="68"/>
    </row>
    <row r="268" spans="1:50" ht="26.25" customHeight="1" x14ac:dyDescent="0.4">
      <c r="B268" s="896" t="s">
        <v>142</v>
      </c>
      <c r="C268" s="897"/>
      <c r="D268" s="897"/>
      <c r="E268" s="897"/>
      <c r="F268" s="897"/>
      <c r="G268" s="897"/>
      <c r="H268" s="897"/>
      <c r="I268" s="897"/>
      <c r="J268" s="897"/>
      <c r="K268" s="897"/>
      <c r="L268" s="897"/>
      <c r="M268" s="897"/>
      <c r="N268" s="897"/>
      <c r="O268" s="897"/>
      <c r="P268" s="897"/>
      <c r="Q268" s="898"/>
      <c r="R268" s="874" t="s">
        <v>202</v>
      </c>
      <c r="S268" s="868" t="s">
        <v>203</v>
      </c>
      <c r="T268" s="868" t="s">
        <v>204</v>
      </c>
      <c r="U268" s="868" t="s">
        <v>248</v>
      </c>
      <c r="V268" s="868" t="s">
        <v>243</v>
      </c>
      <c r="W268" s="868" t="s">
        <v>212</v>
      </c>
      <c r="X268" s="885" t="s">
        <v>205</v>
      </c>
    </row>
    <row r="269" spans="1:50" ht="14.25" customHeight="1" x14ac:dyDescent="0.3">
      <c r="A269" s="497"/>
      <c r="B269" s="499" t="s">
        <v>186</v>
      </c>
      <c r="C269" s="500" t="s">
        <v>135</v>
      </c>
      <c r="D269" s="500" t="s">
        <v>136</v>
      </c>
      <c r="E269" s="501" t="s">
        <v>8</v>
      </c>
      <c r="F269" s="501"/>
      <c r="G269" s="501" t="s">
        <v>9</v>
      </c>
      <c r="H269" s="501"/>
      <c r="I269" s="501" t="s">
        <v>9</v>
      </c>
      <c r="J269" s="501"/>
      <c r="K269" s="501" t="s">
        <v>10</v>
      </c>
      <c r="L269" s="501"/>
      <c r="M269" s="501" t="s">
        <v>11</v>
      </c>
      <c r="N269" s="501"/>
      <c r="O269" s="501" t="s">
        <v>12</v>
      </c>
      <c r="P269" s="501"/>
      <c r="Q269" s="502" t="s">
        <v>187</v>
      </c>
      <c r="R269" s="875"/>
      <c r="S269" s="869"/>
      <c r="T269" s="869"/>
      <c r="U269" s="869"/>
      <c r="V269" s="869"/>
      <c r="W269" s="869"/>
      <c r="X269" s="886"/>
      <c r="Y269" s="583"/>
      <c r="Z269" s="391"/>
      <c r="AA269" s="391"/>
      <c r="AB269" s="391"/>
      <c r="AC269" s="391"/>
      <c r="AD269" s="391"/>
      <c r="AE269" s="391"/>
      <c r="AF269" s="391"/>
    </row>
    <row r="270" spans="1:50" s="391" customFormat="1" x14ac:dyDescent="0.3">
      <c r="A270" s="416"/>
      <c r="B270" s="512">
        <v>216</v>
      </c>
      <c r="C270" s="415" t="s">
        <v>273</v>
      </c>
      <c r="D270" s="601" t="s">
        <v>69</v>
      </c>
      <c r="E270" s="354">
        <v>1</v>
      </c>
      <c r="F270" s="420"/>
      <c r="G270" s="354">
        <v>1</v>
      </c>
      <c r="H270" s="420"/>
      <c r="I270" s="354">
        <v>1</v>
      </c>
      <c r="J270" s="420"/>
      <c r="K270" s="414">
        <v>1</v>
      </c>
      <c r="L270" s="420"/>
      <c r="M270" s="592">
        <v>0</v>
      </c>
      <c r="N270" s="594" t="s">
        <v>129</v>
      </c>
      <c r="O270" s="354"/>
      <c r="P270" s="354"/>
      <c r="Q270" s="473"/>
      <c r="R270" s="478">
        <v>1240</v>
      </c>
      <c r="S270" s="607">
        <v>100</v>
      </c>
      <c r="T270" s="395"/>
      <c r="U270" s="395"/>
      <c r="V270" s="395"/>
      <c r="W270" s="395"/>
      <c r="X270" s="515">
        <f t="shared" ref="X270:X281" si="66">(R270+S270+T270+U270+V270+W270)</f>
        <v>1340</v>
      </c>
      <c r="Y270" s="579">
        <v>-310</v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0" s="391" customFormat="1" x14ac:dyDescent="0.3">
      <c r="A271" s="416"/>
      <c r="B271" s="512">
        <v>244</v>
      </c>
      <c r="C271" s="415" t="s">
        <v>302</v>
      </c>
      <c r="D271" s="603" t="s">
        <v>201</v>
      </c>
      <c r="E271" s="354">
        <v>1</v>
      </c>
      <c r="F271" s="420"/>
      <c r="G271" s="636">
        <v>1</v>
      </c>
      <c r="H271" s="420"/>
      <c r="I271" s="354">
        <v>1</v>
      </c>
      <c r="J271" s="354"/>
      <c r="K271" s="414">
        <v>1</v>
      </c>
      <c r="L271" s="354"/>
      <c r="M271" s="354">
        <v>1</v>
      </c>
      <c r="N271" s="420"/>
      <c r="O271" s="354"/>
      <c r="P271" s="354"/>
      <c r="Q271" s="473"/>
      <c r="R271" s="478">
        <v>2000</v>
      </c>
      <c r="S271" s="395"/>
      <c r="T271" s="395"/>
      <c r="U271" s="395"/>
      <c r="V271" s="395"/>
      <c r="W271" s="395"/>
      <c r="X271" s="515">
        <f t="shared" si="66"/>
        <v>2000</v>
      </c>
      <c r="Y271" s="579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0" x14ac:dyDescent="0.3">
      <c r="A272" s="416"/>
      <c r="B272" s="507">
        <v>97</v>
      </c>
      <c r="C272" s="415" t="s">
        <v>101</v>
      </c>
      <c r="D272" s="602" t="s">
        <v>143</v>
      </c>
      <c r="E272" s="354">
        <v>1</v>
      </c>
      <c r="F272" s="420"/>
      <c r="G272" s="354">
        <v>1</v>
      </c>
      <c r="H272" s="354"/>
      <c r="I272" s="354">
        <v>1</v>
      </c>
      <c r="J272" s="354"/>
      <c r="K272" s="414">
        <v>1</v>
      </c>
      <c r="L272" s="354"/>
      <c r="M272" s="354">
        <v>1</v>
      </c>
      <c r="N272" s="420"/>
      <c r="O272" s="354"/>
      <c r="P272" s="354"/>
      <c r="Q272" s="473"/>
      <c r="R272" s="478">
        <v>3500</v>
      </c>
      <c r="S272" s="395"/>
      <c r="T272" s="395"/>
      <c r="U272" s="395"/>
      <c r="V272" s="395"/>
      <c r="W272" s="395"/>
      <c r="X272" s="515">
        <f t="shared" si="66"/>
        <v>3500</v>
      </c>
    </row>
    <row r="273" spans="1:50" x14ac:dyDescent="0.3">
      <c r="A273" s="393"/>
      <c r="B273" s="610">
        <v>172</v>
      </c>
      <c r="C273" s="415" t="s">
        <v>168</v>
      </c>
      <c r="D273" s="603" t="s">
        <v>201</v>
      </c>
      <c r="E273" s="354">
        <v>1</v>
      </c>
      <c r="F273" s="420"/>
      <c r="G273" s="354">
        <v>1</v>
      </c>
      <c r="H273" s="420"/>
      <c r="I273" s="354">
        <v>1</v>
      </c>
      <c r="J273" s="354"/>
      <c r="K273" s="414">
        <v>1</v>
      </c>
      <c r="L273" s="420"/>
      <c r="M273" s="354">
        <v>1</v>
      </c>
      <c r="N273" s="420"/>
      <c r="O273" s="354"/>
      <c r="P273" s="414"/>
      <c r="Q273" s="715"/>
      <c r="R273" s="478">
        <v>4000</v>
      </c>
      <c r="S273" s="395"/>
      <c r="T273" s="395"/>
      <c r="U273" s="395"/>
      <c r="V273" s="395"/>
      <c r="W273" s="395"/>
      <c r="X273" s="515">
        <f t="shared" si="66"/>
        <v>4000</v>
      </c>
    </row>
    <row r="274" spans="1:50" x14ac:dyDescent="0.3">
      <c r="A274" s="393"/>
      <c r="B274" s="512">
        <v>165</v>
      </c>
      <c r="C274" s="415" t="s">
        <v>151</v>
      </c>
      <c r="D274" s="604" t="s">
        <v>199</v>
      </c>
      <c r="E274" s="354">
        <v>1</v>
      </c>
      <c r="F274" s="420"/>
      <c r="G274" s="354">
        <v>1</v>
      </c>
      <c r="H274" s="420"/>
      <c r="I274" s="354">
        <v>1</v>
      </c>
      <c r="J274" s="354"/>
      <c r="K274" s="414">
        <v>1</v>
      </c>
      <c r="L274" s="420"/>
      <c r="M274" s="354">
        <v>1</v>
      </c>
      <c r="N274" s="420"/>
      <c r="O274" s="354"/>
      <c r="P274" s="414"/>
      <c r="Q274" s="716"/>
      <c r="R274" s="478">
        <v>7000</v>
      </c>
      <c r="S274" s="395"/>
      <c r="T274" s="395"/>
      <c r="U274" s="395"/>
      <c r="V274" s="395"/>
      <c r="W274" s="395"/>
      <c r="X274" s="515">
        <f t="shared" si="66"/>
        <v>7000</v>
      </c>
    </row>
    <row r="275" spans="1:50" x14ac:dyDescent="0.3">
      <c r="A275" s="416"/>
      <c r="B275" s="507">
        <v>89</v>
      </c>
      <c r="C275" s="415" t="s">
        <v>97</v>
      </c>
      <c r="D275" s="605" t="s">
        <v>66</v>
      </c>
      <c r="E275" s="414">
        <v>1</v>
      </c>
      <c r="F275" s="420"/>
      <c r="G275" s="354">
        <v>1</v>
      </c>
      <c r="H275" s="354"/>
      <c r="I275" s="354">
        <v>1</v>
      </c>
      <c r="J275" s="354"/>
      <c r="K275" s="414">
        <v>1</v>
      </c>
      <c r="L275" s="420"/>
      <c r="M275" s="354">
        <v>1</v>
      </c>
      <c r="N275" s="420"/>
      <c r="O275" s="354"/>
      <c r="P275" s="420"/>
      <c r="Q275" s="473"/>
      <c r="R275" s="478">
        <v>1550</v>
      </c>
      <c r="S275" s="587">
        <v>300</v>
      </c>
      <c r="T275" s="395"/>
      <c r="U275" s="395"/>
      <c r="V275" s="395"/>
      <c r="W275" s="395"/>
      <c r="X275" s="515">
        <f t="shared" si="66"/>
        <v>1850</v>
      </c>
    </row>
    <row r="276" spans="1:50" x14ac:dyDescent="0.3">
      <c r="A276" s="416"/>
      <c r="B276" s="507">
        <v>246</v>
      </c>
      <c r="C276" s="415" t="s">
        <v>309</v>
      </c>
      <c r="D276" s="601" t="s">
        <v>69</v>
      </c>
      <c r="E276" s="414">
        <v>1</v>
      </c>
      <c r="F276" s="420"/>
      <c r="G276" s="354">
        <v>1</v>
      </c>
      <c r="H276" s="354"/>
      <c r="I276" s="354">
        <v>1</v>
      </c>
      <c r="J276" s="354"/>
      <c r="K276" s="721">
        <v>0</v>
      </c>
      <c r="L276" s="594" t="s">
        <v>129</v>
      </c>
      <c r="M276" s="592">
        <v>0</v>
      </c>
      <c r="N276" s="594" t="s">
        <v>129</v>
      </c>
      <c r="O276" s="354"/>
      <c r="P276" s="354"/>
      <c r="Q276" s="473"/>
      <c r="R276" s="617">
        <v>930</v>
      </c>
      <c r="S276" s="392"/>
      <c r="T276" s="392"/>
      <c r="U276" s="392"/>
      <c r="V276" s="392"/>
      <c r="W276" s="392"/>
      <c r="X276" s="515">
        <f t="shared" si="66"/>
        <v>930</v>
      </c>
      <c r="Y276" s="579">
        <v>-620</v>
      </c>
    </row>
    <row r="277" spans="1:50" x14ac:dyDescent="0.3">
      <c r="A277" s="497" t="e">
        <f>#REF!+1</f>
        <v>#REF!</v>
      </c>
      <c r="B277" s="507">
        <v>32</v>
      </c>
      <c r="C277" s="415" t="s">
        <v>54</v>
      </c>
      <c r="D277" s="601" t="s">
        <v>69</v>
      </c>
      <c r="E277" s="414">
        <v>1</v>
      </c>
      <c r="F277" s="420"/>
      <c r="G277" s="414">
        <v>1</v>
      </c>
      <c r="H277" s="585"/>
      <c r="I277" s="354">
        <v>1</v>
      </c>
      <c r="J277" s="354"/>
      <c r="K277" s="414">
        <v>1</v>
      </c>
      <c r="L277" s="585"/>
      <c r="M277" s="354">
        <v>1</v>
      </c>
      <c r="N277" s="420"/>
      <c r="O277" s="354"/>
      <c r="P277" s="414"/>
      <c r="Q277" s="473"/>
      <c r="R277" s="478">
        <v>1550</v>
      </c>
      <c r="S277" s="587">
        <v>300</v>
      </c>
      <c r="T277" s="395">
        <v>150</v>
      </c>
      <c r="U277" s="395"/>
      <c r="V277" s="395"/>
      <c r="W277" s="395"/>
      <c r="X277" s="515">
        <f t="shared" si="66"/>
        <v>2000</v>
      </c>
    </row>
    <row r="278" spans="1:50" x14ac:dyDescent="0.3">
      <c r="A278" s="416"/>
      <c r="B278" s="507">
        <v>34</v>
      </c>
      <c r="C278" s="415" t="s">
        <v>62</v>
      </c>
      <c r="D278" s="601" t="s">
        <v>200</v>
      </c>
      <c r="E278" s="354">
        <v>1</v>
      </c>
      <c r="F278" s="420"/>
      <c r="G278" s="354">
        <v>1</v>
      </c>
      <c r="H278" s="354"/>
      <c r="I278" s="354">
        <v>1</v>
      </c>
      <c r="J278" s="354"/>
      <c r="K278" s="414">
        <v>1</v>
      </c>
      <c r="L278" s="354"/>
      <c r="M278" s="354">
        <v>1</v>
      </c>
      <c r="N278" s="420"/>
      <c r="O278" s="354"/>
      <c r="P278" s="354"/>
      <c r="Q278" s="473"/>
      <c r="R278" s="478">
        <v>4000</v>
      </c>
      <c r="S278" s="395"/>
      <c r="T278" s="395"/>
      <c r="U278" s="395"/>
      <c r="V278" s="395"/>
      <c r="W278" s="395">
        <v>857.14</v>
      </c>
      <c r="X278" s="515">
        <f t="shared" si="66"/>
        <v>4857.1400000000003</v>
      </c>
    </row>
    <row r="279" spans="1:50" s="427" customFormat="1" x14ac:dyDescent="0.3">
      <c r="A279" s="577"/>
      <c r="B279" s="507">
        <v>35</v>
      </c>
      <c r="C279" s="415" t="s">
        <v>63</v>
      </c>
      <c r="D279" s="598" t="s">
        <v>67</v>
      </c>
      <c r="E279" s="354">
        <v>1</v>
      </c>
      <c r="F279" s="420"/>
      <c r="G279" s="354">
        <v>1</v>
      </c>
      <c r="H279" s="354"/>
      <c r="I279" s="354">
        <v>1</v>
      </c>
      <c r="J279" s="354"/>
      <c r="K279" s="414">
        <v>1</v>
      </c>
      <c r="L279" s="354"/>
      <c r="M279" s="354">
        <v>1</v>
      </c>
      <c r="N279" s="420"/>
      <c r="O279" s="354">
        <v>1</v>
      </c>
      <c r="P279" s="420"/>
      <c r="Q279" s="473">
        <v>1</v>
      </c>
      <c r="R279" s="718">
        <v>2100</v>
      </c>
      <c r="S279" s="480"/>
      <c r="T279" s="480">
        <v>150</v>
      </c>
      <c r="U279" s="480"/>
      <c r="V279" s="480"/>
      <c r="W279" s="480">
        <f>400+2250</f>
        <v>2650</v>
      </c>
      <c r="X279" s="515">
        <f t="shared" si="66"/>
        <v>4900</v>
      </c>
      <c r="Y279" s="580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0" x14ac:dyDescent="0.3">
      <c r="A280" s="608"/>
      <c r="B280" s="507">
        <v>41</v>
      </c>
      <c r="C280" s="479" t="s">
        <v>64</v>
      </c>
      <c r="D280" s="623" t="s">
        <v>68</v>
      </c>
      <c r="E280" s="354">
        <v>1</v>
      </c>
      <c r="F280" s="420"/>
      <c r="G280" s="354">
        <v>1</v>
      </c>
      <c r="H280" s="420"/>
      <c r="I280" s="354">
        <v>1</v>
      </c>
      <c r="J280" s="354"/>
      <c r="K280" s="414">
        <v>1</v>
      </c>
      <c r="L280" s="420"/>
      <c r="M280" s="354">
        <v>1</v>
      </c>
      <c r="N280" s="420"/>
      <c r="O280" s="419"/>
      <c r="P280" s="419"/>
      <c r="Q280" s="717"/>
      <c r="R280" s="719">
        <v>4000</v>
      </c>
      <c r="S280" s="118"/>
      <c r="T280" s="118"/>
      <c r="U280" s="118"/>
      <c r="V280" s="118"/>
      <c r="W280" s="118"/>
      <c r="X280" s="515">
        <f t="shared" si="66"/>
        <v>4000</v>
      </c>
      <c r="Y280" s="584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</row>
    <row r="281" spans="1:50" ht="15" thickBot="1" x14ac:dyDescent="0.35">
      <c r="A281" s="608"/>
      <c r="B281" s="511">
        <v>245</v>
      </c>
      <c r="C281" s="713" t="s">
        <v>308</v>
      </c>
      <c r="D281" s="643" t="s">
        <v>69</v>
      </c>
      <c r="E281" s="486">
        <v>1</v>
      </c>
      <c r="F281" s="578"/>
      <c r="G281" s="486">
        <v>1</v>
      </c>
      <c r="H281" s="486"/>
      <c r="I281" s="714">
        <v>1</v>
      </c>
      <c r="J281" s="578"/>
      <c r="K281" s="722">
        <v>1</v>
      </c>
      <c r="L281" s="578"/>
      <c r="M281" s="486">
        <v>1</v>
      </c>
      <c r="N281" s="578"/>
      <c r="O281" s="486"/>
      <c r="P281" s="486"/>
      <c r="Q281" s="487"/>
      <c r="R281" s="720">
        <v>1550</v>
      </c>
      <c r="S281" s="615">
        <v>300</v>
      </c>
      <c r="T281" s="615">
        <v>250</v>
      </c>
      <c r="U281" s="615"/>
      <c r="V281" s="615"/>
      <c r="W281" s="615"/>
      <c r="X281" s="596">
        <f t="shared" si="66"/>
        <v>2100</v>
      </c>
      <c r="Y281" s="584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</row>
    <row r="282" spans="1:50" s="427" customFormat="1" x14ac:dyDescent="0.3">
      <c r="A282" s="421"/>
      <c r="B282" s="422"/>
      <c r="C282" s="423"/>
      <c r="D282" s="424"/>
      <c r="E282" s="425">
        <f>SUM(E270:E281)</f>
        <v>12</v>
      </c>
      <c r="F282" s="425"/>
      <c r="G282" s="425">
        <f t="shared" ref="G282:K282" si="67">SUM(G270:G281)</f>
        <v>12</v>
      </c>
      <c r="H282" s="425"/>
      <c r="I282" s="425">
        <f t="shared" si="67"/>
        <v>12</v>
      </c>
      <c r="J282" s="425"/>
      <c r="K282" s="425">
        <f t="shared" si="67"/>
        <v>11</v>
      </c>
      <c r="L282" s="425"/>
      <c r="M282" s="425">
        <f>SUM(M270:M281)</f>
        <v>10</v>
      </c>
      <c r="N282" s="425"/>
      <c r="O282" s="425"/>
      <c r="P282" s="425"/>
      <c r="Q282" s="425"/>
      <c r="R282" s="421"/>
      <c r="S282" s="421">
        <f>SUM(S270:S281)</f>
        <v>1000</v>
      </c>
      <c r="T282" s="421">
        <f t="shared" ref="T282:W282" si="68">SUM(T270:T281)</f>
        <v>550</v>
      </c>
      <c r="U282" s="421">
        <f t="shared" si="68"/>
        <v>0</v>
      </c>
      <c r="V282" s="421">
        <f t="shared" si="68"/>
        <v>0</v>
      </c>
      <c r="W282" s="421">
        <f t="shared" si="68"/>
        <v>3507.14</v>
      </c>
      <c r="X282" s="476">
        <f>SUM(X270:X281)-Y270-Y276</f>
        <v>39407.14</v>
      </c>
      <c r="Y282" s="580"/>
    </row>
    <row r="283" spans="1:50" s="431" customFormat="1" ht="15" thickBot="1" x14ac:dyDescent="0.35">
      <c r="A283" s="287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 s="579"/>
      <c r="Z283"/>
      <c r="AA283"/>
      <c r="AB283"/>
      <c r="AC283"/>
      <c r="AD283"/>
      <c r="AE283"/>
      <c r="AF283"/>
    </row>
    <row r="284" spans="1:50" ht="16.8" x14ac:dyDescent="0.45">
      <c r="A284"/>
      <c r="B284" s="444"/>
      <c r="C284" s="444"/>
      <c r="D284" s="445" t="s">
        <v>14</v>
      </c>
      <c r="E284" s="445" t="s">
        <v>208</v>
      </c>
      <c r="F284" s="445" t="s">
        <v>17</v>
      </c>
      <c r="G284" s="445"/>
      <c r="H284" s="446"/>
      <c r="I284" s="447"/>
      <c r="X284" s="470">
        <f>F302-X282</f>
        <v>0</v>
      </c>
    </row>
    <row r="285" spans="1:50" ht="16.8" thickBot="1" x14ac:dyDescent="0.45">
      <c r="A285"/>
      <c r="B285" s="159">
        <v>0</v>
      </c>
      <c r="C285" s="521" t="s">
        <v>107</v>
      </c>
      <c r="D285" s="449">
        <v>0</v>
      </c>
      <c r="E285" s="150">
        <v>0</v>
      </c>
      <c r="F285" s="150">
        <f>D285*B285</f>
        <v>0</v>
      </c>
      <c r="G285" s="150"/>
      <c r="H285" s="450"/>
      <c r="I285" s="451"/>
      <c r="J285" s="8"/>
      <c r="K285" s="91"/>
      <c r="L285" s="42" t="s">
        <v>8</v>
      </c>
      <c r="M285" s="42"/>
      <c r="N285" s="42" t="s">
        <v>9</v>
      </c>
      <c r="O285" s="42"/>
      <c r="P285" s="42" t="s">
        <v>9</v>
      </c>
      <c r="Q285" s="42"/>
      <c r="R285" s="42" t="s">
        <v>10</v>
      </c>
      <c r="S285" s="42"/>
      <c r="T285" s="42" t="s">
        <v>11</v>
      </c>
      <c r="U285" s="42"/>
      <c r="V285" s="42" t="s">
        <v>12</v>
      </c>
      <c r="W285" s="42"/>
    </row>
    <row r="286" spans="1:50" ht="26.25" customHeight="1" x14ac:dyDescent="0.4">
      <c r="A286"/>
      <c r="B286" s="159">
        <v>0</v>
      </c>
      <c r="C286" s="522" t="s">
        <v>99</v>
      </c>
      <c r="D286" s="449">
        <v>0</v>
      </c>
      <c r="E286" s="150">
        <v>0</v>
      </c>
      <c r="F286" s="449">
        <f>D286*B286</f>
        <v>0</v>
      </c>
      <c r="G286" s="449"/>
      <c r="H286" s="450"/>
      <c r="I286" s="451"/>
      <c r="J286" s="95"/>
      <c r="K286" s="96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8" t="s">
        <v>28</v>
      </c>
    </row>
    <row r="287" spans="1:50" ht="23.25" customHeight="1" x14ac:dyDescent="0.4">
      <c r="A287"/>
      <c r="B287" s="68">
        <v>1</v>
      </c>
      <c r="C287" s="449" t="s">
        <v>65</v>
      </c>
      <c r="D287" s="449">
        <f>7000*B287</f>
        <v>7000</v>
      </c>
      <c r="E287" s="150">
        <v>0</v>
      </c>
      <c r="F287" s="150">
        <f>+(D287*B287)+E287</f>
        <v>7000</v>
      </c>
      <c r="G287" s="150"/>
      <c r="H287" s="453"/>
      <c r="I287" s="451"/>
      <c r="J287" s="559" t="s">
        <v>107</v>
      </c>
      <c r="K287" s="103"/>
      <c r="L287" s="104">
        <v>0</v>
      </c>
      <c r="M287" s="105"/>
      <c r="N287" s="104">
        <v>0</v>
      </c>
      <c r="O287" s="105"/>
      <c r="P287" s="104">
        <v>0</v>
      </c>
      <c r="Q287" s="105"/>
      <c r="R287" s="104">
        <v>0</v>
      </c>
      <c r="S287" s="105"/>
      <c r="T287" s="104">
        <v>0</v>
      </c>
      <c r="U287" s="105"/>
      <c r="V287" s="104">
        <v>0</v>
      </c>
      <c r="W287" s="106">
        <f>AVERAGE(L287,N287,P287,R287,T287)</f>
        <v>0</v>
      </c>
    </row>
    <row r="288" spans="1:50" ht="17.25" customHeight="1" x14ac:dyDescent="0.4">
      <c r="A288"/>
      <c r="B288" s="22">
        <v>1</v>
      </c>
      <c r="C288" s="523" t="s">
        <v>113</v>
      </c>
      <c r="D288" s="449">
        <v>3500</v>
      </c>
      <c r="E288" s="150">
        <v>0</v>
      </c>
      <c r="F288" s="150">
        <f>D288*B288</f>
        <v>3500</v>
      </c>
      <c r="G288" s="150"/>
      <c r="H288" s="453"/>
      <c r="I288" s="451"/>
      <c r="J288" s="560" t="s">
        <v>99</v>
      </c>
      <c r="K288" s="103"/>
      <c r="L288" s="104">
        <v>0</v>
      </c>
      <c r="M288" s="105"/>
      <c r="N288" s="104">
        <v>0</v>
      </c>
      <c r="O288" s="105"/>
      <c r="P288" s="104">
        <v>0</v>
      </c>
      <c r="Q288" s="105"/>
      <c r="R288" s="104">
        <v>0</v>
      </c>
      <c r="S288" s="105"/>
      <c r="T288" s="104">
        <v>0</v>
      </c>
      <c r="U288" s="105"/>
      <c r="V288" s="104">
        <v>0</v>
      </c>
      <c r="W288" s="106">
        <f t="shared" ref="W288:W297" si="69">AVERAGE(L288,N288,P288,R288,T288)</f>
        <v>0</v>
      </c>
    </row>
    <row r="289" spans="1:25" ht="21" customHeight="1" x14ac:dyDescent="0.4">
      <c r="A289"/>
      <c r="B289" s="22">
        <v>2</v>
      </c>
      <c r="C289" s="524" t="s">
        <v>304</v>
      </c>
      <c r="D289" s="449">
        <f>2000+4000</f>
        <v>6000</v>
      </c>
      <c r="E289" s="150">
        <v>0</v>
      </c>
      <c r="F289" s="150">
        <f>D289</f>
        <v>6000</v>
      </c>
      <c r="G289" s="150"/>
      <c r="H289" s="453"/>
      <c r="I289" s="451"/>
      <c r="J289" s="561" t="s">
        <v>65</v>
      </c>
      <c r="K289" s="103"/>
      <c r="L289" s="104">
        <v>1</v>
      </c>
      <c r="M289" s="105"/>
      <c r="N289" s="104">
        <v>1</v>
      </c>
      <c r="O289" s="105"/>
      <c r="P289" s="104">
        <v>1</v>
      </c>
      <c r="Q289" s="105"/>
      <c r="R289" s="104">
        <v>1</v>
      </c>
      <c r="S289" s="105"/>
      <c r="T289" s="104">
        <v>1</v>
      </c>
      <c r="U289" s="105"/>
      <c r="V289" s="104">
        <v>0</v>
      </c>
      <c r="W289" s="106">
        <f t="shared" si="69"/>
        <v>1</v>
      </c>
      <c r="X289" s="576"/>
      <c r="Y289" s="673"/>
    </row>
    <row r="290" spans="1:25" ht="15" customHeight="1" x14ac:dyDescent="0.4">
      <c r="A290"/>
      <c r="B290" s="68">
        <v>1</v>
      </c>
      <c r="C290" s="525" t="s">
        <v>66</v>
      </c>
      <c r="D290" s="449">
        <v>1550</v>
      </c>
      <c r="E290" s="150">
        <v>0</v>
      </c>
      <c r="F290" s="150">
        <f>+B290*(D290+E290)</f>
        <v>1550</v>
      </c>
      <c r="G290" s="150"/>
      <c r="H290" s="453"/>
      <c r="I290" s="451"/>
      <c r="J290" s="562" t="s">
        <v>113</v>
      </c>
      <c r="K290" s="103"/>
      <c r="L290" s="104">
        <v>1</v>
      </c>
      <c r="M290" s="105"/>
      <c r="N290" s="104">
        <v>1</v>
      </c>
      <c r="O290" s="105"/>
      <c r="P290" s="104">
        <v>1</v>
      </c>
      <c r="Q290" s="105"/>
      <c r="R290" s="104">
        <v>1</v>
      </c>
      <c r="S290" s="105"/>
      <c r="T290" s="104">
        <v>1</v>
      </c>
      <c r="U290" s="105"/>
      <c r="V290" s="104">
        <v>0</v>
      </c>
      <c r="W290" s="106">
        <f t="shared" si="69"/>
        <v>1</v>
      </c>
      <c r="X290" s="470"/>
    </row>
    <row r="291" spans="1:25" ht="16.8" x14ac:dyDescent="0.4">
      <c r="A291"/>
      <c r="B291" s="68">
        <v>1</v>
      </c>
      <c r="C291" s="526" t="s">
        <v>67</v>
      </c>
      <c r="D291" s="449">
        <f>2100*B291</f>
        <v>2100</v>
      </c>
      <c r="E291" s="150">
        <v>0</v>
      </c>
      <c r="F291" s="150">
        <f>+B291*D291+E291</f>
        <v>2100</v>
      </c>
      <c r="G291" s="150"/>
      <c r="H291" s="453"/>
      <c r="I291" s="451"/>
      <c r="J291" s="563" t="s">
        <v>180</v>
      </c>
      <c r="K291" s="103"/>
      <c r="L291" s="104">
        <v>2</v>
      </c>
      <c r="M291" s="105"/>
      <c r="N291" s="104">
        <v>2</v>
      </c>
      <c r="O291" s="105"/>
      <c r="P291" s="104">
        <v>2</v>
      </c>
      <c r="Q291" s="105"/>
      <c r="R291" s="104">
        <v>2</v>
      </c>
      <c r="S291" s="105"/>
      <c r="T291" s="104">
        <v>2</v>
      </c>
      <c r="U291" s="105"/>
      <c r="V291" s="104">
        <v>0</v>
      </c>
      <c r="W291" s="106">
        <f t="shared" si="69"/>
        <v>2</v>
      </c>
    </row>
    <row r="292" spans="1:25" ht="24" customHeight="1" x14ac:dyDescent="0.4">
      <c r="A292"/>
      <c r="B292" s="68">
        <v>0</v>
      </c>
      <c r="C292" s="527" t="s">
        <v>33</v>
      </c>
      <c r="D292" s="449">
        <v>1550</v>
      </c>
      <c r="E292" s="150">
        <v>0</v>
      </c>
      <c r="F292" s="449">
        <f>+B292*(D292+E292)</f>
        <v>0</v>
      </c>
      <c r="G292" s="449"/>
      <c r="H292" s="453"/>
      <c r="I292" s="451"/>
      <c r="J292" s="564" t="s">
        <v>66</v>
      </c>
      <c r="K292" s="103"/>
      <c r="L292" s="104">
        <v>1</v>
      </c>
      <c r="M292" s="105"/>
      <c r="N292" s="104">
        <v>1</v>
      </c>
      <c r="O292" s="105"/>
      <c r="P292" s="104">
        <v>1</v>
      </c>
      <c r="Q292" s="105"/>
      <c r="R292" s="104">
        <v>1</v>
      </c>
      <c r="S292" s="105"/>
      <c r="T292" s="104">
        <v>1</v>
      </c>
      <c r="U292" s="105"/>
      <c r="V292" s="104">
        <v>0</v>
      </c>
      <c r="W292" s="106">
        <f t="shared" si="69"/>
        <v>1</v>
      </c>
    </row>
    <row r="293" spans="1:25" ht="16.8" x14ac:dyDescent="0.4">
      <c r="A293"/>
      <c r="B293" s="68">
        <v>1</v>
      </c>
      <c r="C293" s="449" t="s">
        <v>68</v>
      </c>
      <c r="D293" s="471">
        <f>4000</f>
        <v>4000</v>
      </c>
      <c r="E293" s="150"/>
      <c r="F293" s="449">
        <f>D293</f>
        <v>4000</v>
      </c>
      <c r="G293" s="449"/>
      <c r="H293" s="453"/>
      <c r="I293" s="451"/>
      <c r="J293" s="565" t="s">
        <v>67</v>
      </c>
      <c r="K293" s="103"/>
      <c r="L293" s="104">
        <v>1</v>
      </c>
      <c r="M293" s="105"/>
      <c r="N293" s="104">
        <v>1</v>
      </c>
      <c r="O293" s="105"/>
      <c r="P293" s="104">
        <v>1</v>
      </c>
      <c r="Q293" s="105"/>
      <c r="R293" s="104">
        <v>1</v>
      </c>
      <c r="S293" s="105"/>
      <c r="T293" s="104">
        <v>1</v>
      </c>
      <c r="U293" s="105"/>
      <c r="V293" s="104">
        <v>0</v>
      </c>
      <c r="W293" s="106">
        <f t="shared" si="69"/>
        <v>1</v>
      </c>
    </row>
    <row r="294" spans="1:25" ht="16.2" x14ac:dyDescent="0.4">
      <c r="A294"/>
      <c r="B294" s="68">
        <v>5</v>
      </c>
      <c r="C294" s="528" t="s">
        <v>69</v>
      </c>
      <c r="D294" s="449">
        <f>1550*4+4000</f>
        <v>10200</v>
      </c>
      <c r="E294" s="150">
        <v>0</v>
      </c>
      <c r="F294" s="449">
        <f>D294</f>
        <v>10200</v>
      </c>
      <c r="G294" s="449"/>
      <c r="H294" s="453"/>
      <c r="I294" s="451"/>
      <c r="J294" s="566" t="s">
        <v>33</v>
      </c>
      <c r="K294" s="103"/>
      <c r="L294" s="104">
        <v>0</v>
      </c>
      <c r="M294" s="105"/>
      <c r="N294" s="104">
        <v>0</v>
      </c>
      <c r="O294" s="105"/>
      <c r="P294" s="104">
        <v>0</v>
      </c>
      <c r="Q294" s="105"/>
      <c r="R294" s="104">
        <v>0</v>
      </c>
      <c r="S294" s="105"/>
      <c r="T294" s="104">
        <v>0</v>
      </c>
      <c r="U294" s="105"/>
      <c r="V294" s="104">
        <v>0</v>
      </c>
      <c r="W294" s="106">
        <f t="shared" si="69"/>
        <v>0</v>
      </c>
    </row>
    <row r="295" spans="1:25" ht="21.75" customHeight="1" x14ac:dyDescent="0.4">
      <c r="A295"/>
      <c r="B295" s="22"/>
      <c r="C295" s="449"/>
      <c r="D295" s="449"/>
      <c r="E295" s="150"/>
      <c r="F295" s="449"/>
      <c r="G295" s="449"/>
      <c r="H295" s="453"/>
      <c r="I295" s="391"/>
      <c r="J295" s="561" t="s">
        <v>68</v>
      </c>
      <c r="K295" s="103"/>
      <c r="L295" s="104">
        <v>1</v>
      </c>
      <c r="M295" s="105"/>
      <c r="N295" s="104">
        <v>1</v>
      </c>
      <c r="O295" s="105"/>
      <c r="P295" s="104">
        <v>1</v>
      </c>
      <c r="Q295" s="105"/>
      <c r="R295" s="104">
        <v>1</v>
      </c>
      <c r="S295" s="105"/>
      <c r="T295" s="104">
        <v>1</v>
      </c>
      <c r="U295" s="105"/>
      <c r="V295" s="104">
        <v>0</v>
      </c>
      <c r="W295" s="106">
        <f t="shared" si="69"/>
        <v>1</v>
      </c>
    </row>
    <row r="296" spans="1:25" ht="20.25" customHeight="1" x14ac:dyDescent="0.45">
      <c r="A296"/>
      <c r="B296" s="455">
        <f>SUM(B285:B295)</f>
        <v>12</v>
      </c>
      <c r="C296" s="150"/>
      <c r="D296" s="456"/>
      <c r="E296" s="456"/>
      <c r="F296" s="457">
        <f>SUM(F285:F295)</f>
        <v>34350</v>
      </c>
      <c r="G296" s="457"/>
      <c r="H296" s="453"/>
      <c r="I296" s="391"/>
      <c r="J296" s="567" t="s">
        <v>84</v>
      </c>
      <c r="K296" s="103"/>
      <c r="L296" s="104">
        <v>0</v>
      </c>
      <c r="M296" s="105"/>
      <c r="N296" s="104">
        <v>0</v>
      </c>
      <c r="O296" s="105"/>
      <c r="P296" s="104">
        <v>0</v>
      </c>
      <c r="Q296" s="105"/>
      <c r="R296" s="104">
        <v>0</v>
      </c>
      <c r="S296" s="105"/>
      <c r="T296" s="104">
        <v>0</v>
      </c>
      <c r="U296" s="105"/>
      <c r="V296" s="104">
        <v>0</v>
      </c>
      <c r="W296" s="106">
        <f t="shared" si="69"/>
        <v>0</v>
      </c>
    </row>
    <row r="297" spans="1:25" ht="16.8" x14ac:dyDescent="0.45">
      <c r="A297"/>
      <c r="B297" s="456"/>
      <c r="C297" s="150"/>
      <c r="D297" s="459"/>
      <c r="E297" s="460" t="s">
        <v>7</v>
      </c>
      <c r="F297" s="457">
        <f>S282</f>
        <v>1000</v>
      </c>
      <c r="G297" s="457"/>
      <c r="H297" s="461"/>
      <c r="J297" s="568" t="s">
        <v>69</v>
      </c>
      <c r="K297" s="103"/>
      <c r="L297" s="104">
        <v>5</v>
      </c>
      <c r="M297" s="105"/>
      <c r="N297" s="104">
        <v>5</v>
      </c>
      <c r="O297" s="105"/>
      <c r="P297" s="104">
        <v>5</v>
      </c>
      <c r="Q297" s="105"/>
      <c r="R297" s="104">
        <v>4</v>
      </c>
      <c r="S297" s="105"/>
      <c r="T297" s="104">
        <v>3</v>
      </c>
      <c r="U297" s="105"/>
      <c r="V297" s="104">
        <v>0</v>
      </c>
      <c r="W297" s="106">
        <f t="shared" si="69"/>
        <v>4.4000000000000004</v>
      </c>
    </row>
    <row r="298" spans="1:25" ht="19.8" thickBot="1" x14ac:dyDescent="0.5">
      <c r="A298"/>
      <c r="B298" s="456"/>
      <c r="C298" s="150"/>
      <c r="D298" s="68"/>
      <c r="E298" s="460" t="s">
        <v>209</v>
      </c>
      <c r="F298" s="457">
        <f>T282</f>
        <v>550</v>
      </c>
      <c r="G298" s="457"/>
      <c r="H298" s="461"/>
      <c r="J298" s="619"/>
      <c r="K298" s="573"/>
      <c r="L298" s="620">
        <f>SUM(L287:L297)</f>
        <v>12</v>
      </c>
      <c r="M298" s="620"/>
      <c r="N298" s="620">
        <f>SUM(N287:N297)</f>
        <v>12</v>
      </c>
      <c r="O298" s="620"/>
      <c r="P298" s="620">
        <f>SUM(P287:P297)</f>
        <v>12</v>
      </c>
      <c r="Q298" s="620"/>
      <c r="R298" s="620">
        <f>SUM(R287:R297)</f>
        <v>11</v>
      </c>
      <c r="S298" s="620"/>
      <c r="T298" s="620">
        <f>SUM(T287:T297)</f>
        <v>10</v>
      </c>
      <c r="U298" s="620"/>
      <c r="V298" s="620">
        <v>0</v>
      </c>
      <c r="W298" s="621">
        <f>AVERAGE(L298,N298,P298,R298,T298)</f>
        <v>11.4</v>
      </c>
    </row>
    <row r="299" spans="1:25" ht="16.8" x14ac:dyDescent="0.45">
      <c r="A299"/>
      <c r="B299" s="456"/>
      <c r="C299" s="150"/>
      <c r="D299" s="68"/>
      <c r="E299" s="460" t="s">
        <v>612</v>
      </c>
      <c r="F299" s="457">
        <f>W280</f>
        <v>0</v>
      </c>
      <c r="G299" s="457"/>
      <c r="H299" s="461"/>
      <c r="J299" s="391"/>
    </row>
    <row r="300" spans="1:25" ht="25.2" x14ac:dyDescent="0.45">
      <c r="A300"/>
      <c r="B300" s="456"/>
      <c r="C300" s="150"/>
      <c r="D300" s="68"/>
      <c r="E300" s="460" t="s">
        <v>487</v>
      </c>
      <c r="F300" s="457">
        <f>W282</f>
        <v>3507.14</v>
      </c>
      <c r="G300" s="457"/>
      <c r="H300" s="461"/>
      <c r="J300" s="391"/>
    </row>
    <row r="301" spans="1:25" ht="16.8" x14ac:dyDescent="0.45">
      <c r="A301"/>
      <c r="B301" s="456"/>
      <c r="C301" s="150"/>
      <c r="D301" s="68"/>
      <c r="E301" s="460"/>
      <c r="F301" s="457"/>
      <c r="G301" s="457"/>
      <c r="H301" s="461"/>
      <c r="J301" s="391"/>
    </row>
    <row r="302" spans="1:25" ht="16.2" x14ac:dyDescent="0.4">
      <c r="A302"/>
      <c r="B302" s="456"/>
      <c r="C302" s="150"/>
      <c r="D302" s="68"/>
      <c r="E302" s="456"/>
      <c r="F302" s="463">
        <f>SUM(F296:F301)</f>
        <v>39407.14</v>
      </c>
      <c r="G302" s="463"/>
      <c r="H302" s="461"/>
      <c r="J302" s="391"/>
    </row>
    <row r="303" spans="1:25" ht="16.8" thickBot="1" x14ac:dyDescent="0.45">
      <c r="A303"/>
      <c r="B303" s="465"/>
      <c r="C303" s="466"/>
      <c r="D303" s="467"/>
      <c r="E303" s="467"/>
      <c r="F303" s="467"/>
      <c r="G303" s="467"/>
      <c r="H303" s="468"/>
    </row>
    <row r="304" spans="1:25" ht="15" thickBot="1" x14ac:dyDescent="0.35"/>
    <row r="305" spans="1:32" ht="36" customHeight="1" thickBot="1" x14ac:dyDescent="0.45">
      <c r="B305" s="856" t="str">
        <f>+B267</f>
        <v>SEMANA DEL 09 AL 15  DE DICIEMBRE DEL 2024</v>
      </c>
      <c r="C305" s="857"/>
      <c r="D305" s="857"/>
      <c r="E305" s="857"/>
      <c r="F305" s="857"/>
      <c r="G305" s="857"/>
      <c r="H305" s="857"/>
      <c r="I305" s="857"/>
      <c r="J305" s="857"/>
      <c r="K305" s="857"/>
      <c r="L305" s="857"/>
      <c r="M305" s="857"/>
      <c r="N305" s="857"/>
      <c r="O305" s="857"/>
      <c r="P305" s="857"/>
      <c r="Q305" s="858"/>
      <c r="X305" s="570"/>
    </row>
    <row r="306" spans="1:32" ht="26.25" customHeight="1" x14ac:dyDescent="0.4">
      <c r="B306" s="896" t="s">
        <v>70</v>
      </c>
      <c r="C306" s="897"/>
      <c r="D306" s="897"/>
      <c r="E306" s="897"/>
      <c r="F306" s="897"/>
      <c r="G306" s="897"/>
      <c r="H306" s="897"/>
      <c r="I306" s="897"/>
      <c r="J306" s="897"/>
      <c r="K306" s="897"/>
      <c r="L306" s="897"/>
      <c r="M306" s="897"/>
      <c r="N306" s="897"/>
      <c r="O306" s="897"/>
      <c r="P306" s="897"/>
      <c r="Q306" s="899"/>
      <c r="R306" s="883" t="s">
        <v>202</v>
      </c>
      <c r="S306" s="879" t="s">
        <v>203</v>
      </c>
      <c r="T306" s="879" t="s">
        <v>204</v>
      </c>
      <c r="U306" s="879" t="s">
        <v>248</v>
      </c>
      <c r="V306" s="879" t="s">
        <v>243</v>
      </c>
      <c r="W306" s="879" t="s">
        <v>212</v>
      </c>
      <c r="X306" s="881" t="s">
        <v>205</v>
      </c>
    </row>
    <row r="307" spans="1:32" ht="14.25" customHeight="1" x14ac:dyDescent="0.3">
      <c r="A307" s="497"/>
      <c r="B307" s="499" t="s">
        <v>186</v>
      </c>
      <c r="C307" s="500" t="s">
        <v>135</v>
      </c>
      <c r="D307" s="500" t="s">
        <v>136</v>
      </c>
      <c r="E307" s="501" t="s">
        <v>8</v>
      </c>
      <c r="F307" s="501"/>
      <c r="G307" s="501" t="s">
        <v>9</v>
      </c>
      <c r="H307" s="501"/>
      <c r="I307" s="501" t="s">
        <v>9</v>
      </c>
      <c r="J307" s="501"/>
      <c r="K307" s="501" t="s">
        <v>10</v>
      </c>
      <c r="L307" s="501"/>
      <c r="M307" s="501" t="s">
        <v>11</v>
      </c>
      <c r="N307" s="501"/>
      <c r="O307" s="501" t="s">
        <v>12</v>
      </c>
      <c r="P307" s="501"/>
      <c r="Q307" s="505" t="s">
        <v>187</v>
      </c>
      <c r="R307" s="884"/>
      <c r="S307" s="880"/>
      <c r="T307" s="880"/>
      <c r="U307" s="880"/>
      <c r="V307" s="880"/>
      <c r="W307" s="880"/>
      <c r="X307" s="882"/>
      <c r="Y307" s="583"/>
      <c r="Z307" s="391"/>
      <c r="AA307" s="391"/>
      <c r="AB307" s="391"/>
      <c r="AC307" s="391"/>
      <c r="AD307" s="391"/>
      <c r="AE307" s="391"/>
      <c r="AF307" s="391"/>
    </row>
    <row r="308" spans="1:32" s="391" customFormat="1" ht="15" thickBot="1" x14ac:dyDescent="0.35">
      <c r="A308" s="416"/>
      <c r="B308" s="493">
        <v>1</v>
      </c>
      <c r="C308" s="494" t="s">
        <v>197</v>
      </c>
      <c r="D308" s="495" t="s">
        <v>198</v>
      </c>
      <c r="E308" s="486">
        <v>1</v>
      </c>
      <c r="F308" s="486"/>
      <c r="G308" s="486">
        <v>1</v>
      </c>
      <c r="H308" s="486"/>
      <c r="I308" s="486">
        <v>1</v>
      </c>
      <c r="J308" s="486"/>
      <c r="K308" s="486">
        <v>1</v>
      </c>
      <c r="L308" s="486"/>
      <c r="M308" s="486">
        <v>1</v>
      </c>
      <c r="N308" s="486"/>
      <c r="O308" s="486">
        <v>1</v>
      </c>
      <c r="P308" s="486"/>
      <c r="Q308" s="506"/>
      <c r="R308" s="488">
        <v>9210</v>
      </c>
      <c r="S308" s="474"/>
      <c r="T308" s="474"/>
      <c r="U308" s="474"/>
      <c r="V308" s="474"/>
      <c r="W308" s="474"/>
      <c r="X308" s="557">
        <f>+R308+S308+T308+U308+V308+W308</f>
        <v>9210</v>
      </c>
      <c r="Y308" s="579"/>
      <c r="Z308"/>
      <c r="AA308"/>
      <c r="AB308"/>
      <c r="AC308"/>
      <c r="AD308"/>
      <c r="AE308"/>
      <c r="AF308"/>
    </row>
    <row r="309" spans="1:32" s="427" customFormat="1" ht="15" thickBot="1" x14ac:dyDescent="0.35">
      <c r="A309" s="421"/>
      <c r="B309" s="422"/>
      <c r="C309" s="423"/>
      <c r="D309" s="424"/>
      <c r="E309" s="425">
        <f>SUM(E308:E308)</f>
        <v>1</v>
      </c>
      <c r="F309" s="425"/>
      <c r="G309" s="425">
        <f>SUM(G308:G308)</f>
        <v>1</v>
      </c>
      <c r="H309" s="425"/>
      <c r="I309" s="425">
        <f>SUM(I308:I308)</f>
        <v>1</v>
      </c>
      <c r="J309" s="425"/>
      <c r="K309" s="425">
        <f>SUM(K308:K308)</f>
        <v>1</v>
      </c>
      <c r="L309" s="425"/>
      <c r="M309" s="425">
        <f>SUM(M308:M308)</f>
        <v>1</v>
      </c>
      <c r="N309" s="425"/>
      <c r="O309" s="425">
        <f>SUM(O308:O308)</f>
        <v>1</v>
      </c>
      <c r="P309" s="425"/>
      <c r="Q309" s="425"/>
      <c r="R309" s="421"/>
      <c r="S309" s="421"/>
      <c r="T309" s="421"/>
      <c r="U309" s="421"/>
      <c r="V309" s="421"/>
      <c r="W309" s="421"/>
      <c r="X309" s="532">
        <f>SUM(X308:X308)</f>
        <v>9210</v>
      </c>
      <c r="Y309" s="580"/>
    </row>
    <row r="310" spans="1:32" s="431" customFormat="1" ht="21.6" thickBot="1" x14ac:dyDescent="0.55000000000000004">
      <c r="A310" s="865"/>
      <c r="B310" s="866"/>
      <c r="C310" s="866"/>
      <c r="D310" s="866"/>
      <c r="E310" s="866"/>
      <c r="F310" s="866"/>
      <c r="G310" s="867"/>
      <c r="H310"/>
      <c r="I310" s="391"/>
      <c r="J310" s="391"/>
      <c r="K310"/>
      <c r="L310"/>
      <c r="M310"/>
      <c r="N310"/>
      <c r="O310"/>
      <c r="P310"/>
      <c r="Q310"/>
      <c r="R310"/>
      <c r="S310"/>
      <c r="V310"/>
      <c r="W310"/>
      <c r="X310" s="470">
        <f>+X309-F316</f>
        <v>0</v>
      </c>
      <c r="Y310" s="579"/>
      <c r="Z310"/>
      <c r="AA310"/>
      <c r="AB310"/>
      <c r="AC310"/>
      <c r="AD310"/>
      <c r="AE310"/>
    </row>
    <row r="311" spans="1:32" ht="17.399999999999999" thickBot="1" x14ac:dyDescent="0.5">
      <c r="A311" s="443"/>
      <c r="B311" s="444"/>
      <c r="C311" s="444"/>
      <c r="D311" s="445" t="s">
        <v>14</v>
      </c>
      <c r="E311" s="445" t="s">
        <v>208</v>
      </c>
      <c r="F311" s="445" t="s">
        <v>17</v>
      </c>
      <c r="G311" s="446"/>
      <c r="I311" s="447"/>
      <c r="J311" s="391"/>
      <c r="K311" s="95" t="s">
        <v>28</v>
      </c>
      <c r="T311" s="431"/>
      <c r="U311" s="431"/>
    </row>
    <row r="312" spans="1:32" ht="18" customHeight="1" thickBot="1" x14ac:dyDescent="0.45">
      <c r="A312" s="448"/>
      <c r="B312" s="159">
        <v>1</v>
      </c>
      <c r="C312" s="449" t="s">
        <v>216</v>
      </c>
      <c r="D312" s="150">
        <v>9210</v>
      </c>
      <c r="E312" s="150">
        <v>0</v>
      </c>
      <c r="F312" s="449">
        <f>D312</f>
        <v>9210</v>
      </c>
      <c r="G312" s="450"/>
      <c r="I312" s="451"/>
      <c r="J312" s="492" t="s">
        <v>244</v>
      </c>
      <c r="K312" s="452">
        <v>1</v>
      </c>
      <c r="T312" s="590"/>
      <c r="U312" s="431"/>
      <c r="V312" s="576"/>
      <c r="W312" s="576"/>
      <c r="X312" s="576"/>
    </row>
    <row r="313" spans="1:32" ht="24" customHeight="1" thickBot="1" x14ac:dyDescent="0.45">
      <c r="A313" s="448"/>
      <c r="B313" s="159">
        <v>0</v>
      </c>
      <c r="C313" s="449" t="s">
        <v>244</v>
      </c>
      <c r="D313" s="150"/>
      <c r="E313" s="150">
        <v>0</v>
      </c>
      <c r="F313" s="449">
        <f>D313</f>
        <v>0</v>
      </c>
      <c r="G313" s="450"/>
      <c r="I313" s="391"/>
      <c r="J313" s="492" t="s">
        <v>198</v>
      </c>
      <c r="K313" s="452">
        <v>0</v>
      </c>
      <c r="T313" s="431"/>
      <c r="U313" s="431"/>
      <c r="X313" s="470"/>
    </row>
    <row r="314" spans="1:32" ht="16.8" x14ac:dyDescent="0.45">
      <c r="A314" s="454"/>
      <c r="B314" s="455">
        <f>SUM(B312:B313)</f>
        <v>1</v>
      </c>
      <c r="C314" s="150"/>
      <c r="D314" s="456"/>
      <c r="E314" s="456"/>
      <c r="F314" s="457">
        <f>SUM(F312:F313)</f>
        <v>9210</v>
      </c>
      <c r="G314" s="453"/>
      <c r="I314" s="391"/>
      <c r="J314" s="112"/>
      <c r="K314" s="469">
        <f>SUM(K312:K313)</f>
        <v>1</v>
      </c>
      <c r="T314" s="431"/>
      <c r="U314" s="431"/>
    </row>
    <row r="315" spans="1:32" ht="16.8" x14ac:dyDescent="0.45">
      <c r="A315" s="454"/>
      <c r="B315" s="456"/>
      <c r="C315" s="150"/>
      <c r="D315" s="459"/>
      <c r="E315" s="460"/>
      <c r="F315" s="457"/>
      <c r="G315" s="461"/>
      <c r="I315" s="391"/>
      <c r="T315" s="431"/>
      <c r="U315" s="431"/>
      <c r="X315" s="470"/>
    </row>
    <row r="316" spans="1:32" ht="16.2" x14ac:dyDescent="0.4">
      <c r="A316" s="454"/>
      <c r="B316" s="456"/>
      <c r="C316" s="150"/>
      <c r="D316" s="456"/>
      <c r="E316" s="456"/>
      <c r="F316" s="463">
        <f>SUM(F314:F315)</f>
        <v>9210</v>
      </c>
      <c r="G316" s="453"/>
      <c r="T316" s="431"/>
      <c r="U316" s="431"/>
    </row>
    <row r="317" spans="1:32" ht="16.8" thickBot="1" x14ac:dyDescent="0.45">
      <c r="A317" s="464"/>
      <c r="B317" s="465"/>
      <c r="C317" s="466"/>
      <c r="D317" s="467"/>
      <c r="E317" s="467"/>
      <c r="F317" s="467"/>
      <c r="G317" s="468"/>
    </row>
  </sheetData>
  <sortState ref="A71:AX89">
    <sortCondition ref="C71:C89"/>
  </sortState>
  <mergeCells count="108">
    <mergeCell ref="W67:W69"/>
    <mergeCell ref="R213:R214"/>
    <mergeCell ref="S213:S214"/>
    <mergeCell ref="T213:T214"/>
    <mergeCell ref="U213:U214"/>
    <mergeCell ref="V213:V214"/>
    <mergeCell ref="W213:W214"/>
    <mergeCell ref="X213:X214"/>
    <mergeCell ref="A310:G310"/>
    <mergeCell ref="B305:Q305"/>
    <mergeCell ref="R306:R307"/>
    <mergeCell ref="S306:S307"/>
    <mergeCell ref="B267:Q267"/>
    <mergeCell ref="B268:Q268"/>
    <mergeCell ref="B306:Q306"/>
    <mergeCell ref="V306:V307"/>
    <mergeCell ref="U306:U307"/>
    <mergeCell ref="U268:U269"/>
    <mergeCell ref="T268:T269"/>
    <mergeCell ref="W268:W269"/>
    <mergeCell ref="X268:X269"/>
    <mergeCell ref="T306:T307"/>
    <mergeCell ref="W306:W307"/>
    <mergeCell ref="X306:X307"/>
    <mergeCell ref="V4:V5"/>
    <mergeCell ref="V48:V49"/>
    <mergeCell ref="T4:T5"/>
    <mergeCell ref="U4:U5"/>
    <mergeCell ref="R4:R5"/>
    <mergeCell ref="S4:S5"/>
    <mergeCell ref="B136:Q136"/>
    <mergeCell ref="B65:Q65"/>
    <mergeCell ref="B66:Q66"/>
    <mergeCell ref="B67:Q67"/>
    <mergeCell ref="U48:U49"/>
    <mergeCell ref="R48:R49"/>
    <mergeCell ref="S48:S49"/>
    <mergeCell ref="T48:T49"/>
    <mergeCell ref="W4:W5"/>
    <mergeCell ref="B1:Q1"/>
    <mergeCell ref="B2:Q2"/>
    <mergeCell ref="B3:Q3"/>
    <mergeCell ref="B4:Q4"/>
    <mergeCell ref="B46:Q46"/>
    <mergeCell ref="B48:Q48"/>
    <mergeCell ref="X48:X49"/>
    <mergeCell ref="W138:W139"/>
    <mergeCell ref="V138:V139"/>
    <mergeCell ref="V112:V113"/>
    <mergeCell ref="U112:U113"/>
    <mergeCell ref="U138:U139"/>
    <mergeCell ref="R138:R139"/>
    <mergeCell ref="S138:S139"/>
    <mergeCell ref="S112:S113"/>
    <mergeCell ref="R67:R69"/>
    <mergeCell ref="X4:X5"/>
    <mergeCell ref="W48:W49"/>
    <mergeCell ref="X67:X69"/>
    <mergeCell ref="W112:W113"/>
    <mergeCell ref="B47:Q47"/>
    <mergeCell ref="B137:Q137"/>
    <mergeCell ref="B109:Q109"/>
    <mergeCell ref="W244:W245"/>
    <mergeCell ref="X244:X245"/>
    <mergeCell ref="U244:U245"/>
    <mergeCell ref="V244:V245"/>
    <mergeCell ref="R244:R245"/>
    <mergeCell ref="S244:S245"/>
    <mergeCell ref="T244:T245"/>
    <mergeCell ref="X138:X139"/>
    <mergeCell ref="R112:R113"/>
    <mergeCell ref="T112:T113"/>
    <mergeCell ref="U183:U184"/>
    <mergeCell ref="R157:R158"/>
    <mergeCell ref="S157:S158"/>
    <mergeCell ref="T157:T158"/>
    <mergeCell ref="X112:X113"/>
    <mergeCell ref="W183:W184"/>
    <mergeCell ref="T138:T139"/>
    <mergeCell ref="T183:T184"/>
    <mergeCell ref="R183:R184"/>
    <mergeCell ref="X183:X184"/>
    <mergeCell ref="V157:V158"/>
    <mergeCell ref="W157:W158"/>
    <mergeCell ref="X157:X158"/>
    <mergeCell ref="U157:U158"/>
    <mergeCell ref="R268:R269"/>
    <mergeCell ref="S268:S269"/>
    <mergeCell ref="S183:S184"/>
    <mergeCell ref="V268:V269"/>
    <mergeCell ref="B243:Q243"/>
    <mergeCell ref="B182:Q182"/>
    <mergeCell ref="B242:Q242"/>
    <mergeCell ref="A210:Q210"/>
    <mergeCell ref="A211:Q211"/>
    <mergeCell ref="A212:Q212"/>
    <mergeCell ref="B156:Q156"/>
    <mergeCell ref="B157:Q157"/>
    <mergeCell ref="B180:Q180"/>
    <mergeCell ref="B181:Q181"/>
    <mergeCell ref="A225:G225"/>
    <mergeCell ref="V183:V184"/>
    <mergeCell ref="S67:S69"/>
    <mergeCell ref="T67:T69"/>
    <mergeCell ref="U67:U69"/>
    <mergeCell ref="V67:V69"/>
    <mergeCell ref="B110:Q110"/>
    <mergeCell ref="B111:Q111"/>
  </mergeCells>
  <printOptions horizontalCentered="1"/>
  <pageMargins left="0.23622047244094491" right="0.23622047244094491" top="0.19685039370078741" bottom="0.19685039370078741" header="0.31496062992125984" footer="0.31496062992125984"/>
  <pageSetup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53"/>
  <sheetViews>
    <sheetView workbookViewId="0">
      <selection activeCell="T22" sqref="T22"/>
    </sheetView>
  </sheetViews>
  <sheetFormatPr baseColWidth="10" defaultRowHeight="14.4" x14ac:dyDescent="0.3"/>
  <cols>
    <col min="1" max="1" width="3.109375" style="287" customWidth="1"/>
    <col min="2" max="2" width="6.44140625" style="391" customWidth="1"/>
    <col min="3" max="3" width="32.44140625" customWidth="1"/>
    <col min="4" max="4" width="15.5546875" customWidth="1"/>
    <col min="5" max="5" width="4.5546875" customWidth="1"/>
    <col min="6" max="6" width="4.109375" customWidth="1"/>
    <col min="7" max="7" width="3.88671875" customWidth="1"/>
    <col min="8" max="8" width="4.44140625" customWidth="1"/>
    <col min="9" max="9" width="3.88671875" customWidth="1"/>
    <col min="10" max="10" width="4" customWidth="1"/>
    <col min="11" max="11" width="4.33203125" customWidth="1"/>
    <col min="12" max="12" width="6.5546875" customWidth="1"/>
    <col min="13" max="13" width="4.88671875" customWidth="1"/>
    <col min="14" max="14" width="4.5546875" customWidth="1"/>
    <col min="15" max="15" width="4.88671875" customWidth="1"/>
    <col min="16" max="16" width="4.109375" customWidth="1"/>
    <col min="17" max="17" width="9.6640625" customWidth="1"/>
  </cols>
  <sheetData>
    <row r="1" spans="1:17" ht="15" thickBot="1" x14ac:dyDescent="0.35"/>
    <row r="2" spans="1:17" ht="27" customHeight="1" x14ac:dyDescent="0.4">
      <c r="B2" s="912" t="s">
        <v>486</v>
      </c>
      <c r="C2" s="913"/>
      <c r="D2" s="913"/>
      <c r="E2" s="913"/>
      <c r="F2" s="913"/>
      <c r="G2" s="913"/>
      <c r="H2" s="913"/>
      <c r="I2" s="913"/>
      <c r="J2" s="913"/>
      <c r="K2" s="913"/>
      <c r="L2" s="915" t="s">
        <v>227</v>
      </c>
      <c r="M2" s="916"/>
      <c r="N2" s="916"/>
      <c r="O2" s="916"/>
      <c r="P2" s="916"/>
      <c r="Q2" s="917"/>
    </row>
    <row r="3" spans="1:17" ht="5.25" customHeight="1" x14ac:dyDescent="0.4">
      <c r="B3" s="689"/>
      <c r="C3" s="687"/>
      <c r="D3" s="687"/>
      <c r="E3" s="687"/>
      <c r="F3" s="687"/>
      <c r="G3" s="687"/>
      <c r="H3" s="687"/>
      <c r="I3" s="687"/>
      <c r="J3" s="687"/>
      <c r="K3" s="687"/>
      <c r="L3" s="919" t="s">
        <v>228</v>
      </c>
      <c r="M3" s="920" t="s">
        <v>229</v>
      </c>
      <c r="N3" s="920" t="s">
        <v>230</v>
      </c>
      <c r="O3" s="920" t="s">
        <v>231</v>
      </c>
      <c r="P3" s="920" t="s">
        <v>232</v>
      </c>
      <c r="Q3" s="918" t="s">
        <v>178</v>
      </c>
    </row>
    <row r="4" spans="1:17" ht="27" customHeight="1" x14ac:dyDescent="0.4">
      <c r="B4" s="690"/>
      <c r="C4" s="906" t="s">
        <v>183</v>
      </c>
      <c r="D4" s="906"/>
      <c r="E4" s="906"/>
      <c r="F4" s="906"/>
      <c r="G4" s="906"/>
      <c r="H4" s="906"/>
      <c r="I4" s="906"/>
      <c r="J4" s="538"/>
      <c r="K4" s="687"/>
      <c r="L4" s="919"/>
      <c r="M4" s="920"/>
      <c r="N4" s="920"/>
      <c r="O4" s="920"/>
      <c r="P4" s="920"/>
      <c r="Q4" s="918"/>
    </row>
    <row r="5" spans="1:17" ht="18.75" customHeight="1" x14ac:dyDescent="0.3">
      <c r="A5" s="416"/>
      <c r="B5" s="914" t="s">
        <v>184</v>
      </c>
      <c r="C5" s="907"/>
      <c r="D5" s="907"/>
      <c r="E5" s="907"/>
      <c r="F5" s="907"/>
      <c r="G5" s="907"/>
      <c r="H5" s="907"/>
      <c r="I5" s="907"/>
      <c r="J5" s="907"/>
      <c r="K5" s="907"/>
      <c r="L5" s="919"/>
      <c r="M5" s="920"/>
      <c r="N5" s="920"/>
      <c r="O5" s="920"/>
      <c r="P5" s="920"/>
      <c r="Q5" s="918"/>
    </row>
    <row r="6" spans="1:17" ht="17.25" customHeight="1" x14ac:dyDescent="0.3">
      <c r="A6" s="416"/>
      <c r="B6" s="890" t="s">
        <v>221</v>
      </c>
      <c r="C6" s="891"/>
      <c r="D6" s="891"/>
      <c r="E6" s="891"/>
      <c r="F6" s="891"/>
      <c r="G6" s="891"/>
      <c r="H6" s="891"/>
      <c r="I6" s="891"/>
      <c r="J6" s="891"/>
      <c r="K6" s="892"/>
      <c r="L6" s="919"/>
      <c r="M6" s="920"/>
      <c r="N6" s="920"/>
      <c r="O6" s="920"/>
      <c r="P6" s="920"/>
      <c r="Q6" s="918"/>
    </row>
    <row r="7" spans="1:17" x14ac:dyDescent="0.3">
      <c r="A7" s="416"/>
      <c r="B7" s="691" t="s">
        <v>186</v>
      </c>
      <c r="C7" s="400" t="s">
        <v>135</v>
      </c>
      <c r="D7" s="400" t="s">
        <v>136</v>
      </c>
      <c r="E7" s="503" t="s">
        <v>8</v>
      </c>
      <c r="F7" s="503" t="s">
        <v>9</v>
      </c>
      <c r="G7" s="503" t="s">
        <v>9</v>
      </c>
      <c r="H7" s="503" t="s">
        <v>10</v>
      </c>
      <c r="I7" s="503" t="s">
        <v>11</v>
      </c>
      <c r="J7" s="503" t="s">
        <v>12</v>
      </c>
      <c r="K7" s="695" t="s">
        <v>187</v>
      </c>
      <c r="L7" s="919"/>
      <c r="M7" s="920"/>
      <c r="N7" s="920"/>
      <c r="O7" s="920"/>
      <c r="P7" s="920"/>
      <c r="Q7" s="918"/>
    </row>
    <row r="8" spans="1:17" x14ac:dyDescent="0.3">
      <c r="A8" s="416">
        <v>1</v>
      </c>
      <c r="B8" s="508">
        <v>234</v>
      </c>
      <c r="C8" s="394" t="s">
        <v>290</v>
      </c>
      <c r="D8" s="355" t="s">
        <v>240</v>
      </c>
      <c r="E8" s="354" t="s">
        <v>246</v>
      </c>
      <c r="F8" s="354" t="s">
        <v>246</v>
      </c>
      <c r="G8" s="354" t="s">
        <v>246</v>
      </c>
      <c r="H8" s="354" t="s">
        <v>246</v>
      </c>
      <c r="I8" s="354" t="s">
        <v>246</v>
      </c>
      <c r="J8" s="354"/>
      <c r="K8" s="683"/>
      <c r="L8" s="698"/>
      <c r="M8" s="395"/>
      <c r="N8" s="395"/>
      <c r="O8" s="395"/>
      <c r="P8" s="395"/>
      <c r="Q8" s="202"/>
    </row>
    <row r="9" spans="1:17" x14ac:dyDescent="0.3">
      <c r="A9" s="416">
        <v>2</v>
      </c>
      <c r="B9" s="508">
        <v>116</v>
      </c>
      <c r="C9" s="394" t="s">
        <v>110</v>
      </c>
      <c r="D9" s="558" t="s">
        <v>314</v>
      </c>
      <c r="E9" s="354" t="s">
        <v>246</v>
      </c>
      <c r="F9" s="354" t="s">
        <v>246</v>
      </c>
      <c r="G9" s="354" t="s">
        <v>246</v>
      </c>
      <c r="H9" s="354" t="s">
        <v>246</v>
      </c>
      <c r="I9" s="354" t="s">
        <v>246</v>
      </c>
      <c r="J9" s="354"/>
      <c r="K9" s="683"/>
      <c r="L9" s="699"/>
      <c r="M9" s="542"/>
      <c r="N9" s="542"/>
      <c r="O9" s="542"/>
      <c r="P9" s="542"/>
      <c r="Q9" s="692"/>
    </row>
    <row r="10" spans="1:17" x14ac:dyDescent="0.3">
      <c r="A10" s="416">
        <v>3</v>
      </c>
      <c r="B10" s="507">
        <v>2</v>
      </c>
      <c r="C10" s="394" t="s">
        <v>23</v>
      </c>
      <c r="D10" s="432" t="s">
        <v>190</v>
      </c>
      <c r="E10" s="354" t="s">
        <v>246</v>
      </c>
      <c r="F10" s="354" t="s">
        <v>246</v>
      </c>
      <c r="G10" s="354" t="s">
        <v>246</v>
      </c>
      <c r="H10" s="354" t="s">
        <v>246</v>
      </c>
      <c r="I10" s="354" t="s">
        <v>246</v>
      </c>
      <c r="J10" s="354"/>
      <c r="K10" s="683"/>
      <c r="L10" s="699"/>
      <c r="M10" s="542"/>
      <c r="N10" s="542"/>
      <c r="O10" s="542"/>
      <c r="P10" s="542"/>
      <c r="Q10" s="692"/>
    </row>
    <row r="11" spans="1:17" x14ac:dyDescent="0.3">
      <c r="A11" s="416">
        <v>4</v>
      </c>
      <c r="B11" s="507">
        <v>6</v>
      </c>
      <c r="C11" s="394" t="s">
        <v>24</v>
      </c>
      <c r="D11" s="472" t="s">
        <v>188</v>
      </c>
      <c r="E11" s="354" t="s">
        <v>246</v>
      </c>
      <c r="F11" s="354" t="s">
        <v>246</v>
      </c>
      <c r="G11" s="354" t="s">
        <v>246</v>
      </c>
      <c r="H11" s="354" t="s">
        <v>246</v>
      </c>
      <c r="I11" s="354" t="s">
        <v>537</v>
      </c>
      <c r="J11" s="354"/>
      <c r="K11" s="683"/>
      <c r="L11" s="700"/>
      <c r="M11" s="553"/>
      <c r="N11" s="553"/>
      <c r="O11" s="553"/>
      <c r="P11" s="553"/>
      <c r="Q11" s="693"/>
    </row>
    <row r="12" spans="1:17" x14ac:dyDescent="0.3">
      <c r="A12" s="416">
        <v>5</v>
      </c>
      <c r="B12" s="507">
        <v>95</v>
      </c>
      <c r="C12" s="394" t="s">
        <v>95</v>
      </c>
      <c r="D12" s="355" t="s">
        <v>191</v>
      </c>
      <c r="E12" s="354" t="s">
        <v>246</v>
      </c>
      <c r="F12" s="354" t="s">
        <v>246</v>
      </c>
      <c r="G12" s="354" t="s">
        <v>246</v>
      </c>
      <c r="H12" s="354" t="s">
        <v>246</v>
      </c>
      <c r="I12" s="354" t="s">
        <v>246</v>
      </c>
      <c r="J12" s="354"/>
      <c r="K12" s="683"/>
      <c r="L12" s="698"/>
      <c r="M12" s="395"/>
      <c r="N12" s="395"/>
      <c r="O12" s="395"/>
      <c r="P12" s="395"/>
      <c r="Q12" s="202"/>
    </row>
    <row r="13" spans="1:17" x14ac:dyDescent="0.3">
      <c r="A13" s="416">
        <v>6</v>
      </c>
      <c r="B13" s="508">
        <v>12</v>
      </c>
      <c r="C13" s="394" t="s">
        <v>37</v>
      </c>
      <c r="D13" s="432" t="s">
        <v>263</v>
      </c>
      <c r="E13" s="354" t="s">
        <v>246</v>
      </c>
      <c r="F13" s="354" t="s">
        <v>246</v>
      </c>
      <c r="G13" s="354" t="s">
        <v>246</v>
      </c>
      <c r="H13" s="354" t="s">
        <v>246</v>
      </c>
      <c r="I13" s="354" t="s">
        <v>246</v>
      </c>
      <c r="J13" s="354"/>
      <c r="K13" s="683"/>
      <c r="L13" s="698"/>
      <c r="M13" s="395"/>
      <c r="N13" s="395"/>
      <c r="O13" s="395"/>
      <c r="P13" s="395"/>
      <c r="Q13" s="202"/>
    </row>
    <row r="14" spans="1:17" x14ac:dyDescent="0.3">
      <c r="A14" s="416">
        <v>7</v>
      </c>
      <c r="B14" s="507">
        <v>247</v>
      </c>
      <c r="C14" s="394" t="s">
        <v>306</v>
      </c>
      <c r="D14" s="433" t="s">
        <v>307</v>
      </c>
      <c r="E14" s="354" t="s">
        <v>246</v>
      </c>
      <c r="F14" s="354" t="s">
        <v>246</v>
      </c>
      <c r="G14" s="354" t="s">
        <v>246</v>
      </c>
      <c r="H14" s="354" t="s">
        <v>246</v>
      </c>
      <c r="I14" s="354" t="s">
        <v>246</v>
      </c>
      <c r="J14" s="354"/>
      <c r="K14" s="683"/>
      <c r="L14" s="698"/>
      <c r="M14" s="395"/>
      <c r="N14" s="395"/>
      <c r="O14" s="395"/>
      <c r="P14" s="395"/>
      <c r="Q14" s="202"/>
    </row>
    <row r="15" spans="1:17" x14ac:dyDescent="0.3">
      <c r="A15" s="416">
        <v>8</v>
      </c>
      <c r="B15" s="507">
        <v>222</v>
      </c>
      <c r="C15" s="394" t="s">
        <v>274</v>
      </c>
      <c r="D15" s="355" t="s">
        <v>240</v>
      </c>
      <c r="E15" s="354" t="s">
        <v>246</v>
      </c>
      <c r="F15" s="354" t="s">
        <v>246</v>
      </c>
      <c r="G15" s="354" t="s">
        <v>246</v>
      </c>
      <c r="H15" s="354" t="s">
        <v>246</v>
      </c>
      <c r="I15" s="354" t="s">
        <v>246</v>
      </c>
      <c r="J15" s="354"/>
      <c r="K15" s="683"/>
      <c r="L15" s="698"/>
      <c r="M15" s="395"/>
      <c r="N15" s="395"/>
      <c r="O15" s="395"/>
      <c r="P15" s="395"/>
      <c r="Q15" s="202"/>
    </row>
    <row r="16" spans="1:17" ht="15" customHeight="1" x14ac:dyDescent="0.3">
      <c r="A16" s="416">
        <v>10</v>
      </c>
      <c r="B16" s="507">
        <v>236</v>
      </c>
      <c r="C16" s="394" t="s">
        <v>291</v>
      </c>
      <c r="D16" s="355" t="s">
        <v>240</v>
      </c>
      <c r="E16" s="354" t="s">
        <v>246</v>
      </c>
      <c r="F16" s="354" t="s">
        <v>246</v>
      </c>
      <c r="G16" s="354" t="s">
        <v>246</v>
      </c>
      <c r="H16" s="354" t="s">
        <v>246</v>
      </c>
      <c r="I16" s="354" t="s">
        <v>246</v>
      </c>
      <c r="J16" s="354"/>
      <c r="K16" s="696"/>
      <c r="L16" s="698"/>
      <c r="M16" s="395"/>
      <c r="N16" s="395"/>
      <c r="O16" s="395"/>
      <c r="P16" s="395"/>
      <c r="Q16" s="202"/>
    </row>
    <row r="17" spans="1:16384" ht="13.5" customHeight="1" x14ac:dyDescent="0.3">
      <c r="A17" s="416">
        <v>11</v>
      </c>
      <c r="B17" s="507">
        <v>26</v>
      </c>
      <c r="C17" s="394" t="s">
        <v>25</v>
      </c>
      <c r="D17" s="433" t="s">
        <v>189</v>
      </c>
      <c r="E17" s="354" t="s">
        <v>246</v>
      </c>
      <c r="F17" s="354" t="s">
        <v>246</v>
      </c>
      <c r="G17" s="354" t="s">
        <v>246</v>
      </c>
      <c r="H17" s="354" t="s">
        <v>246</v>
      </c>
      <c r="I17" s="354" t="s">
        <v>246</v>
      </c>
      <c r="J17" s="354"/>
      <c r="K17" s="696"/>
      <c r="L17" s="698"/>
      <c r="M17" s="395"/>
      <c r="N17" s="395"/>
      <c r="O17" s="395"/>
      <c r="P17" s="395"/>
      <c r="Q17" s="202"/>
    </row>
    <row r="18" spans="1:16384" ht="16.5" customHeight="1" x14ac:dyDescent="0.3">
      <c r="A18" s="416">
        <v>12</v>
      </c>
      <c r="B18" s="507">
        <v>28</v>
      </c>
      <c r="C18" s="394" t="s">
        <v>40</v>
      </c>
      <c r="D18" s="433" t="s">
        <v>189</v>
      </c>
      <c r="E18" s="354" t="s">
        <v>246</v>
      </c>
      <c r="F18" s="354" t="s">
        <v>246</v>
      </c>
      <c r="G18" s="354" t="s">
        <v>246</v>
      </c>
      <c r="H18" s="354" t="s">
        <v>246</v>
      </c>
      <c r="I18" s="354" t="s">
        <v>246</v>
      </c>
      <c r="J18" s="354"/>
      <c r="K18" s="696"/>
      <c r="L18" s="698"/>
      <c r="M18" s="395"/>
      <c r="N18" s="395"/>
      <c r="O18" s="395"/>
      <c r="P18" s="395"/>
      <c r="Q18" s="202"/>
    </row>
    <row r="19" spans="1:16384" ht="15.75" customHeight="1" thickBot="1" x14ac:dyDescent="0.35">
      <c r="A19" s="416">
        <v>13</v>
      </c>
      <c r="B19" s="507">
        <v>146</v>
      </c>
      <c r="C19" s="394" t="s">
        <v>124</v>
      </c>
      <c r="D19" s="355" t="s">
        <v>191</v>
      </c>
      <c r="E19" s="354" t="s">
        <v>246</v>
      </c>
      <c r="F19" s="354" t="s">
        <v>246</v>
      </c>
      <c r="G19" s="354" t="s">
        <v>246</v>
      </c>
      <c r="H19" s="354" t="s">
        <v>246</v>
      </c>
      <c r="I19" s="354" t="s">
        <v>246</v>
      </c>
      <c r="J19" s="354"/>
      <c r="K19" s="697"/>
      <c r="L19" s="701"/>
      <c r="M19" s="474"/>
      <c r="N19" s="474"/>
      <c r="O19" s="474"/>
      <c r="P19" s="474"/>
      <c r="Q19" s="208"/>
    </row>
    <row r="20" spans="1:16384" ht="15.75" customHeight="1" thickBot="1" x14ac:dyDescent="0.35">
      <c r="A20" s="416">
        <v>14</v>
      </c>
      <c r="B20" s="507">
        <v>217</v>
      </c>
      <c r="C20" s="394" t="s">
        <v>276</v>
      </c>
      <c r="D20" s="355" t="s">
        <v>249</v>
      </c>
      <c r="E20" s="354" t="s">
        <v>246</v>
      </c>
      <c r="F20" s="354" t="s">
        <v>246</v>
      </c>
      <c r="G20" s="354" t="s">
        <v>563</v>
      </c>
      <c r="H20" s="354" t="s">
        <v>563</v>
      </c>
      <c r="I20" s="354" t="s">
        <v>563</v>
      </c>
      <c r="J20" s="354"/>
      <c r="K20" s="697"/>
      <c r="L20" s="701"/>
      <c r="M20" s="474"/>
      <c r="N20" s="474"/>
      <c r="O20" s="474"/>
      <c r="P20" s="474"/>
      <c r="Q20" s="208"/>
    </row>
    <row r="21" spans="1:16384" ht="15.75" customHeight="1" thickBot="1" x14ac:dyDescent="0.35">
      <c r="A21" s="416">
        <v>15</v>
      </c>
      <c r="B21" s="507">
        <v>51</v>
      </c>
      <c r="C21" s="418" t="s">
        <v>115</v>
      </c>
      <c r="D21" s="433" t="s">
        <v>189</v>
      </c>
      <c r="E21" s="354" t="s">
        <v>246</v>
      </c>
      <c r="F21" s="354" t="s">
        <v>537</v>
      </c>
      <c r="G21" s="354" t="s">
        <v>246</v>
      </c>
      <c r="H21" s="354" t="s">
        <v>246</v>
      </c>
      <c r="I21" s="354" t="s">
        <v>246</v>
      </c>
      <c r="J21" s="354"/>
      <c r="K21" s="697"/>
      <c r="L21" s="701"/>
      <c r="M21" s="474"/>
      <c r="N21" s="474"/>
      <c r="O21" s="474"/>
      <c r="P21" s="474"/>
      <c r="Q21" s="208"/>
    </row>
    <row r="22" spans="1:16384" ht="15.75" customHeight="1" thickBot="1" x14ac:dyDescent="0.35">
      <c r="A22" s="416">
        <v>16</v>
      </c>
      <c r="B22" s="511">
        <v>220</v>
      </c>
      <c r="C22" s="694" t="s">
        <v>275</v>
      </c>
      <c r="D22" s="707" t="s">
        <v>314</v>
      </c>
      <c r="E22" s="354" t="s">
        <v>246</v>
      </c>
      <c r="F22" s="354" t="s">
        <v>246</v>
      </c>
      <c r="G22" s="354" t="s">
        <v>246</v>
      </c>
      <c r="H22" s="354" t="s">
        <v>246</v>
      </c>
      <c r="I22" s="354" t="s">
        <v>246</v>
      </c>
      <c r="J22" s="354"/>
      <c r="K22" s="697"/>
      <c r="L22" s="701"/>
      <c r="M22" s="474"/>
      <c r="N22" s="474"/>
      <c r="O22" s="474"/>
      <c r="P22" s="474"/>
      <c r="Q22" s="208"/>
    </row>
    <row r="23" spans="1:16384" ht="15" thickBot="1" x14ac:dyDescent="0.35">
      <c r="A23" s="416"/>
      <c r="B23" s="632"/>
      <c r="C23" s="398"/>
      <c r="D23" s="633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</row>
    <row r="24" spans="1:16384" s="68" customFormat="1" ht="24.6" x14ac:dyDescent="0.4">
      <c r="A24" s="287"/>
      <c r="B24" s="912" t="str">
        <f>+B2</f>
        <v>SEMANA DEL 02 AL 08 DIC DEL 2024</v>
      </c>
      <c r="C24" s="913"/>
      <c r="D24" s="913"/>
      <c r="E24" s="913"/>
      <c r="F24" s="913"/>
      <c r="G24" s="913"/>
      <c r="H24" s="913"/>
      <c r="I24" s="913"/>
      <c r="J24" s="913"/>
      <c r="K24" s="913"/>
      <c r="L24" s="915" t="s">
        <v>227</v>
      </c>
      <c r="M24" s="916"/>
      <c r="N24" s="916"/>
      <c r="O24" s="916"/>
      <c r="P24" s="916"/>
      <c r="Q24" s="917"/>
      <c r="R24" s="287"/>
      <c r="S24" s="633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632"/>
      <c r="AH24" s="287"/>
      <c r="AI24" s="633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632"/>
      <c r="AX24" s="287"/>
      <c r="AY24" s="633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  <c r="BL24" s="287"/>
      <c r="BM24" s="632"/>
      <c r="BN24" s="287"/>
      <c r="BO24" s="633"/>
      <c r="BP24" s="287"/>
      <c r="BQ24" s="287"/>
      <c r="BR24" s="287"/>
      <c r="BS24" s="287"/>
      <c r="BT24" s="287"/>
      <c r="BU24" s="287"/>
      <c r="BV24" s="287"/>
      <c r="BW24" s="287"/>
      <c r="BX24" s="287"/>
      <c r="BY24" s="287"/>
      <c r="BZ24" s="287"/>
      <c r="CA24" s="287"/>
      <c r="CB24" s="287"/>
      <c r="CC24" s="632"/>
      <c r="CD24" s="287"/>
      <c r="CE24" s="633"/>
      <c r="CF24" s="287"/>
      <c r="CG24" s="287"/>
      <c r="CH24" s="287"/>
      <c r="CI24" s="287"/>
      <c r="CJ24" s="287"/>
      <c r="CK24" s="287"/>
      <c r="CL24" s="287"/>
      <c r="CM24" s="287"/>
      <c r="CN24" s="287"/>
      <c r="CO24" s="287"/>
      <c r="CP24" s="287"/>
      <c r="CQ24" s="287"/>
      <c r="CR24" s="287"/>
      <c r="CS24" s="632"/>
      <c r="CT24" s="287"/>
      <c r="CU24" s="633"/>
      <c r="CV24" s="287"/>
      <c r="CW24" s="287"/>
      <c r="CX24" s="287"/>
      <c r="CY24" s="287"/>
      <c r="CZ24" s="287"/>
      <c r="DA24" s="287"/>
      <c r="DB24" s="287"/>
      <c r="DC24" s="287"/>
      <c r="DD24" s="287"/>
      <c r="DE24" s="287"/>
      <c r="DF24" s="287"/>
      <c r="DG24" s="287"/>
      <c r="DH24" s="287"/>
      <c r="DI24" s="632"/>
      <c r="DJ24" s="287"/>
      <c r="DK24" s="633"/>
      <c r="DL24" s="287"/>
      <c r="DM24" s="287"/>
      <c r="DN24" s="287"/>
      <c r="DO24" s="287"/>
      <c r="DP24" s="287"/>
      <c r="DQ24" s="287"/>
      <c r="DR24" s="287"/>
      <c r="DS24" s="287"/>
      <c r="DT24" s="287"/>
      <c r="DU24" s="287"/>
      <c r="DV24" s="287"/>
      <c r="DW24" s="287"/>
      <c r="DX24" s="287"/>
      <c r="DY24" s="632"/>
      <c r="DZ24" s="287"/>
      <c r="EA24" s="633"/>
      <c r="EB24" s="287"/>
      <c r="EC24" s="287"/>
      <c r="ED24" s="287"/>
      <c r="EE24" s="287"/>
      <c r="EF24" s="287"/>
      <c r="EG24" s="287"/>
      <c r="EH24" s="287"/>
      <c r="EI24" s="287"/>
      <c r="EJ24" s="287"/>
      <c r="EK24" s="287"/>
      <c r="EL24" s="287"/>
      <c r="EM24" s="287"/>
      <c r="EN24" s="287"/>
      <c r="EO24" s="632"/>
      <c r="EP24" s="287"/>
      <c r="EQ24" s="633"/>
      <c r="ER24" s="287"/>
      <c r="ES24" s="287"/>
      <c r="ET24" s="287"/>
      <c r="EU24" s="287"/>
      <c r="EV24" s="287"/>
      <c r="EW24" s="287"/>
      <c r="EX24" s="287"/>
      <c r="EY24" s="287"/>
      <c r="EZ24" s="287"/>
      <c r="FA24" s="287"/>
      <c r="FB24" s="287"/>
      <c r="FC24" s="287"/>
      <c r="FD24" s="287"/>
      <c r="FE24" s="632"/>
      <c r="FF24" s="287"/>
      <c r="FG24" s="633"/>
      <c r="FH24" s="287"/>
      <c r="FI24" s="287"/>
      <c r="FJ24" s="287"/>
      <c r="FK24" s="287"/>
      <c r="FL24" s="287"/>
      <c r="FM24" s="287"/>
      <c r="FN24" s="287"/>
      <c r="FO24" s="287"/>
      <c r="FP24" s="287"/>
      <c r="FQ24" s="287"/>
      <c r="FR24" s="287"/>
      <c r="FS24" s="287"/>
      <c r="FT24" s="287"/>
      <c r="FU24" s="632"/>
      <c r="FV24" s="287"/>
      <c r="FW24" s="633"/>
      <c r="FX24" s="287"/>
      <c r="FY24" s="287"/>
      <c r="FZ24" s="287"/>
      <c r="GA24" s="287"/>
      <c r="GB24" s="287"/>
      <c r="GC24" s="287"/>
      <c r="GD24" s="287"/>
      <c r="GE24" s="287"/>
      <c r="GF24" s="287"/>
      <c r="GG24" s="287"/>
      <c r="GH24" s="287"/>
      <c r="GI24" s="287"/>
      <c r="GJ24" s="287"/>
      <c r="GK24" s="632"/>
      <c r="GL24" s="287"/>
      <c r="GM24" s="633"/>
      <c r="GN24" s="287"/>
      <c r="GO24" s="287"/>
      <c r="GP24" s="287"/>
      <c r="GQ24" s="287"/>
      <c r="GR24" s="287"/>
      <c r="GS24" s="287"/>
      <c r="GT24" s="287"/>
      <c r="GU24" s="287"/>
      <c r="GV24" s="287"/>
      <c r="GW24" s="287"/>
      <c r="GX24" s="287"/>
      <c r="GY24" s="287"/>
      <c r="GZ24" s="287"/>
      <c r="HA24" s="632"/>
      <c r="HB24" s="287"/>
      <c r="HC24" s="633"/>
      <c r="HD24" s="287"/>
      <c r="HE24" s="287"/>
      <c r="HF24" s="287"/>
      <c r="HG24" s="287"/>
      <c r="HH24" s="287"/>
      <c r="HI24" s="287"/>
      <c r="HJ24" s="287"/>
      <c r="HK24" s="287"/>
      <c r="HL24" s="287"/>
      <c r="HM24" s="287"/>
      <c r="HN24" s="287"/>
      <c r="HO24" s="287"/>
      <c r="HP24" s="287"/>
      <c r="HQ24" s="632"/>
      <c r="HR24" s="287"/>
      <c r="HS24" s="633"/>
      <c r="HT24" s="287"/>
      <c r="HU24" s="287"/>
      <c r="HV24" s="287"/>
      <c r="HW24" s="287"/>
      <c r="HX24" s="287"/>
      <c r="HY24" s="287"/>
      <c r="HZ24" s="287"/>
      <c r="IA24" s="287"/>
      <c r="IB24" s="287"/>
      <c r="IC24" s="287"/>
      <c r="ID24" s="287"/>
      <c r="IE24" s="287"/>
      <c r="IF24" s="287"/>
      <c r="IG24" s="632"/>
      <c r="IH24" s="287"/>
      <c r="II24" s="633"/>
      <c r="IJ24" s="287"/>
      <c r="IK24" s="287"/>
      <c r="IL24" s="287"/>
      <c r="IM24" s="287"/>
      <c r="IN24" s="287"/>
      <c r="IO24" s="287"/>
      <c r="IP24" s="287"/>
      <c r="IQ24" s="287"/>
      <c r="IR24" s="287"/>
      <c r="IS24" s="287"/>
      <c r="IT24" s="287"/>
      <c r="IU24" s="287"/>
      <c r="IV24" s="287"/>
      <c r="IW24" s="632"/>
      <c r="IX24" s="287"/>
      <c r="IY24" s="633"/>
      <c r="IZ24" s="287"/>
      <c r="JA24" s="287"/>
      <c r="JB24" s="287"/>
      <c r="JC24" s="287"/>
      <c r="JD24" s="287"/>
      <c r="JE24" s="287"/>
      <c r="JF24" s="287"/>
      <c r="JG24" s="287"/>
      <c r="JH24" s="287"/>
      <c r="JI24" s="287"/>
      <c r="JJ24" s="287"/>
      <c r="JK24" s="287"/>
      <c r="JL24" s="287"/>
      <c r="JM24" s="632"/>
      <c r="JN24" s="287"/>
      <c r="JO24" s="633"/>
      <c r="JP24" s="287"/>
      <c r="JQ24" s="287"/>
      <c r="JR24" s="287"/>
      <c r="JS24" s="287"/>
      <c r="JT24" s="287"/>
      <c r="JU24" s="287"/>
      <c r="JV24" s="287"/>
      <c r="JW24" s="287"/>
      <c r="JX24" s="287"/>
      <c r="JY24" s="287"/>
      <c r="JZ24" s="287"/>
      <c r="KA24" s="287"/>
      <c r="KB24" s="287"/>
      <c r="KC24" s="632"/>
      <c r="KD24" s="287"/>
      <c r="KE24" s="633"/>
      <c r="KF24" s="287"/>
      <c r="KG24" s="287"/>
      <c r="KH24" s="287"/>
      <c r="KI24" s="287"/>
      <c r="KJ24" s="287"/>
      <c r="KK24" s="287"/>
      <c r="KL24" s="287"/>
      <c r="KM24" s="287"/>
      <c r="KN24" s="287"/>
      <c r="KO24" s="287"/>
      <c r="KP24" s="287"/>
      <c r="KQ24" s="287"/>
      <c r="KR24" s="287"/>
      <c r="KS24" s="632"/>
      <c r="KT24" s="287"/>
      <c r="KU24" s="633"/>
      <c r="KV24" s="287"/>
      <c r="KW24" s="287"/>
      <c r="KX24" s="287"/>
      <c r="KY24" s="287"/>
      <c r="KZ24" s="287"/>
      <c r="LA24" s="287"/>
      <c r="LB24" s="287"/>
      <c r="LC24" s="287"/>
      <c r="LD24" s="287"/>
      <c r="LE24" s="287"/>
      <c r="LF24" s="287"/>
      <c r="LG24" s="287"/>
      <c r="LH24" s="287"/>
      <c r="LI24" s="632"/>
      <c r="LJ24" s="287"/>
      <c r="LK24" s="633"/>
      <c r="LL24" s="287"/>
      <c r="LM24" s="287"/>
      <c r="LN24" s="287"/>
      <c r="LO24" s="287"/>
      <c r="LP24" s="287"/>
      <c r="LQ24" s="287"/>
      <c r="LR24" s="287"/>
      <c r="LS24" s="287"/>
      <c r="LT24" s="287"/>
      <c r="LU24" s="287"/>
      <c r="LV24" s="287"/>
      <c r="LW24" s="287"/>
      <c r="LX24" s="287"/>
      <c r="LY24" s="632"/>
      <c r="LZ24" s="287"/>
      <c r="MA24" s="633"/>
      <c r="MB24" s="287"/>
      <c r="MC24" s="287"/>
      <c r="MD24" s="287"/>
      <c r="ME24" s="287"/>
      <c r="MF24" s="287"/>
      <c r="MG24" s="287"/>
      <c r="MH24" s="287"/>
      <c r="MI24" s="287"/>
      <c r="MJ24" s="287"/>
      <c r="MK24" s="287"/>
      <c r="ML24" s="287"/>
      <c r="MM24" s="287"/>
      <c r="MN24" s="287"/>
      <c r="MO24" s="632"/>
      <c r="MP24" s="287"/>
      <c r="MQ24" s="633"/>
      <c r="MR24" s="287"/>
      <c r="MS24" s="287"/>
      <c r="MT24" s="287"/>
      <c r="MU24" s="287"/>
      <c r="MV24" s="287"/>
      <c r="MW24" s="287"/>
      <c r="MX24" s="287"/>
      <c r="MY24" s="287"/>
      <c r="MZ24" s="287"/>
      <c r="NA24" s="287"/>
      <c r="NB24" s="287"/>
      <c r="NC24" s="287"/>
      <c r="ND24" s="287"/>
      <c r="NE24" s="632"/>
      <c r="NF24" s="287"/>
      <c r="NG24" s="633"/>
      <c r="NH24" s="287"/>
      <c r="NI24" s="287"/>
      <c r="NJ24" s="287"/>
      <c r="NK24" s="287"/>
      <c r="NL24" s="287"/>
      <c r="NM24" s="287"/>
      <c r="NN24" s="287"/>
      <c r="NO24" s="287"/>
      <c r="NP24" s="287"/>
      <c r="NQ24" s="287"/>
      <c r="NR24" s="287"/>
      <c r="NS24" s="287"/>
      <c r="NT24" s="287"/>
      <c r="NU24" s="632"/>
      <c r="NV24" s="287"/>
      <c r="NW24" s="633"/>
      <c r="NX24" s="287"/>
      <c r="NY24" s="287"/>
      <c r="NZ24" s="287"/>
      <c r="OA24" s="287"/>
      <c r="OB24" s="287"/>
      <c r="OC24" s="287"/>
      <c r="OD24" s="287"/>
      <c r="OE24" s="287"/>
      <c r="OF24" s="287"/>
      <c r="OG24" s="287"/>
      <c r="OH24" s="287"/>
      <c r="OI24" s="287"/>
      <c r="OJ24" s="287"/>
      <c r="OK24" s="632"/>
      <c r="OL24" s="287"/>
      <c r="OM24" s="633"/>
      <c r="ON24" s="287"/>
      <c r="OO24" s="287"/>
      <c r="OP24" s="287"/>
      <c r="OQ24" s="287"/>
      <c r="OR24" s="287"/>
      <c r="OS24" s="287"/>
      <c r="OT24" s="287"/>
      <c r="OU24" s="287"/>
      <c r="OV24" s="287"/>
      <c r="OW24" s="287"/>
      <c r="OX24" s="287"/>
      <c r="OY24" s="287"/>
      <c r="OZ24" s="287"/>
      <c r="PA24" s="632"/>
      <c r="PB24" s="287"/>
      <c r="PC24" s="633"/>
      <c r="PD24" s="287"/>
      <c r="PE24" s="287"/>
      <c r="PF24" s="287"/>
      <c r="PG24" s="287"/>
      <c r="PH24" s="287"/>
      <c r="PI24" s="287"/>
      <c r="PJ24" s="287"/>
      <c r="PK24" s="287"/>
      <c r="PL24" s="287"/>
      <c r="PM24" s="287"/>
      <c r="PN24" s="287"/>
      <c r="PO24" s="287"/>
      <c r="PP24" s="287"/>
      <c r="PQ24" s="632"/>
      <c r="PR24" s="287"/>
      <c r="PS24" s="633"/>
      <c r="PT24" s="287"/>
      <c r="PU24" s="287"/>
      <c r="PV24" s="287"/>
      <c r="PW24" s="287"/>
      <c r="PX24" s="287"/>
      <c r="PY24" s="287"/>
      <c r="PZ24" s="287"/>
      <c r="QA24" s="287"/>
      <c r="QB24" s="287"/>
      <c r="QC24" s="287"/>
      <c r="QD24" s="287"/>
      <c r="QE24" s="287"/>
      <c r="QF24" s="287"/>
      <c r="QG24" s="632"/>
      <c r="QH24" s="287"/>
      <c r="QI24" s="633"/>
      <c r="QJ24" s="287"/>
      <c r="QK24" s="287"/>
      <c r="QL24" s="287"/>
      <c r="QM24" s="287"/>
      <c r="QN24" s="287"/>
      <c r="QO24" s="287"/>
      <c r="QP24" s="287"/>
      <c r="QQ24" s="287"/>
      <c r="QR24" s="287"/>
      <c r="QS24" s="287"/>
      <c r="QT24" s="287"/>
      <c r="QU24" s="287"/>
      <c r="QV24" s="287"/>
      <c r="QW24" s="632"/>
      <c r="QX24" s="287"/>
      <c r="QY24" s="633"/>
      <c r="QZ24" s="287"/>
      <c r="RA24" s="287"/>
      <c r="RB24" s="287"/>
      <c r="RC24" s="287"/>
      <c r="RD24" s="287"/>
      <c r="RE24" s="287"/>
      <c r="RF24" s="287"/>
      <c r="RG24" s="287"/>
      <c r="RH24" s="287"/>
      <c r="RI24" s="287"/>
      <c r="RJ24" s="287"/>
      <c r="RK24" s="287"/>
      <c r="RL24" s="287"/>
      <c r="RM24" s="632"/>
      <c r="RN24" s="287"/>
      <c r="RO24" s="633"/>
      <c r="RP24" s="287"/>
      <c r="RQ24" s="287"/>
      <c r="RR24" s="287"/>
      <c r="RS24" s="287"/>
      <c r="RT24" s="287"/>
      <c r="RU24" s="287"/>
      <c r="RV24" s="287"/>
      <c r="RW24" s="287"/>
      <c r="RX24" s="287"/>
      <c r="RY24" s="287"/>
      <c r="RZ24" s="287"/>
      <c r="SA24" s="287"/>
      <c r="SB24" s="287"/>
      <c r="SC24" s="632"/>
      <c r="SD24" s="287"/>
      <c r="SE24" s="633"/>
      <c r="SF24" s="287"/>
      <c r="SG24" s="287"/>
      <c r="SH24" s="287"/>
      <c r="SI24" s="287"/>
      <c r="SJ24" s="287"/>
      <c r="SK24" s="287"/>
      <c r="SL24" s="287"/>
      <c r="SM24" s="287"/>
      <c r="SN24" s="287"/>
      <c r="SO24" s="287"/>
      <c r="SP24" s="287"/>
      <c r="SQ24" s="287"/>
      <c r="SR24" s="287"/>
      <c r="SS24" s="632"/>
      <c r="ST24" s="287"/>
      <c r="SU24" s="633"/>
      <c r="SV24" s="287"/>
      <c r="SW24" s="287"/>
      <c r="SX24" s="287"/>
      <c r="SY24" s="287"/>
      <c r="SZ24" s="287"/>
      <c r="TA24" s="287"/>
      <c r="TB24" s="287"/>
      <c r="TC24" s="287"/>
      <c r="TD24" s="287"/>
      <c r="TE24" s="287"/>
      <c r="TF24" s="287"/>
      <c r="TG24" s="287"/>
      <c r="TH24" s="287"/>
      <c r="TI24" s="632"/>
      <c r="TJ24" s="287"/>
      <c r="TK24" s="633"/>
      <c r="TL24" s="287"/>
      <c r="TM24" s="287"/>
      <c r="TN24" s="287"/>
      <c r="TO24" s="287"/>
      <c r="TP24" s="287"/>
      <c r="TQ24" s="287"/>
      <c r="TR24" s="287"/>
      <c r="TS24" s="287"/>
      <c r="TT24" s="287"/>
      <c r="TU24" s="287"/>
      <c r="TV24" s="287"/>
      <c r="TW24" s="287"/>
      <c r="TX24" s="287"/>
      <c r="TY24" s="632"/>
      <c r="TZ24" s="287"/>
      <c r="UA24" s="633"/>
      <c r="UB24" s="287"/>
      <c r="UC24" s="287"/>
      <c r="UD24" s="287"/>
      <c r="UE24" s="287"/>
      <c r="UF24" s="287"/>
      <c r="UG24" s="287"/>
      <c r="UH24" s="287"/>
      <c r="UI24" s="287"/>
      <c r="UJ24" s="287"/>
      <c r="UK24" s="287"/>
      <c r="UL24" s="287"/>
      <c r="UM24" s="287"/>
      <c r="UN24" s="287"/>
      <c r="UO24" s="632"/>
      <c r="UP24" s="287"/>
      <c r="UQ24" s="633"/>
      <c r="UR24" s="287"/>
      <c r="US24" s="287"/>
      <c r="UT24" s="287"/>
      <c r="UU24" s="287"/>
      <c r="UV24" s="287"/>
      <c r="UW24" s="287"/>
      <c r="UX24" s="287"/>
      <c r="UY24" s="287"/>
      <c r="UZ24" s="287"/>
      <c r="VA24" s="287"/>
      <c r="VB24" s="287"/>
      <c r="VC24" s="287"/>
      <c r="VD24" s="287"/>
      <c r="VE24" s="632"/>
      <c r="VF24" s="287"/>
      <c r="VG24" s="633"/>
      <c r="VH24" s="287"/>
      <c r="VI24" s="287"/>
      <c r="VJ24" s="287"/>
      <c r="VK24" s="287"/>
      <c r="VL24" s="287"/>
      <c r="VM24" s="287"/>
      <c r="VN24" s="287"/>
      <c r="VO24" s="287"/>
      <c r="VP24" s="287"/>
      <c r="VQ24" s="287"/>
      <c r="VR24" s="287"/>
      <c r="VS24" s="287"/>
      <c r="VT24" s="287"/>
      <c r="VU24" s="632"/>
      <c r="VV24" s="287"/>
      <c r="VW24" s="633"/>
      <c r="VX24" s="287"/>
      <c r="VY24" s="287"/>
      <c r="VZ24" s="287"/>
      <c r="WA24" s="287"/>
      <c r="WB24" s="287"/>
      <c r="WC24" s="287"/>
      <c r="WD24" s="287"/>
      <c r="WE24" s="287"/>
      <c r="WF24" s="287"/>
      <c r="WG24" s="287"/>
      <c r="WH24" s="287"/>
      <c r="WI24" s="287"/>
      <c r="WJ24" s="287"/>
      <c r="WK24" s="632"/>
      <c r="WL24" s="287"/>
      <c r="WM24" s="633"/>
      <c r="WN24" s="287"/>
      <c r="WO24" s="287"/>
      <c r="WP24" s="287"/>
      <c r="WQ24" s="287"/>
      <c r="WR24" s="287"/>
      <c r="WS24" s="287"/>
      <c r="WT24" s="287"/>
      <c r="WU24" s="287"/>
      <c r="WV24" s="287"/>
      <c r="WW24" s="287"/>
      <c r="WX24" s="287"/>
      <c r="WY24" s="287"/>
      <c r="WZ24" s="287"/>
      <c r="XA24" s="632"/>
      <c r="XB24" s="287"/>
      <c r="XC24" s="633"/>
      <c r="XD24" s="287"/>
      <c r="XE24" s="287"/>
      <c r="XF24" s="287"/>
      <c r="XG24" s="287"/>
      <c r="XH24" s="287"/>
      <c r="XI24" s="287"/>
      <c r="XJ24" s="287"/>
      <c r="XK24" s="287"/>
      <c r="XL24" s="287"/>
      <c r="XM24" s="287"/>
      <c r="XN24" s="287"/>
      <c r="XO24" s="287"/>
      <c r="XP24" s="287"/>
      <c r="XQ24" s="632"/>
      <c r="XR24" s="287"/>
      <c r="XS24" s="633"/>
      <c r="XT24" s="287"/>
      <c r="XU24" s="287"/>
      <c r="XV24" s="287"/>
      <c r="XW24" s="287"/>
      <c r="XX24" s="287"/>
      <c r="XY24" s="287"/>
      <c r="XZ24" s="287"/>
      <c r="YA24" s="287"/>
      <c r="YB24" s="287"/>
      <c r="YC24" s="287"/>
      <c r="YD24" s="287"/>
      <c r="YE24" s="287"/>
      <c r="YF24" s="287"/>
      <c r="YG24" s="632"/>
      <c r="YH24" s="287"/>
      <c r="YI24" s="633"/>
      <c r="YJ24" s="287"/>
      <c r="YK24" s="287"/>
      <c r="YL24" s="287"/>
      <c r="YM24" s="287"/>
      <c r="YN24" s="287"/>
      <c r="YO24" s="287"/>
      <c r="YP24" s="287"/>
      <c r="YQ24" s="287"/>
      <c r="YR24" s="287"/>
      <c r="YS24" s="287"/>
      <c r="YT24" s="287"/>
      <c r="YU24" s="287"/>
      <c r="YV24" s="287"/>
      <c r="YW24" s="632"/>
      <c r="YX24" s="287"/>
      <c r="YY24" s="633"/>
      <c r="YZ24" s="287"/>
      <c r="ZA24" s="287"/>
      <c r="ZB24" s="287"/>
      <c r="ZC24" s="287"/>
      <c r="ZD24" s="287"/>
      <c r="ZE24" s="287"/>
      <c r="ZF24" s="287"/>
      <c r="ZG24" s="287"/>
      <c r="ZH24" s="287"/>
      <c r="ZI24" s="287"/>
      <c r="ZJ24" s="287"/>
      <c r="ZK24" s="287"/>
      <c r="ZL24" s="287"/>
      <c r="ZM24" s="632"/>
      <c r="ZN24" s="287"/>
      <c r="ZO24" s="633"/>
      <c r="ZP24" s="287"/>
      <c r="ZQ24" s="287"/>
      <c r="ZR24" s="287"/>
      <c r="ZS24" s="287"/>
      <c r="ZT24" s="287"/>
      <c r="ZU24" s="287"/>
      <c r="ZV24" s="287"/>
      <c r="ZW24" s="287"/>
      <c r="ZX24" s="287"/>
      <c r="ZY24" s="287"/>
      <c r="ZZ24" s="287"/>
      <c r="AAA24" s="287"/>
      <c r="AAB24" s="287"/>
      <c r="AAC24" s="632"/>
      <c r="AAD24" s="287"/>
      <c r="AAE24" s="633"/>
      <c r="AAF24" s="287"/>
      <c r="AAG24" s="287"/>
      <c r="AAH24" s="287"/>
      <c r="AAI24" s="287"/>
      <c r="AAJ24" s="287"/>
      <c r="AAK24" s="287"/>
      <c r="AAL24" s="287"/>
      <c r="AAM24" s="287"/>
      <c r="AAN24" s="287"/>
      <c r="AAO24" s="287"/>
      <c r="AAP24" s="287"/>
      <c r="AAQ24" s="287"/>
      <c r="AAR24" s="287"/>
      <c r="AAS24" s="632"/>
      <c r="AAT24" s="287"/>
      <c r="AAU24" s="633"/>
      <c r="AAV24" s="287"/>
      <c r="AAW24" s="287"/>
      <c r="AAX24" s="287"/>
      <c r="AAY24" s="287"/>
      <c r="AAZ24" s="287"/>
      <c r="ABA24" s="287"/>
      <c r="ABB24" s="287"/>
      <c r="ABC24" s="287"/>
      <c r="ABD24" s="287"/>
      <c r="ABE24" s="287"/>
      <c r="ABF24" s="287"/>
      <c r="ABG24" s="287"/>
      <c r="ABH24" s="287"/>
      <c r="ABI24" s="632"/>
      <c r="ABJ24" s="287"/>
      <c r="ABK24" s="633"/>
      <c r="ABL24" s="287"/>
      <c r="ABM24" s="287"/>
      <c r="ABN24" s="287"/>
      <c r="ABO24" s="287"/>
      <c r="ABP24" s="287"/>
      <c r="ABQ24" s="287"/>
      <c r="ABR24" s="287"/>
      <c r="ABS24" s="287"/>
      <c r="ABT24" s="287"/>
      <c r="ABU24" s="287"/>
      <c r="ABV24" s="287"/>
      <c r="ABW24" s="287"/>
      <c r="ABX24" s="287"/>
      <c r="ABY24" s="632"/>
      <c r="ABZ24" s="287"/>
      <c r="ACA24" s="633"/>
      <c r="ACB24" s="287"/>
      <c r="ACC24" s="287"/>
      <c r="ACD24" s="287"/>
      <c r="ACE24" s="287"/>
      <c r="ACF24" s="287"/>
      <c r="ACG24" s="287"/>
      <c r="ACH24" s="287"/>
      <c r="ACI24" s="287"/>
      <c r="ACJ24" s="287"/>
      <c r="ACK24" s="287"/>
      <c r="ACL24" s="287"/>
      <c r="ACM24" s="287"/>
      <c r="ACN24" s="287"/>
      <c r="ACO24" s="632"/>
      <c r="ACP24" s="287"/>
      <c r="ACQ24" s="633"/>
      <c r="ACR24" s="287"/>
      <c r="ACS24" s="287"/>
      <c r="ACT24" s="287"/>
      <c r="ACU24" s="287"/>
      <c r="ACV24" s="287"/>
      <c r="ACW24" s="287"/>
      <c r="ACX24" s="287"/>
      <c r="ACY24" s="287"/>
      <c r="ACZ24" s="287"/>
      <c r="ADA24" s="287"/>
      <c r="ADB24" s="287"/>
      <c r="ADC24" s="287"/>
      <c r="ADD24" s="287"/>
      <c r="ADE24" s="632"/>
      <c r="ADF24" s="287"/>
      <c r="ADG24" s="633"/>
      <c r="ADH24" s="287"/>
      <c r="ADI24" s="287"/>
      <c r="ADJ24" s="287"/>
      <c r="ADK24" s="287"/>
      <c r="ADL24" s="287"/>
      <c r="ADM24" s="287"/>
      <c r="ADN24" s="287"/>
      <c r="ADO24" s="287"/>
      <c r="ADP24" s="287"/>
      <c r="ADQ24" s="287"/>
      <c r="ADR24" s="287"/>
      <c r="ADS24" s="287"/>
      <c r="ADT24" s="287"/>
      <c r="ADU24" s="632"/>
      <c r="ADV24" s="287"/>
      <c r="ADW24" s="633"/>
      <c r="ADX24" s="287"/>
      <c r="ADY24" s="287"/>
      <c r="ADZ24" s="287"/>
      <c r="AEA24" s="287"/>
      <c r="AEB24" s="287"/>
      <c r="AEC24" s="287"/>
      <c r="AED24" s="287"/>
      <c r="AEE24" s="287"/>
      <c r="AEF24" s="287"/>
      <c r="AEG24" s="287"/>
      <c r="AEH24" s="287"/>
      <c r="AEI24" s="287"/>
      <c r="AEJ24" s="287"/>
      <c r="AEK24" s="632"/>
      <c r="AEL24" s="287"/>
      <c r="AEM24" s="633"/>
      <c r="AEN24" s="287"/>
      <c r="AEO24" s="287"/>
      <c r="AEP24" s="287"/>
      <c r="AEQ24" s="287"/>
      <c r="AER24" s="287"/>
      <c r="AES24" s="287"/>
      <c r="AET24" s="287"/>
      <c r="AEU24" s="287"/>
      <c r="AEV24" s="287"/>
      <c r="AEW24" s="287"/>
      <c r="AEX24" s="287"/>
      <c r="AEY24" s="287"/>
      <c r="AEZ24" s="287"/>
      <c r="AFA24" s="632"/>
      <c r="AFB24" s="287"/>
      <c r="AFC24" s="633"/>
      <c r="AFD24" s="287"/>
      <c r="AFE24" s="287"/>
      <c r="AFF24" s="287"/>
      <c r="AFG24" s="287"/>
      <c r="AFH24" s="287"/>
      <c r="AFI24" s="287"/>
      <c r="AFJ24" s="287"/>
      <c r="AFK24" s="287"/>
      <c r="AFL24" s="287"/>
      <c r="AFM24" s="287"/>
      <c r="AFN24" s="287"/>
      <c r="AFO24" s="287"/>
      <c r="AFP24" s="287"/>
      <c r="AFQ24" s="632"/>
      <c r="AFR24" s="287"/>
      <c r="AFS24" s="633"/>
      <c r="AFT24" s="287"/>
      <c r="AFU24" s="287"/>
      <c r="AFV24" s="287"/>
      <c r="AFW24" s="287"/>
      <c r="AFX24" s="287"/>
      <c r="AFY24" s="287"/>
      <c r="AFZ24" s="287"/>
      <c r="AGA24" s="287"/>
      <c r="AGB24" s="287"/>
      <c r="AGC24" s="287"/>
      <c r="AGD24" s="287"/>
      <c r="AGE24" s="287"/>
      <c r="AGF24" s="287"/>
      <c r="AGG24" s="632"/>
      <c r="AGH24" s="287"/>
      <c r="AGI24" s="633"/>
      <c r="AGJ24" s="287"/>
      <c r="AGK24" s="287"/>
      <c r="AGL24" s="287"/>
      <c r="AGM24" s="287"/>
      <c r="AGN24" s="287"/>
      <c r="AGO24" s="287"/>
      <c r="AGP24" s="287"/>
      <c r="AGQ24" s="287"/>
      <c r="AGR24" s="287"/>
      <c r="AGS24" s="287"/>
      <c r="AGT24" s="287"/>
      <c r="AGU24" s="287"/>
      <c r="AGV24" s="287"/>
      <c r="AGW24" s="632"/>
      <c r="AGX24" s="287"/>
      <c r="AGY24" s="633"/>
      <c r="AGZ24" s="287"/>
      <c r="AHA24" s="287"/>
      <c r="AHB24" s="287"/>
      <c r="AHC24" s="287"/>
      <c r="AHD24" s="287"/>
      <c r="AHE24" s="287"/>
      <c r="AHF24" s="287"/>
      <c r="AHG24" s="287"/>
      <c r="AHH24" s="287"/>
      <c r="AHI24" s="287"/>
      <c r="AHJ24" s="287"/>
      <c r="AHK24" s="287"/>
      <c r="AHL24" s="287"/>
      <c r="AHM24" s="632"/>
      <c r="AHN24" s="287"/>
      <c r="AHO24" s="633"/>
      <c r="AHP24" s="287"/>
      <c r="AHQ24" s="287"/>
      <c r="AHR24" s="287"/>
      <c r="AHS24" s="287"/>
      <c r="AHT24" s="287"/>
      <c r="AHU24" s="287"/>
      <c r="AHV24" s="287"/>
      <c r="AHW24" s="287"/>
      <c r="AHX24" s="287"/>
      <c r="AHY24" s="287"/>
      <c r="AHZ24" s="287"/>
      <c r="AIA24" s="287"/>
      <c r="AIB24" s="287"/>
      <c r="AIC24" s="632"/>
      <c r="AID24" s="287"/>
      <c r="AIE24" s="633"/>
      <c r="AIF24" s="287"/>
      <c r="AIG24" s="287"/>
      <c r="AIH24" s="287"/>
      <c r="AII24" s="287"/>
      <c r="AIJ24" s="287"/>
      <c r="AIK24" s="287"/>
      <c r="AIL24" s="287"/>
      <c r="AIM24" s="287"/>
      <c r="AIN24" s="287"/>
      <c r="AIO24" s="287"/>
      <c r="AIP24" s="287"/>
      <c r="AIQ24" s="287"/>
      <c r="AIR24" s="287"/>
      <c r="AIS24" s="632"/>
      <c r="AIT24" s="287"/>
      <c r="AIU24" s="633"/>
      <c r="AIV24" s="287"/>
      <c r="AIW24" s="287"/>
      <c r="AIX24" s="287"/>
      <c r="AIY24" s="287"/>
      <c r="AIZ24" s="287"/>
      <c r="AJA24" s="287"/>
      <c r="AJB24" s="287"/>
      <c r="AJC24" s="287"/>
      <c r="AJD24" s="287"/>
      <c r="AJE24" s="287"/>
      <c r="AJF24" s="287"/>
      <c r="AJG24" s="287"/>
      <c r="AJH24" s="287"/>
      <c r="AJI24" s="632"/>
      <c r="AJJ24" s="287"/>
      <c r="AJK24" s="633"/>
      <c r="AJL24" s="287"/>
      <c r="AJM24" s="287"/>
      <c r="AJN24" s="287"/>
      <c r="AJO24" s="287"/>
      <c r="AJP24" s="287"/>
      <c r="AJQ24" s="287"/>
      <c r="AJR24" s="287"/>
      <c r="AJS24" s="287"/>
      <c r="AJT24" s="287"/>
      <c r="AJU24" s="287"/>
      <c r="AJV24" s="287"/>
      <c r="AJW24" s="287"/>
      <c r="AJX24" s="287"/>
      <c r="AJY24" s="632"/>
      <c r="AJZ24" s="287"/>
      <c r="AKA24" s="633"/>
      <c r="AKB24" s="287"/>
      <c r="AKC24" s="287"/>
      <c r="AKD24" s="287"/>
      <c r="AKE24" s="287"/>
      <c r="AKF24" s="287"/>
      <c r="AKG24" s="287"/>
      <c r="AKH24" s="287"/>
      <c r="AKI24" s="287"/>
      <c r="AKJ24" s="287"/>
      <c r="AKK24" s="287"/>
      <c r="AKL24" s="287"/>
      <c r="AKM24" s="287"/>
      <c r="AKN24" s="287"/>
      <c r="AKO24" s="632"/>
      <c r="AKP24" s="287"/>
      <c r="AKQ24" s="633"/>
      <c r="AKR24" s="287"/>
      <c r="AKS24" s="287"/>
      <c r="AKT24" s="287"/>
      <c r="AKU24" s="287"/>
      <c r="AKV24" s="287"/>
      <c r="AKW24" s="287"/>
      <c r="AKX24" s="287"/>
      <c r="AKY24" s="287"/>
      <c r="AKZ24" s="287"/>
      <c r="ALA24" s="287"/>
      <c r="ALB24" s="287"/>
      <c r="ALC24" s="287"/>
      <c r="ALD24" s="287"/>
      <c r="ALE24" s="632"/>
      <c r="ALF24" s="287"/>
      <c r="ALG24" s="633"/>
      <c r="ALH24" s="287"/>
      <c r="ALI24" s="287"/>
      <c r="ALJ24" s="287"/>
      <c r="ALK24" s="287"/>
      <c r="ALL24" s="287"/>
      <c r="ALM24" s="287"/>
      <c r="ALN24" s="287"/>
      <c r="ALO24" s="287"/>
      <c r="ALP24" s="287"/>
      <c r="ALQ24" s="287"/>
      <c r="ALR24" s="287"/>
      <c r="ALS24" s="287"/>
      <c r="ALT24" s="287"/>
      <c r="ALU24" s="632"/>
      <c r="ALV24" s="287"/>
      <c r="ALW24" s="633"/>
      <c r="ALX24" s="287"/>
      <c r="ALY24" s="287"/>
      <c r="ALZ24" s="287"/>
      <c r="AMA24" s="287"/>
      <c r="AMB24" s="287"/>
      <c r="AMC24" s="287"/>
      <c r="AMD24" s="287"/>
      <c r="AME24" s="287"/>
      <c r="AMF24" s="287"/>
      <c r="AMG24" s="287"/>
      <c r="AMH24" s="287"/>
      <c r="AMI24" s="287"/>
      <c r="AMJ24" s="287"/>
      <c r="AMK24" s="632"/>
      <c r="AML24" s="287"/>
      <c r="AMM24" s="633"/>
      <c r="AMN24" s="287"/>
      <c r="AMO24" s="287"/>
      <c r="AMP24" s="287"/>
      <c r="AMQ24" s="287"/>
      <c r="AMR24" s="287"/>
      <c r="AMS24" s="287"/>
      <c r="AMT24" s="287"/>
      <c r="AMU24" s="287"/>
      <c r="AMV24" s="287"/>
      <c r="AMW24" s="287"/>
      <c r="AMX24" s="287"/>
      <c r="AMY24" s="287"/>
      <c r="AMZ24" s="287"/>
      <c r="ANA24" s="632"/>
      <c r="ANB24" s="287"/>
      <c r="ANC24" s="633"/>
      <c r="AND24" s="287"/>
      <c r="ANE24" s="287"/>
      <c r="ANF24" s="287"/>
      <c r="ANG24" s="287"/>
      <c r="ANH24" s="287"/>
      <c r="ANI24" s="287"/>
      <c r="ANJ24" s="287"/>
      <c r="ANK24" s="287"/>
      <c r="ANL24" s="287"/>
      <c r="ANM24" s="287"/>
      <c r="ANN24" s="287"/>
      <c r="ANO24" s="287"/>
      <c r="ANP24" s="287"/>
      <c r="ANQ24" s="632"/>
      <c r="ANR24" s="287"/>
      <c r="ANS24" s="633"/>
      <c r="ANT24" s="287"/>
      <c r="ANU24" s="287"/>
      <c r="ANV24" s="287"/>
      <c r="ANW24" s="287"/>
      <c r="ANX24" s="287"/>
      <c r="ANY24" s="287"/>
      <c r="ANZ24" s="287"/>
      <c r="AOA24" s="287"/>
      <c r="AOB24" s="287"/>
      <c r="AOC24" s="287"/>
      <c r="AOD24" s="287"/>
      <c r="AOE24" s="287"/>
      <c r="AOF24" s="287"/>
      <c r="AOG24" s="632"/>
      <c r="AOH24" s="287"/>
      <c r="AOI24" s="633"/>
      <c r="AOJ24" s="287"/>
      <c r="AOK24" s="287"/>
      <c r="AOL24" s="287"/>
      <c r="AOM24" s="287"/>
      <c r="AON24" s="287"/>
      <c r="AOO24" s="287"/>
      <c r="AOP24" s="287"/>
      <c r="AOQ24" s="287"/>
      <c r="AOR24" s="287"/>
      <c r="AOS24" s="287"/>
      <c r="AOT24" s="287"/>
      <c r="AOU24" s="287"/>
      <c r="AOV24" s="287"/>
      <c r="AOW24" s="632"/>
      <c r="AOX24" s="287"/>
      <c r="AOY24" s="633"/>
      <c r="AOZ24" s="287"/>
      <c r="APA24" s="287"/>
      <c r="APB24" s="287"/>
      <c r="APC24" s="287"/>
      <c r="APD24" s="287"/>
      <c r="APE24" s="287"/>
      <c r="APF24" s="287"/>
      <c r="APG24" s="287"/>
      <c r="APH24" s="287"/>
      <c r="API24" s="287"/>
      <c r="APJ24" s="287"/>
      <c r="APK24" s="287"/>
      <c r="APL24" s="287"/>
      <c r="APM24" s="632"/>
      <c r="APN24" s="287"/>
      <c r="APO24" s="633"/>
      <c r="APP24" s="287"/>
      <c r="APQ24" s="287"/>
      <c r="APR24" s="287"/>
      <c r="APS24" s="287"/>
      <c r="APT24" s="287"/>
      <c r="APU24" s="287"/>
      <c r="APV24" s="287"/>
      <c r="APW24" s="287"/>
      <c r="APX24" s="287"/>
      <c r="APY24" s="287"/>
      <c r="APZ24" s="287"/>
      <c r="AQA24" s="287"/>
      <c r="AQB24" s="287"/>
      <c r="AQC24" s="632"/>
      <c r="AQD24" s="287"/>
      <c r="AQE24" s="633"/>
      <c r="AQF24" s="287"/>
      <c r="AQG24" s="287"/>
      <c r="AQH24" s="287"/>
      <c r="AQI24" s="287"/>
      <c r="AQJ24" s="287"/>
      <c r="AQK24" s="287"/>
      <c r="AQL24" s="287"/>
      <c r="AQM24" s="287"/>
      <c r="AQN24" s="287"/>
      <c r="AQO24" s="287"/>
      <c r="AQP24" s="287"/>
      <c r="AQQ24" s="287"/>
      <c r="AQR24" s="287"/>
      <c r="AQS24" s="632"/>
      <c r="AQT24" s="287"/>
      <c r="AQU24" s="633"/>
      <c r="AQV24" s="287"/>
      <c r="AQW24" s="287"/>
      <c r="AQX24" s="287"/>
      <c r="AQY24" s="287"/>
      <c r="AQZ24" s="287"/>
      <c r="ARA24" s="287"/>
      <c r="ARB24" s="287"/>
      <c r="ARC24" s="287"/>
      <c r="ARD24" s="287"/>
      <c r="ARE24" s="287"/>
      <c r="ARF24" s="287"/>
      <c r="ARG24" s="287"/>
      <c r="ARH24" s="287"/>
      <c r="ARI24" s="632"/>
      <c r="ARJ24" s="287"/>
      <c r="ARK24" s="633"/>
      <c r="ARL24" s="287"/>
      <c r="ARM24" s="287"/>
      <c r="ARN24" s="287"/>
      <c r="ARO24" s="287"/>
      <c r="ARP24" s="287"/>
      <c r="ARQ24" s="287"/>
      <c r="ARR24" s="287"/>
      <c r="ARS24" s="287"/>
      <c r="ART24" s="287"/>
      <c r="ARU24" s="287"/>
      <c r="ARV24" s="287"/>
      <c r="ARW24" s="287"/>
      <c r="ARX24" s="287"/>
      <c r="ARY24" s="632"/>
      <c r="ARZ24" s="287"/>
      <c r="ASA24" s="633"/>
      <c r="ASB24" s="287"/>
      <c r="ASC24" s="287"/>
      <c r="ASD24" s="287"/>
      <c r="ASE24" s="287"/>
      <c r="ASF24" s="287"/>
      <c r="ASG24" s="287"/>
      <c r="ASH24" s="287"/>
      <c r="ASI24" s="287"/>
      <c r="ASJ24" s="287"/>
      <c r="ASK24" s="287"/>
      <c r="ASL24" s="287"/>
      <c r="ASM24" s="287"/>
      <c r="ASN24" s="287"/>
      <c r="ASO24" s="632"/>
      <c r="ASP24" s="287"/>
      <c r="ASQ24" s="633"/>
      <c r="ASR24" s="287"/>
      <c r="ASS24" s="287"/>
      <c r="AST24" s="287"/>
      <c r="ASU24" s="287"/>
      <c r="ASV24" s="287"/>
      <c r="ASW24" s="287"/>
      <c r="ASX24" s="287"/>
      <c r="ASY24" s="287"/>
      <c r="ASZ24" s="287"/>
      <c r="ATA24" s="287"/>
      <c r="ATB24" s="287"/>
      <c r="ATC24" s="287"/>
      <c r="ATD24" s="287"/>
      <c r="ATE24" s="632"/>
      <c r="ATF24" s="287"/>
      <c r="ATG24" s="633"/>
      <c r="ATH24" s="287"/>
      <c r="ATI24" s="287"/>
      <c r="ATJ24" s="287"/>
      <c r="ATK24" s="287"/>
      <c r="ATL24" s="287"/>
      <c r="ATM24" s="287"/>
      <c r="ATN24" s="287"/>
      <c r="ATO24" s="287"/>
      <c r="ATP24" s="287"/>
      <c r="ATQ24" s="287"/>
      <c r="ATR24" s="287"/>
      <c r="ATS24" s="287"/>
      <c r="ATT24" s="287"/>
      <c r="ATU24" s="632"/>
      <c r="ATV24" s="287"/>
      <c r="ATW24" s="633"/>
      <c r="ATX24" s="287"/>
      <c r="ATY24" s="287"/>
      <c r="ATZ24" s="287"/>
      <c r="AUA24" s="287"/>
      <c r="AUB24" s="287"/>
      <c r="AUC24" s="287"/>
      <c r="AUD24" s="287"/>
      <c r="AUE24" s="287"/>
      <c r="AUF24" s="287"/>
      <c r="AUG24" s="287"/>
      <c r="AUH24" s="287"/>
      <c r="AUI24" s="287"/>
      <c r="AUJ24" s="287"/>
      <c r="AUK24" s="632"/>
      <c r="AUL24" s="287"/>
      <c r="AUM24" s="633"/>
      <c r="AUN24" s="287"/>
      <c r="AUO24" s="287"/>
      <c r="AUP24" s="287"/>
      <c r="AUQ24" s="287"/>
      <c r="AUR24" s="287"/>
      <c r="AUS24" s="287"/>
      <c r="AUT24" s="287"/>
      <c r="AUU24" s="287"/>
      <c r="AUV24" s="287"/>
      <c r="AUW24" s="287"/>
      <c r="AUX24" s="287"/>
      <c r="AUY24" s="287"/>
      <c r="AUZ24" s="287"/>
      <c r="AVA24" s="632"/>
      <c r="AVB24" s="287"/>
      <c r="AVC24" s="633"/>
      <c r="AVD24" s="287"/>
      <c r="AVE24" s="287"/>
      <c r="AVF24" s="287"/>
      <c r="AVG24" s="287"/>
      <c r="AVH24" s="287"/>
      <c r="AVI24" s="287"/>
      <c r="AVJ24" s="287"/>
      <c r="AVK24" s="287"/>
      <c r="AVL24" s="287"/>
      <c r="AVM24" s="287"/>
      <c r="AVN24" s="287"/>
      <c r="AVO24" s="287"/>
      <c r="AVP24" s="287"/>
      <c r="AVQ24" s="632"/>
      <c r="AVR24" s="287"/>
      <c r="AVS24" s="633"/>
      <c r="AVT24" s="287"/>
      <c r="AVU24" s="287"/>
      <c r="AVV24" s="287"/>
      <c r="AVW24" s="287"/>
      <c r="AVX24" s="287"/>
      <c r="AVY24" s="287"/>
      <c r="AVZ24" s="287"/>
      <c r="AWA24" s="287"/>
      <c r="AWB24" s="287"/>
      <c r="AWC24" s="287"/>
      <c r="AWD24" s="287"/>
      <c r="AWE24" s="287"/>
      <c r="AWF24" s="287"/>
      <c r="AWG24" s="632"/>
      <c r="AWH24" s="287"/>
      <c r="AWI24" s="633"/>
      <c r="AWJ24" s="287"/>
      <c r="AWK24" s="287"/>
      <c r="AWL24" s="287"/>
      <c r="AWM24" s="287"/>
      <c r="AWN24" s="287"/>
      <c r="AWO24" s="287"/>
      <c r="AWP24" s="287"/>
      <c r="AWQ24" s="287"/>
      <c r="AWR24" s="287"/>
      <c r="AWS24" s="287"/>
      <c r="AWT24" s="287"/>
      <c r="AWU24" s="287"/>
      <c r="AWV24" s="287"/>
      <c r="AWW24" s="632"/>
      <c r="AWX24" s="287"/>
      <c r="AWY24" s="633"/>
      <c r="AWZ24" s="287"/>
      <c r="AXA24" s="287"/>
      <c r="AXB24" s="287"/>
      <c r="AXC24" s="287"/>
      <c r="AXD24" s="287"/>
      <c r="AXE24" s="287"/>
      <c r="AXF24" s="287"/>
      <c r="AXG24" s="287"/>
      <c r="AXH24" s="287"/>
      <c r="AXI24" s="287"/>
      <c r="AXJ24" s="287"/>
      <c r="AXK24" s="287"/>
      <c r="AXL24" s="287"/>
      <c r="AXM24" s="632"/>
      <c r="AXN24" s="287"/>
      <c r="AXO24" s="633"/>
      <c r="AXP24" s="287"/>
      <c r="AXQ24" s="287"/>
      <c r="AXR24" s="287"/>
      <c r="AXS24" s="287"/>
      <c r="AXT24" s="287"/>
      <c r="AXU24" s="287"/>
      <c r="AXV24" s="287"/>
      <c r="AXW24" s="287"/>
      <c r="AXX24" s="287"/>
      <c r="AXY24" s="287"/>
      <c r="AXZ24" s="287"/>
      <c r="AYA24" s="287"/>
      <c r="AYB24" s="287"/>
      <c r="AYC24" s="632"/>
      <c r="AYD24" s="287"/>
      <c r="AYE24" s="633"/>
      <c r="AYF24" s="287"/>
      <c r="AYG24" s="287"/>
      <c r="AYH24" s="287"/>
      <c r="AYI24" s="287"/>
      <c r="AYJ24" s="287"/>
      <c r="AYK24" s="287"/>
      <c r="AYL24" s="287"/>
      <c r="AYM24" s="287"/>
      <c r="AYN24" s="287"/>
      <c r="AYO24" s="287"/>
      <c r="AYP24" s="287"/>
      <c r="AYQ24" s="287"/>
      <c r="AYR24" s="287"/>
      <c r="AYS24" s="632"/>
      <c r="AYT24" s="287"/>
      <c r="AYU24" s="633"/>
      <c r="AYV24" s="287"/>
      <c r="AYW24" s="287"/>
      <c r="AYX24" s="287"/>
      <c r="AYY24" s="287"/>
      <c r="AYZ24" s="287"/>
      <c r="AZA24" s="287"/>
      <c r="AZB24" s="287"/>
      <c r="AZC24" s="287"/>
      <c r="AZD24" s="287"/>
      <c r="AZE24" s="287"/>
      <c r="AZF24" s="287"/>
      <c r="AZG24" s="287"/>
      <c r="AZH24" s="287"/>
      <c r="AZI24" s="632"/>
      <c r="AZJ24" s="287"/>
      <c r="AZK24" s="633"/>
      <c r="AZL24" s="287"/>
      <c r="AZM24" s="287"/>
      <c r="AZN24" s="287"/>
      <c r="AZO24" s="287"/>
      <c r="AZP24" s="287"/>
      <c r="AZQ24" s="287"/>
      <c r="AZR24" s="287"/>
      <c r="AZS24" s="287"/>
      <c r="AZT24" s="287"/>
      <c r="AZU24" s="287"/>
      <c r="AZV24" s="287"/>
      <c r="AZW24" s="287"/>
      <c r="AZX24" s="287"/>
      <c r="AZY24" s="632"/>
      <c r="AZZ24" s="287"/>
      <c r="BAA24" s="633"/>
      <c r="BAB24" s="287"/>
      <c r="BAC24" s="287"/>
      <c r="BAD24" s="287"/>
      <c r="BAE24" s="287"/>
      <c r="BAF24" s="287"/>
      <c r="BAG24" s="287"/>
      <c r="BAH24" s="287"/>
      <c r="BAI24" s="287"/>
      <c r="BAJ24" s="287"/>
      <c r="BAK24" s="287"/>
      <c r="BAL24" s="287"/>
      <c r="BAM24" s="287"/>
      <c r="BAN24" s="287"/>
      <c r="BAO24" s="632"/>
      <c r="BAP24" s="287"/>
      <c r="BAQ24" s="633"/>
      <c r="BAR24" s="287"/>
      <c r="BAS24" s="287"/>
      <c r="BAT24" s="287"/>
      <c r="BAU24" s="287"/>
      <c r="BAV24" s="287"/>
      <c r="BAW24" s="287"/>
      <c r="BAX24" s="287"/>
      <c r="BAY24" s="287"/>
      <c r="BAZ24" s="287"/>
      <c r="BBA24" s="287"/>
      <c r="BBB24" s="287"/>
      <c r="BBC24" s="287"/>
      <c r="BBD24" s="287"/>
      <c r="BBE24" s="632"/>
      <c r="BBF24" s="287"/>
      <c r="BBG24" s="633"/>
      <c r="BBH24" s="287"/>
      <c r="BBI24" s="287"/>
      <c r="BBJ24" s="287"/>
      <c r="BBK24" s="287"/>
      <c r="BBL24" s="287"/>
      <c r="BBM24" s="287"/>
      <c r="BBN24" s="287"/>
      <c r="BBO24" s="287"/>
      <c r="BBP24" s="287"/>
      <c r="BBQ24" s="287"/>
      <c r="BBR24" s="287"/>
      <c r="BBS24" s="287"/>
      <c r="BBT24" s="287"/>
      <c r="BBU24" s="632"/>
      <c r="BBV24" s="287"/>
      <c r="BBW24" s="633"/>
      <c r="BBX24" s="287"/>
      <c r="BBY24" s="287"/>
      <c r="BBZ24" s="287"/>
      <c r="BCA24" s="287"/>
      <c r="BCB24" s="287"/>
      <c r="BCC24" s="287"/>
      <c r="BCD24" s="287"/>
      <c r="BCE24" s="287"/>
      <c r="BCF24" s="287"/>
      <c r="BCG24" s="287"/>
      <c r="BCH24" s="287"/>
      <c r="BCI24" s="287"/>
      <c r="BCJ24" s="287"/>
      <c r="BCK24" s="632"/>
      <c r="BCL24" s="287"/>
      <c r="BCM24" s="633"/>
      <c r="BCN24" s="287"/>
      <c r="BCO24" s="287"/>
      <c r="BCP24" s="287"/>
      <c r="BCQ24" s="287"/>
      <c r="BCR24" s="287"/>
      <c r="BCS24" s="287"/>
      <c r="BCT24" s="287"/>
      <c r="BCU24" s="287"/>
      <c r="BCV24" s="287"/>
      <c r="BCW24" s="287"/>
      <c r="BCX24" s="287"/>
      <c r="BCY24" s="287"/>
      <c r="BCZ24" s="287"/>
      <c r="BDA24" s="632"/>
      <c r="BDB24" s="287"/>
      <c r="BDC24" s="633"/>
      <c r="BDD24" s="287"/>
      <c r="BDE24" s="287"/>
      <c r="BDF24" s="287"/>
      <c r="BDG24" s="287"/>
      <c r="BDH24" s="287"/>
      <c r="BDI24" s="287"/>
      <c r="BDJ24" s="287"/>
      <c r="BDK24" s="287"/>
      <c r="BDL24" s="287"/>
      <c r="BDM24" s="287"/>
      <c r="BDN24" s="287"/>
      <c r="BDO24" s="287"/>
      <c r="BDP24" s="287"/>
      <c r="BDQ24" s="632"/>
      <c r="BDR24" s="287"/>
      <c r="BDS24" s="633"/>
      <c r="BDT24" s="287"/>
      <c r="BDU24" s="287"/>
      <c r="BDV24" s="287"/>
      <c r="BDW24" s="287"/>
      <c r="BDX24" s="287"/>
      <c r="BDY24" s="287"/>
      <c r="BDZ24" s="287"/>
      <c r="BEA24" s="287"/>
      <c r="BEB24" s="287"/>
      <c r="BEC24" s="287"/>
      <c r="BED24" s="287"/>
      <c r="BEE24" s="287"/>
      <c r="BEF24" s="287"/>
      <c r="BEG24" s="632"/>
      <c r="BEH24" s="287"/>
      <c r="BEI24" s="633"/>
      <c r="BEJ24" s="287"/>
      <c r="BEK24" s="287"/>
      <c r="BEL24" s="287"/>
      <c r="BEM24" s="287"/>
      <c r="BEN24" s="287"/>
      <c r="BEO24" s="287"/>
      <c r="BEP24" s="287"/>
      <c r="BEQ24" s="287"/>
      <c r="BER24" s="287"/>
      <c r="BES24" s="287"/>
      <c r="BET24" s="287"/>
      <c r="BEU24" s="287"/>
      <c r="BEV24" s="287"/>
      <c r="BEW24" s="632"/>
      <c r="BEX24" s="287"/>
      <c r="BEY24" s="633"/>
      <c r="BEZ24" s="287"/>
      <c r="BFA24" s="287"/>
      <c r="BFB24" s="287"/>
      <c r="BFC24" s="287"/>
      <c r="BFD24" s="287"/>
      <c r="BFE24" s="287"/>
      <c r="BFF24" s="287"/>
      <c r="BFG24" s="287"/>
      <c r="BFH24" s="287"/>
      <c r="BFI24" s="287"/>
      <c r="BFJ24" s="287"/>
      <c r="BFK24" s="287"/>
      <c r="BFL24" s="287"/>
      <c r="BFM24" s="632"/>
      <c r="BFN24" s="287"/>
      <c r="BFO24" s="633"/>
      <c r="BFP24" s="287"/>
      <c r="BFQ24" s="287"/>
      <c r="BFR24" s="287"/>
      <c r="BFS24" s="287"/>
      <c r="BFT24" s="287"/>
      <c r="BFU24" s="287"/>
      <c r="BFV24" s="287"/>
      <c r="BFW24" s="287"/>
      <c r="BFX24" s="287"/>
      <c r="BFY24" s="287"/>
      <c r="BFZ24" s="287"/>
      <c r="BGA24" s="287"/>
      <c r="BGB24" s="287"/>
      <c r="BGC24" s="632"/>
      <c r="BGD24" s="287"/>
      <c r="BGE24" s="633"/>
      <c r="BGF24" s="287"/>
      <c r="BGG24" s="287"/>
      <c r="BGH24" s="287"/>
      <c r="BGI24" s="287"/>
      <c r="BGJ24" s="287"/>
      <c r="BGK24" s="287"/>
      <c r="BGL24" s="287"/>
      <c r="BGM24" s="287"/>
      <c r="BGN24" s="287"/>
      <c r="BGO24" s="287"/>
      <c r="BGP24" s="287"/>
      <c r="BGQ24" s="287"/>
      <c r="BGR24" s="287"/>
      <c r="BGS24" s="632"/>
      <c r="BGT24" s="287"/>
      <c r="BGU24" s="633"/>
      <c r="BGV24" s="287"/>
      <c r="BGW24" s="287"/>
      <c r="BGX24" s="287"/>
      <c r="BGY24" s="287"/>
      <c r="BGZ24" s="287"/>
      <c r="BHA24" s="287"/>
      <c r="BHB24" s="287"/>
      <c r="BHC24" s="287"/>
      <c r="BHD24" s="287"/>
      <c r="BHE24" s="287"/>
      <c r="BHF24" s="287"/>
      <c r="BHG24" s="287"/>
      <c r="BHH24" s="287"/>
      <c r="BHI24" s="632"/>
      <c r="BHJ24" s="287"/>
      <c r="BHK24" s="633"/>
      <c r="BHL24" s="287"/>
      <c r="BHM24" s="287"/>
      <c r="BHN24" s="287"/>
      <c r="BHO24" s="287"/>
      <c r="BHP24" s="287"/>
      <c r="BHQ24" s="287"/>
      <c r="BHR24" s="287"/>
      <c r="BHS24" s="287"/>
      <c r="BHT24" s="287"/>
      <c r="BHU24" s="287"/>
      <c r="BHV24" s="287"/>
      <c r="BHW24" s="287"/>
      <c r="BHX24" s="287"/>
      <c r="BHY24" s="632"/>
      <c r="BHZ24" s="287"/>
      <c r="BIA24" s="633"/>
      <c r="BIB24" s="287"/>
      <c r="BIC24" s="287"/>
      <c r="BID24" s="287"/>
      <c r="BIE24" s="287"/>
      <c r="BIF24" s="287"/>
      <c r="BIG24" s="287"/>
      <c r="BIH24" s="287"/>
      <c r="BII24" s="287"/>
      <c r="BIJ24" s="287"/>
      <c r="BIK24" s="287"/>
      <c r="BIL24" s="287"/>
      <c r="BIM24" s="287"/>
      <c r="BIN24" s="287"/>
      <c r="BIO24" s="632"/>
      <c r="BIP24" s="287"/>
      <c r="BIQ24" s="633"/>
      <c r="BIR24" s="287"/>
      <c r="BIS24" s="287"/>
      <c r="BIT24" s="287"/>
      <c r="BIU24" s="287"/>
      <c r="BIV24" s="287"/>
      <c r="BIW24" s="287"/>
      <c r="BIX24" s="287"/>
      <c r="BIY24" s="287"/>
      <c r="BIZ24" s="287"/>
      <c r="BJA24" s="287"/>
      <c r="BJB24" s="287"/>
      <c r="BJC24" s="287"/>
      <c r="BJD24" s="287"/>
      <c r="BJE24" s="632"/>
      <c r="BJF24" s="287"/>
      <c r="BJG24" s="633"/>
      <c r="BJH24" s="287"/>
      <c r="BJI24" s="287"/>
      <c r="BJJ24" s="287"/>
      <c r="BJK24" s="287"/>
      <c r="BJL24" s="287"/>
      <c r="BJM24" s="287"/>
      <c r="BJN24" s="287"/>
      <c r="BJO24" s="287"/>
      <c r="BJP24" s="287"/>
      <c r="BJQ24" s="287"/>
      <c r="BJR24" s="287"/>
      <c r="BJS24" s="287"/>
      <c r="BJT24" s="287"/>
      <c r="BJU24" s="632"/>
      <c r="BJV24" s="287"/>
      <c r="BJW24" s="633"/>
      <c r="BJX24" s="287"/>
      <c r="BJY24" s="287"/>
      <c r="BJZ24" s="287"/>
      <c r="BKA24" s="287"/>
      <c r="BKB24" s="287"/>
      <c r="BKC24" s="287"/>
      <c r="BKD24" s="287"/>
      <c r="BKE24" s="287"/>
      <c r="BKF24" s="287"/>
      <c r="BKG24" s="287"/>
      <c r="BKH24" s="287"/>
      <c r="BKI24" s="287"/>
      <c r="BKJ24" s="287"/>
      <c r="BKK24" s="632"/>
      <c r="BKL24" s="287"/>
      <c r="BKM24" s="633"/>
      <c r="BKN24" s="287"/>
      <c r="BKO24" s="287"/>
      <c r="BKP24" s="287"/>
      <c r="BKQ24" s="287"/>
      <c r="BKR24" s="287"/>
      <c r="BKS24" s="287"/>
      <c r="BKT24" s="287"/>
      <c r="BKU24" s="287"/>
      <c r="BKV24" s="287"/>
      <c r="BKW24" s="287"/>
      <c r="BKX24" s="287"/>
      <c r="BKY24" s="287"/>
      <c r="BKZ24" s="287"/>
      <c r="BLA24" s="632"/>
      <c r="BLB24" s="287"/>
      <c r="BLC24" s="633"/>
      <c r="BLD24" s="287"/>
      <c r="BLE24" s="287"/>
      <c r="BLF24" s="287"/>
      <c r="BLG24" s="287"/>
      <c r="BLH24" s="287"/>
      <c r="BLI24" s="287"/>
      <c r="BLJ24" s="287"/>
      <c r="BLK24" s="287"/>
      <c r="BLL24" s="287"/>
      <c r="BLM24" s="287"/>
      <c r="BLN24" s="287"/>
      <c r="BLO24" s="287"/>
      <c r="BLP24" s="287"/>
      <c r="BLQ24" s="632"/>
      <c r="BLR24" s="287"/>
      <c r="BLS24" s="633"/>
      <c r="BLT24" s="287"/>
      <c r="BLU24" s="287"/>
      <c r="BLV24" s="287"/>
      <c r="BLW24" s="287"/>
      <c r="BLX24" s="287"/>
      <c r="BLY24" s="287"/>
      <c r="BLZ24" s="287"/>
      <c r="BMA24" s="287"/>
      <c r="BMB24" s="287"/>
      <c r="BMC24" s="287"/>
      <c r="BMD24" s="287"/>
      <c r="BME24" s="287"/>
      <c r="BMF24" s="287"/>
      <c r="BMG24" s="632"/>
      <c r="BMH24" s="287"/>
      <c r="BMI24" s="633"/>
      <c r="BMJ24" s="287"/>
      <c r="BMK24" s="287"/>
      <c r="BML24" s="287"/>
      <c r="BMM24" s="287"/>
      <c r="BMN24" s="287"/>
      <c r="BMO24" s="287"/>
      <c r="BMP24" s="287"/>
      <c r="BMQ24" s="287"/>
      <c r="BMR24" s="287"/>
      <c r="BMS24" s="287"/>
      <c r="BMT24" s="287"/>
      <c r="BMU24" s="287"/>
      <c r="BMV24" s="287"/>
      <c r="BMW24" s="632"/>
      <c r="BMX24" s="287"/>
      <c r="BMY24" s="633"/>
      <c r="BMZ24" s="287"/>
      <c r="BNA24" s="287"/>
      <c r="BNB24" s="287"/>
      <c r="BNC24" s="287"/>
      <c r="BND24" s="287"/>
      <c r="BNE24" s="287"/>
      <c r="BNF24" s="287"/>
      <c r="BNG24" s="287"/>
      <c r="BNH24" s="287"/>
      <c r="BNI24" s="287"/>
      <c r="BNJ24" s="287"/>
      <c r="BNK24" s="287"/>
      <c r="BNL24" s="287"/>
      <c r="BNM24" s="632"/>
      <c r="BNN24" s="287"/>
      <c r="BNO24" s="633"/>
      <c r="BNP24" s="287"/>
      <c r="BNQ24" s="287"/>
      <c r="BNR24" s="287"/>
      <c r="BNS24" s="287"/>
      <c r="BNT24" s="287"/>
      <c r="BNU24" s="287"/>
      <c r="BNV24" s="287"/>
      <c r="BNW24" s="287"/>
      <c r="BNX24" s="287"/>
      <c r="BNY24" s="287"/>
      <c r="BNZ24" s="287"/>
      <c r="BOA24" s="287"/>
      <c r="BOB24" s="287"/>
      <c r="BOC24" s="632"/>
      <c r="BOD24" s="287"/>
      <c r="BOE24" s="633"/>
      <c r="BOF24" s="287"/>
      <c r="BOG24" s="287"/>
      <c r="BOH24" s="287"/>
      <c r="BOI24" s="287"/>
      <c r="BOJ24" s="287"/>
      <c r="BOK24" s="287"/>
      <c r="BOL24" s="287"/>
      <c r="BOM24" s="287"/>
      <c r="BON24" s="287"/>
      <c r="BOO24" s="287"/>
      <c r="BOP24" s="287"/>
      <c r="BOQ24" s="287"/>
      <c r="BOR24" s="287"/>
      <c r="BOS24" s="632"/>
      <c r="BOT24" s="287"/>
      <c r="BOU24" s="633"/>
      <c r="BOV24" s="287"/>
      <c r="BOW24" s="287"/>
      <c r="BOX24" s="287"/>
      <c r="BOY24" s="287"/>
      <c r="BOZ24" s="287"/>
      <c r="BPA24" s="287"/>
      <c r="BPB24" s="287"/>
      <c r="BPC24" s="287"/>
      <c r="BPD24" s="287"/>
      <c r="BPE24" s="287"/>
      <c r="BPF24" s="287"/>
      <c r="BPG24" s="287"/>
      <c r="BPH24" s="287"/>
      <c r="BPI24" s="632"/>
      <c r="BPJ24" s="287"/>
      <c r="BPK24" s="633"/>
      <c r="BPL24" s="287"/>
      <c r="BPM24" s="287"/>
      <c r="BPN24" s="287"/>
      <c r="BPO24" s="287"/>
      <c r="BPP24" s="287"/>
      <c r="BPQ24" s="287"/>
      <c r="BPR24" s="287"/>
      <c r="BPS24" s="287"/>
      <c r="BPT24" s="287"/>
      <c r="BPU24" s="287"/>
      <c r="BPV24" s="287"/>
      <c r="BPW24" s="287"/>
      <c r="BPX24" s="287"/>
      <c r="BPY24" s="632"/>
      <c r="BPZ24" s="287"/>
      <c r="BQA24" s="633"/>
      <c r="BQB24" s="287"/>
      <c r="BQC24" s="287"/>
      <c r="BQD24" s="287"/>
      <c r="BQE24" s="287"/>
      <c r="BQF24" s="287"/>
      <c r="BQG24" s="287"/>
      <c r="BQH24" s="287"/>
      <c r="BQI24" s="287"/>
      <c r="BQJ24" s="287"/>
      <c r="BQK24" s="287"/>
      <c r="BQL24" s="287"/>
      <c r="BQM24" s="287"/>
      <c r="BQN24" s="287"/>
      <c r="BQO24" s="632"/>
      <c r="BQP24" s="287"/>
      <c r="BQQ24" s="633"/>
      <c r="BQR24" s="287"/>
      <c r="BQS24" s="287"/>
      <c r="BQT24" s="287"/>
      <c r="BQU24" s="287"/>
      <c r="BQV24" s="287"/>
      <c r="BQW24" s="287"/>
      <c r="BQX24" s="287"/>
      <c r="BQY24" s="287"/>
      <c r="BQZ24" s="287"/>
      <c r="BRA24" s="287"/>
      <c r="BRB24" s="287"/>
      <c r="BRC24" s="287"/>
      <c r="BRD24" s="287"/>
      <c r="BRE24" s="632"/>
      <c r="BRF24" s="287"/>
      <c r="BRG24" s="633"/>
      <c r="BRH24" s="287"/>
      <c r="BRI24" s="287"/>
      <c r="BRJ24" s="287"/>
      <c r="BRK24" s="287"/>
      <c r="BRL24" s="287"/>
      <c r="BRM24" s="287"/>
      <c r="BRN24" s="287"/>
      <c r="BRO24" s="287"/>
      <c r="BRP24" s="287"/>
      <c r="BRQ24" s="287"/>
      <c r="BRR24" s="287"/>
      <c r="BRS24" s="287"/>
      <c r="BRT24" s="287"/>
      <c r="BRU24" s="632"/>
      <c r="BRV24" s="287"/>
      <c r="BRW24" s="633"/>
      <c r="BRX24" s="287"/>
      <c r="BRY24" s="287"/>
      <c r="BRZ24" s="287"/>
      <c r="BSA24" s="287"/>
      <c r="BSB24" s="287"/>
      <c r="BSC24" s="287"/>
      <c r="BSD24" s="287"/>
      <c r="BSE24" s="287"/>
      <c r="BSF24" s="287"/>
      <c r="BSG24" s="287"/>
      <c r="BSH24" s="287"/>
      <c r="BSI24" s="287"/>
      <c r="BSJ24" s="287"/>
      <c r="BSK24" s="632"/>
      <c r="BSL24" s="287"/>
      <c r="BSM24" s="633"/>
      <c r="BSN24" s="287"/>
      <c r="BSO24" s="287"/>
      <c r="BSP24" s="287"/>
      <c r="BSQ24" s="287"/>
      <c r="BSR24" s="287"/>
      <c r="BSS24" s="287"/>
      <c r="BST24" s="287"/>
      <c r="BSU24" s="287"/>
      <c r="BSV24" s="287"/>
      <c r="BSW24" s="287"/>
      <c r="BSX24" s="287"/>
      <c r="BSY24" s="287"/>
      <c r="BSZ24" s="287"/>
      <c r="BTA24" s="632"/>
      <c r="BTB24" s="287"/>
      <c r="BTC24" s="633"/>
      <c r="BTD24" s="287"/>
      <c r="BTE24" s="287"/>
      <c r="BTF24" s="287"/>
      <c r="BTG24" s="287"/>
      <c r="BTH24" s="287"/>
      <c r="BTI24" s="287"/>
      <c r="BTJ24" s="287"/>
      <c r="BTK24" s="287"/>
      <c r="BTL24" s="287"/>
      <c r="BTM24" s="287"/>
      <c r="BTN24" s="287"/>
      <c r="BTO24" s="287"/>
      <c r="BTP24" s="287"/>
      <c r="BTQ24" s="632"/>
      <c r="BTR24" s="287"/>
      <c r="BTS24" s="633"/>
      <c r="BTT24" s="287"/>
      <c r="BTU24" s="287"/>
      <c r="BTV24" s="287"/>
      <c r="BTW24" s="287"/>
      <c r="BTX24" s="287"/>
      <c r="BTY24" s="287"/>
      <c r="BTZ24" s="287"/>
      <c r="BUA24" s="287"/>
      <c r="BUB24" s="287"/>
      <c r="BUC24" s="287"/>
      <c r="BUD24" s="287"/>
      <c r="BUE24" s="287"/>
      <c r="BUF24" s="287"/>
      <c r="BUG24" s="632"/>
      <c r="BUH24" s="287"/>
      <c r="BUI24" s="633"/>
      <c r="BUJ24" s="287"/>
      <c r="BUK24" s="287"/>
      <c r="BUL24" s="287"/>
      <c r="BUM24" s="287"/>
      <c r="BUN24" s="287"/>
      <c r="BUO24" s="287"/>
      <c r="BUP24" s="287"/>
      <c r="BUQ24" s="287"/>
      <c r="BUR24" s="287"/>
      <c r="BUS24" s="287"/>
      <c r="BUT24" s="287"/>
      <c r="BUU24" s="287"/>
      <c r="BUV24" s="287"/>
      <c r="BUW24" s="632"/>
      <c r="BUX24" s="287"/>
      <c r="BUY24" s="633"/>
      <c r="BUZ24" s="287"/>
      <c r="BVA24" s="287"/>
      <c r="BVB24" s="287"/>
      <c r="BVC24" s="287"/>
      <c r="BVD24" s="287"/>
      <c r="BVE24" s="287"/>
      <c r="BVF24" s="287"/>
      <c r="BVG24" s="287"/>
      <c r="BVH24" s="287"/>
      <c r="BVI24" s="287"/>
      <c r="BVJ24" s="287"/>
      <c r="BVK24" s="287"/>
      <c r="BVL24" s="287"/>
      <c r="BVM24" s="632"/>
      <c r="BVN24" s="287"/>
      <c r="BVO24" s="633"/>
      <c r="BVP24" s="287"/>
      <c r="BVQ24" s="287"/>
      <c r="BVR24" s="287"/>
      <c r="BVS24" s="287"/>
      <c r="BVT24" s="287"/>
      <c r="BVU24" s="287"/>
      <c r="BVV24" s="287"/>
      <c r="BVW24" s="287"/>
      <c r="BVX24" s="287"/>
      <c r="BVY24" s="287"/>
      <c r="BVZ24" s="287"/>
      <c r="BWA24" s="287"/>
      <c r="BWB24" s="287"/>
      <c r="BWC24" s="632"/>
      <c r="BWD24" s="287"/>
      <c r="BWE24" s="633"/>
      <c r="BWF24" s="287"/>
      <c r="BWG24" s="287"/>
      <c r="BWH24" s="287"/>
      <c r="BWI24" s="287"/>
      <c r="BWJ24" s="287"/>
      <c r="BWK24" s="287"/>
      <c r="BWL24" s="287"/>
      <c r="BWM24" s="287"/>
      <c r="BWN24" s="287"/>
      <c r="BWO24" s="287"/>
      <c r="BWP24" s="287"/>
      <c r="BWQ24" s="287"/>
      <c r="BWR24" s="287"/>
      <c r="BWS24" s="632"/>
      <c r="BWT24" s="287"/>
      <c r="BWU24" s="633"/>
      <c r="BWV24" s="287"/>
      <c r="BWW24" s="287"/>
      <c r="BWX24" s="287"/>
      <c r="BWY24" s="287"/>
      <c r="BWZ24" s="287"/>
      <c r="BXA24" s="287"/>
      <c r="BXB24" s="287"/>
      <c r="BXC24" s="287"/>
      <c r="BXD24" s="287"/>
      <c r="BXE24" s="287"/>
      <c r="BXF24" s="287"/>
      <c r="BXG24" s="287"/>
      <c r="BXH24" s="287"/>
      <c r="BXI24" s="632"/>
      <c r="BXJ24" s="287"/>
      <c r="BXK24" s="633"/>
      <c r="BXL24" s="287"/>
      <c r="BXM24" s="287"/>
      <c r="BXN24" s="287"/>
      <c r="BXO24" s="287"/>
      <c r="BXP24" s="287"/>
      <c r="BXQ24" s="287"/>
      <c r="BXR24" s="287"/>
      <c r="BXS24" s="287"/>
      <c r="BXT24" s="287"/>
      <c r="BXU24" s="287"/>
      <c r="BXV24" s="287"/>
      <c r="BXW24" s="287"/>
      <c r="BXX24" s="287"/>
      <c r="BXY24" s="632"/>
      <c r="BXZ24" s="287"/>
      <c r="BYA24" s="633"/>
      <c r="BYB24" s="287"/>
      <c r="BYC24" s="287"/>
      <c r="BYD24" s="287"/>
      <c r="BYE24" s="287"/>
      <c r="BYF24" s="287"/>
      <c r="BYG24" s="287"/>
      <c r="BYH24" s="287"/>
      <c r="BYI24" s="287"/>
      <c r="BYJ24" s="287"/>
      <c r="BYK24" s="287"/>
      <c r="BYL24" s="287"/>
      <c r="BYM24" s="287"/>
      <c r="BYN24" s="287"/>
      <c r="BYO24" s="632"/>
      <c r="BYP24" s="287"/>
      <c r="BYQ24" s="633"/>
      <c r="BYR24" s="287"/>
      <c r="BYS24" s="287"/>
      <c r="BYT24" s="287"/>
      <c r="BYU24" s="287"/>
      <c r="BYV24" s="287"/>
      <c r="BYW24" s="287"/>
      <c r="BYX24" s="287"/>
      <c r="BYY24" s="287"/>
      <c r="BYZ24" s="287"/>
      <c r="BZA24" s="287"/>
      <c r="BZB24" s="287"/>
      <c r="BZC24" s="287"/>
      <c r="BZD24" s="287"/>
      <c r="BZE24" s="632"/>
      <c r="BZF24" s="287"/>
      <c r="BZG24" s="633"/>
      <c r="BZH24" s="287"/>
      <c r="BZI24" s="287"/>
      <c r="BZJ24" s="287"/>
      <c r="BZK24" s="287"/>
      <c r="BZL24" s="287"/>
      <c r="BZM24" s="287"/>
      <c r="BZN24" s="287"/>
      <c r="BZO24" s="287"/>
      <c r="BZP24" s="287"/>
      <c r="BZQ24" s="287"/>
      <c r="BZR24" s="287"/>
      <c r="BZS24" s="287"/>
      <c r="BZT24" s="287"/>
      <c r="BZU24" s="632"/>
      <c r="BZV24" s="287"/>
      <c r="BZW24" s="633"/>
      <c r="BZX24" s="287"/>
      <c r="BZY24" s="287"/>
      <c r="BZZ24" s="287"/>
      <c r="CAA24" s="287"/>
      <c r="CAB24" s="287"/>
      <c r="CAC24" s="287"/>
      <c r="CAD24" s="287"/>
      <c r="CAE24" s="287"/>
      <c r="CAF24" s="287"/>
      <c r="CAG24" s="287"/>
      <c r="CAH24" s="287"/>
      <c r="CAI24" s="287"/>
      <c r="CAJ24" s="287"/>
      <c r="CAK24" s="632"/>
      <c r="CAL24" s="287"/>
      <c r="CAM24" s="633"/>
      <c r="CAN24" s="287"/>
      <c r="CAO24" s="287"/>
      <c r="CAP24" s="287"/>
      <c r="CAQ24" s="287"/>
      <c r="CAR24" s="287"/>
      <c r="CAS24" s="287"/>
      <c r="CAT24" s="287"/>
      <c r="CAU24" s="287"/>
      <c r="CAV24" s="287"/>
      <c r="CAW24" s="287"/>
      <c r="CAX24" s="287"/>
      <c r="CAY24" s="287"/>
      <c r="CAZ24" s="287"/>
      <c r="CBA24" s="632"/>
      <c r="CBB24" s="287"/>
      <c r="CBC24" s="633"/>
      <c r="CBD24" s="287"/>
      <c r="CBE24" s="287"/>
      <c r="CBF24" s="287"/>
      <c r="CBG24" s="287"/>
      <c r="CBH24" s="287"/>
      <c r="CBI24" s="287"/>
      <c r="CBJ24" s="287"/>
      <c r="CBK24" s="287"/>
      <c r="CBL24" s="287"/>
      <c r="CBM24" s="287"/>
      <c r="CBN24" s="287"/>
      <c r="CBO24" s="287"/>
      <c r="CBP24" s="287"/>
      <c r="CBQ24" s="632"/>
      <c r="CBR24" s="287"/>
      <c r="CBS24" s="633"/>
      <c r="CBT24" s="287"/>
      <c r="CBU24" s="287"/>
      <c r="CBV24" s="287"/>
      <c r="CBW24" s="287"/>
      <c r="CBX24" s="287"/>
      <c r="CBY24" s="287"/>
      <c r="CBZ24" s="287"/>
      <c r="CCA24" s="287"/>
      <c r="CCB24" s="287"/>
      <c r="CCC24" s="287"/>
      <c r="CCD24" s="287"/>
      <c r="CCE24" s="287"/>
      <c r="CCF24" s="287"/>
      <c r="CCG24" s="632"/>
      <c r="CCH24" s="287"/>
      <c r="CCI24" s="633"/>
      <c r="CCJ24" s="287"/>
      <c r="CCK24" s="287"/>
      <c r="CCL24" s="287"/>
      <c r="CCM24" s="287"/>
      <c r="CCN24" s="287"/>
      <c r="CCO24" s="287"/>
      <c r="CCP24" s="287"/>
      <c r="CCQ24" s="287"/>
      <c r="CCR24" s="287"/>
      <c r="CCS24" s="287"/>
      <c r="CCT24" s="287"/>
      <c r="CCU24" s="287"/>
      <c r="CCV24" s="287"/>
      <c r="CCW24" s="632"/>
      <c r="CCX24" s="287"/>
      <c r="CCY24" s="633"/>
      <c r="CCZ24" s="287"/>
      <c r="CDA24" s="287"/>
      <c r="CDB24" s="287"/>
      <c r="CDC24" s="287"/>
      <c r="CDD24" s="287"/>
      <c r="CDE24" s="287"/>
      <c r="CDF24" s="287"/>
      <c r="CDG24" s="287"/>
      <c r="CDH24" s="287"/>
      <c r="CDI24" s="287"/>
      <c r="CDJ24" s="287"/>
      <c r="CDK24" s="287"/>
      <c r="CDL24" s="287"/>
      <c r="CDM24" s="632"/>
      <c r="CDN24" s="287"/>
      <c r="CDO24" s="633"/>
      <c r="CDP24" s="287"/>
      <c r="CDQ24" s="287"/>
      <c r="CDR24" s="287"/>
      <c r="CDS24" s="287"/>
      <c r="CDT24" s="287"/>
      <c r="CDU24" s="287"/>
      <c r="CDV24" s="287"/>
      <c r="CDW24" s="287"/>
      <c r="CDX24" s="287"/>
      <c r="CDY24" s="287"/>
      <c r="CDZ24" s="287"/>
      <c r="CEA24" s="287"/>
      <c r="CEB24" s="287"/>
      <c r="CEC24" s="632"/>
      <c r="CED24" s="287"/>
      <c r="CEE24" s="633"/>
      <c r="CEF24" s="287"/>
      <c r="CEG24" s="287"/>
      <c r="CEH24" s="287"/>
      <c r="CEI24" s="287"/>
      <c r="CEJ24" s="287"/>
      <c r="CEK24" s="287"/>
      <c r="CEL24" s="287"/>
      <c r="CEM24" s="287"/>
      <c r="CEN24" s="287"/>
      <c r="CEO24" s="287"/>
      <c r="CEP24" s="287"/>
      <c r="CEQ24" s="287"/>
      <c r="CER24" s="287"/>
      <c r="CES24" s="632"/>
      <c r="CET24" s="287"/>
      <c r="CEU24" s="633"/>
      <c r="CEV24" s="287"/>
      <c r="CEW24" s="287"/>
      <c r="CEX24" s="287"/>
      <c r="CEY24" s="287"/>
      <c r="CEZ24" s="287"/>
      <c r="CFA24" s="287"/>
      <c r="CFB24" s="287"/>
      <c r="CFC24" s="287"/>
      <c r="CFD24" s="287"/>
      <c r="CFE24" s="287"/>
      <c r="CFF24" s="287"/>
      <c r="CFG24" s="287"/>
      <c r="CFH24" s="287"/>
      <c r="CFI24" s="632"/>
      <c r="CFJ24" s="287"/>
      <c r="CFK24" s="633"/>
      <c r="CFL24" s="287"/>
      <c r="CFM24" s="287"/>
      <c r="CFN24" s="287"/>
      <c r="CFO24" s="287"/>
      <c r="CFP24" s="287"/>
      <c r="CFQ24" s="287"/>
      <c r="CFR24" s="287"/>
      <c r="CFS24" s="287"/>
      <c r="CFT24" s="287"/>
      <c r="CFU24" s="287"/>
      <c r="CFV24" s="287"/>
      <c r="CFW24" s="287"/>
      <c r="CFX24" s="287"/>
      <c r="CFY24" s="632"/>
      <c r="CFZ24" s="287"/>
      <c r="CGA24" s="633"/>
      <c r="CGB24" s="287"/>
      <c r="CGC24" s="287"/>
      <c r="CGD24" s="287"/>
      <c r="CGE24" s="287"/>
      <c r="CGF24" s="287"/>
      <c r="CGG24" s="287"/>
      <c r="CGH24" s="287"/>
      <c r="CGI24" s="287"/>
      <c r="CGJ24" s="287"/>
      <c r="CGK24" s="287"/>
      <c r="CGL24" s="287"/>
      <c r="CGM24" s="287"/>
      <c r="CGN24" s="287"/>
      <c r="CGO24" s="632"/>
      <c r="CGP24" s="287"/>
      <c r="CGQ24" s="633"/>
      <c r="CGR24" s="287"/>
      <c r="CGS24" s="287"/>
      <c r="CGT24" s="287"/>
      <c r="CGU24" s="287"/>
      <c r="CGV24" s="287"/>
      <c r="CGW24" s="287"/>
      <c r="CGX24" s="287"/>
      <c r="CGY24" s="287"/>
      <c r="CGZ24" s="287"/>
      <c r="CHA24" s="287"/>
      <c r="CHB24" s="287"/>
      <c r="CHC24" s="287"/>
      <c r="CHD24" s="287"/>
      <c r="CHE24" s="632"/>
      <c r="CHF24" s="287"/>
      <c r="CHG24" s="633"/>
      <c r="CHH24" s="287"/>
      <c r="CHI24" s="287"/>
      <c r="CHJ24" s="287"/>
      <c r="CHK24" s="287"/>
      <c r="CHL24" s="287"/>
      <c r="CHM24" s="287"/>
      <c r="CHN24" s="287"/>
      <c r="CHO24" s="287"/>
      <c r="CHP24" s="287"/>
      <c r="CHQ24" s="287"/>
      <c r="CHR24" s="287"/>
      <c r="CHS24" s="287"/>
      <c r="CHT24" s="287"/>
      <c r="CHU24" s="632"/>
      <c r="CHV24" s="287"/>
      <c r="CHW24" s="633"/>
      <c r="CHX24" s="287"/>
      <c r="CHY24" s="287"/>
      <c r="CHZ24" s="287"/>
      <c r="CIA24" s="287"/>
      <c r="CIB24" s="287"/>
      <c r="CIC24" s="287"/>
      <c r="CID24" s="287"/>
      <c r="CIE24" s="287"/>
      <c r="CIF24" s="287"/>
      <c r="CIG24" s="287"/>
      <c r="CIH24" s="287"/>
      <c r="CII24" s="287"/>
      <c r="CIJ24" s="287"/>
      <c r="CIK24" s="632"/>
      <c r="CIL24" s="287"/>
      <c r="CIM24" s="633"/>
      <c r="CIN24" s="287"/>
      <c r="CIO24" s="287"/>
      <c r="CIP24" s="287"/>
      <c r="CIQ24" s="287"/>
      <c r="CIR24" s="287"/>
      <c r="CIS24" s="287"/>
      <c r="CIT24" s="287"/>
      <c r="CIU24" s="287"/>
      <c r="CIV24" s="287"/>
      <c r="CIW24" s="287"/>
      <c r="CIX24" s="287"/>
      <c r="CIY24" s="287"/>
      <c r="CIZ24" s="287"/>
      <c r="CJA24" s="632"/>
      <c r="CJB24" s="287"/>
      <c r="CJC24" s="633"/>
      <c r="CJD24" s="287"/>
      <c r="CJE24" s="287"/>
      <c r="CJF24" s="287"/>
      <c r="CJG24" s="287"/>
      <c r="CJH24" s="287"/>
      <c r="CJI24" s="287"/>
      <c r="CJJ24" s="287"/>
      <c r="CJK24" s="287"/>
      <c r="CJL24" s="287"/>
      <c r="CJM24" s="287"/>
      <c r="CJN24" s="287"/>
      <c r="CJO24" s="287"/>
      <c r="CJP24" s="287"/>
      <c r="CJQ24" s="632"/>
      <c r="CJR24" s="287"/>
      <c r="CJS24" s="633"/>
      <c r="CJT24" s="287"/>
      <c r="CJU24" s="287"/>
      <c r="CJV24" s="287"/>
      <c r="CJW24" s="287"/>
      <c r="CJX24" s="287"/>
      <c r="CJY24" s="287"/>
      <c r="CJZ24" s="287"/>
      <c r="CKA24" s="287"/>
      <c r="CKB24" s="287"/>
      <c r="CKC24" s="287"/>
      <c r="CKD24" s="287"/>
      <c r="CKE24" s="287"/>
      <c r="CKF24" s="287"/>
      <c r="CKG24" s="632"/>
      <c r="CKH24" s="287"/>
      <c r="CKI24" s="633"/>
      <c r="CKJ24" s="287"/>
      <c r="CKK24" s="287"/>
      <c r="CKL24" s="287"/>
      <c r="CKM24" s="287"/>
      <c r="CKN24" s="287"/>
      <c r="CKO24" s="287"/>
      <c r="CKP24" s="287"/>
      <c r="CKQ24" s="287"/>
      <c r="CKR24" s="287"/>
      <c r="CKS24" s="287"/>
      <c r="CKT24" s="287"/>
      <c r="CKU24" s="287"/>
      <c r="CKV24" s="287"/>
      <c r="CKW24" s="632"/>
      <c r="CKX24" s="287"/>
      <c r="CKY24" s="633"/>
      <c r="CKZ24" s="287"/>
      <c r="CLA24" s="287"/>
      <c r="CLB24" s="287"/>
      <c r="CLC24" s="287"/>
      <c r="CLD24" s="287"/>
      <c r="CLE24" s="287"/>
      <c r="CLF24" s="287"/>
      <c r="CLG24" s="287"/>
      <c r="CLH24" s="287"/>
      <c r="CLI24" s="287"/>
      <c r="CLJ24" s="287"/>
      <c r="CLK24" s="287"/>
      <c r="CLL24" s="287"/>
      <c r="CLM24" s="632"/>
      <c r="CLN24" s="287"/>
      <c r="CLO24" s="633"/>
      <c r="CLP24" s="287"/>
      <c r="CLQ24" s="287"/>
      <c r="CLR24" s="287"/>
      <c r="CLS24" s="287"/>
      <c r="CLT24" s="287"/>
      <c r="CLU24" s="287"/>
      <c r="CLV24" s="287"/>
      <c r="CLW24" s="287"/>
      <c r="CLX24" s="287"/>
      <c r="CLY24" s="287"/>
      <c r="CLZ24" s="287"/>
      <c r="CMA24" s="287"/>
      <c r="CMB24" s="287"/>
      <c r="CMC24" s="632"/>
      <c r="CMD24" s="287"/>
      <c r="CME24" s="633"/>
      <c r="CMF24" s="287"/>
      <c r="CMG24" s="287"/>
      <c r="CMH24" s="287"/>
      <c r="CMI24" s="287"/>
      <c r="CMJ24" s="287"/>
      <c r="CMK24" s="287"/>
      <c r="CML24" s="287"/>
      <c r="CMM24" s="287"/>
      <c r="CMN24" s="287"/>
      <c r="CMO24" s="287"/>
      <c r="CMP24" s="287"/>
      <c r="CMQ24" s="287"/>
      <c r="CMR24" s="287"/>
      <c r="CMS24" s="632"/>
      <c r="CMT24" s="287"/>
      <c r="CMU24" s="633"/>
      <c r="CMV24" s="287"/>
      <c r="CMW24" s="287"/>
      <c r="CMX24" s="287"/>
      <c r="CMY24" s="287"/>
      <c r="CMZ24" s="287"/>
      <c r="CNA24" s="287"/>
      <c r="CNB24" s="287"/>
      <c r="CNC24" s="287"/>
      <c r="CND24" s="287"/>
      <c r="CNE24" s="287"/>
      <c r="CNF24" s="287"/>
      <c r="CNG24" s="287"/>
      <c r="CNH24" s="287"/>
      <c r="CNI24" s="632"/>
      <c r="CNJ24" s="287"/>
      <c r="CNK24" s="633"/>
      <c r="CNL24" s="287"/>
      <c r="CNM24" s="287"/>
      <c r="CNN24" s="287"/>
      <c r="CNO24" s="287"/>
      <c r="CNP24" s="287"/>
      <c r="CNQ24" s="287"/>
      <c r="CNR24" s="287"/>
      <c r="CNS24" s="287"/>
      <c r="CNT24" s="287"/>
      <c r="CNU24" s="287"/>
      <c r="CNV24" s="287"/>
      <c r="CNW24" s="287"/>
      <c r="CNX24" s="287"/>
      <c r="CNY24" s="632"/>
      <c r="CNZ24" s="287"/>
      <c r="COA24" s="633"/>
      <c r="COB24" s="287"/>
      <c r="COC24" s="287"/>
      <c r="COD24" s="287"/>
      <c r="COE24" s="287"/>
      <c r="COF24" s="287"/>
      <c r="COG24" s="287"/>
      <c r="COH24" s="287"/>
      <c r="COI24" s="287"/>
      <c r="COJ24" s="287"/>
      <c r="COK24" s="287"/>
      <c r="COL24" s="287"/>
      <c r="COM24" s="287"/>
      <c r="CON24" s="287"/>
      <c r="COO24" s="632"/>
      <c r="COP24" s="287"/>
      <c r="COQ24" s="633"/>
      <c r="COR24" s="287"/>
      <c r="COS24" s="287"/>
      <c r="COT24" s="287"/>
      <c r="COU24" s="287"/>
      <c r="COV24" s="287"/>
      <c r="COW24" s="287"/>
      <c r="COX24" s="287"/>
      <c r="COY24" s="287"/>
      <c r="COZ24" s="287"/>
      <c r="CPA24" s="287"/>
      <c r="CPB24" s="287"/>
      <c r="CPC24" s="287"/>
      <c r="CPD24" s="287"/>
      <c r="CPE24" s="632"/>
      <c r="CPF24" s="287"/>
      <c r="CPG24" s="633"/>
      <c r="CPH24" s="287"/>
      <c r="CPI24" s="287"/>
      <c r="CPJ24" s="287"/>
      <c r="CPK24" s="287"/>
      <c r="CPL24" s="287"/>
      <c r="CPM24" s="287"/>
      <c r="CPN24" s="287"/>
      <c r="CPO24" s="287"/>
      <c r="CPP24" s="287"/>
      <c r="CPQ24" s="287"/>
      <c r="CPR24" s="287"/>
      <c r="CPS24" s="287"/>
      <c r="CPT24" s="287"/>
      <c r="CPU24" s="632"/>
      <c r="CPV24" s="287"/>
      <c r="CPW24" s="633"/>
      <c r="CPX24" s="287"/>
      <c r="CPY24" s="287"/>
      <c r="CPZ24" s="287"/>
      <c r="CQA24" s="287"/>
      <c r="CQB24" s="287"/>
      <c r="CQC24" s="287"/>
      <c r="CQD24" s="287"/>
      <c r="CQE24" s="287"/>
      <c r="CQF24" s="287"/>
      <c r="CQG24" s="287"/>
      <c r="CQH24" s="287"/>
      <c r="CQI24" s="287"/>
      <c r="CQJ24" s="287"/>
      <c r="CQK24" s="632"/>
      <c r="CQL24" s="287"/>
      <c r="CQM24" s="633"/>
      <c r="CQN24" s="287"/>
      <c r="CQO24" s="287"/>
      <c r="CQP24" s="287"/>
      <c r="CQQ24" s="287"/>
      <c r="CQR24" s="287"/>
      <c r="CQS24" s="287"/>
      <c r="CQT24" s="287"/>
      <c r="CQU24" s="287"/>
      <c r="CQV24" s="287"/>
      <c r="CQW24" s="287"/>
      <c r="CQX24" s="287"/>
      <c r="CQY24" s="287"/>
      <c r="CQZ24" s="287"/>
      <c r="CRA24" s="632"/>
      <c r="CRB24" s="287"/>
      <c r="CRC24" s="633"/>
      <c r="CRD24" s="287"/>
      <c r="CRE24" s="287"/>
      <c r="CRF24" s="287"/>
      <c r="CRG24" s="287"/>
      <c r="CRH24" s="287"/>
      <c r="CRI24" s="287"/>
      <c r="CRJ24" s="287"/>
      <c r="CRK24" s="287"/>
      <c r="CRL24" s="287"/>
      <c r="CRM24" s="287"/>
      <c r="CRN24" s="287"/>
      <c r="CRO24" s="287"/>
      <c r="CRP24" s="287"/>
      <c r="CRQ24" s="632"/>
      <c r="CRR24" s="287"/>
      <c r="CRS24" s="633"/>
      <c r="CRT24" s="287"/>
      <c r="CRU24" s="287"/>
      <c r="CRV24" s="287"/>
      <c r="CRW24" s="287"/>
      <c r="CRX24" s="287"/>
      <c r="CRY24" s="287"/>
      <c r="CRZ24" s="287"/>
      <c r="CSA24" s="287"/>
      <c r="CSB24" s="287"/>
      <c r="CSC24" s="287"/>
      <c r="CSD24" s="287"/>
      <c r="CSE24" s="287"/>
      <c r="CSF24" s="287"/>
      <c r="CSG24" s="632"/>
      <c r="CSH24" s="287"/>
      <c r="CSI24" s="633"/>
      <c r="CSJ24" s="287"/>
      <c r="CSK24" s="287"/>
      <c r="CSL24" s="287"/>
      <c r="CSM24" s="287"/>
      <c r="CSN24" s="287"/>
      <c r="CSO24" s="287"/>
      <c r="CSP24" s="287"/>
      <c r="CSQ24" s="287"/>
      <c r="CSR24" s="287"/>
      <c r="CSS24" s="287"/>
      <c r="CST24" s="287"/>
      <c r="CSU24" s="287"/>
      <c r="CSV24" s="287"/>
      <c r="CSW24" s="632"/>
      <c r="CSX24" s="287"/>
      <c r="CSY24" s="633"/>
      <c r="CSZ24" s="287"/>
      <c r="CTA24" s="287"/>
      <c r="CTB24" s="287"/>
      <c r="CTC24" s="287"/>
      <c r="CTD24" s="287"/>
      <c r="CTE24" s="287"/>
      <c r="CTF24" s="287"/>
      <c r="CTG24" s="287"/>
      <c r="CTH24" s="287"/>
      <c r="CTI24" s="287"/>
      <c r="CTJ24" s="287"/>
      <c r="CTK24" s="287"/>
      <c r="CTL24" s="287"/>
      <c r="CTM24" s="632"/>
      <c r="CTN24" s="287"/>
      <c r="CTO24" s="633"/>
      <c r="CTP24" s="287"/>
      <c r="CTQ24" s="287"/>
      <c r="CTR24" s="287"/>
      <c r="CTS24" s="287"/>
      <c r="CTT24" s="287"/>
      <c r="CTU24" s="287"/>
      <c r="CTV24" s="287"/>
      <c r="CTW24" s="287"/>
      <c r="CTX24" s="287"/>
      <c r="CTY24" s="287"/>
      <c r="CTZ24" s="287"/>
      <c r="CUA24" s="287"/>
      <c r="CUB24" s="287"/>
      <c r="CUC24" s="632"/>
      <c r="CUD24" s="287"/>
      <c r="CUE24" s="633"/>
      <c r="CUF24" s="287"/>
      <c r="CUG24" s="287"/>
      <c r="CUH24" s="287"/>
      <c r="CUI24" s="287"/>
      <c r="CUJ24" s="287"/>
      <c r="CUK24" s="287"/>
      <c r="CUL24" s="287"/>
      <c r="CUM24" s="287"/>
      <c r="CUN24" s="287"/>
      <c r="CUO24" s="287"/>
      <c r="CUP24" s="287"/>
      <c r="CUQ24" s="287"/>
      <c r="CUR24" s="287"/>
      <c r="CUS24" s="632"/>
      <c r="CUT24" s="287"/>
      <c r="CUU24" s="633"/>
      <c r="CUV24" s="287"/>
      <c r="CUW24" s="287"/>
      <c r="CUX24" s="287"/>
      <c r="CUY24" s="287"/>
      <c r="CUZ24" s="287"/>
      <c r="CVA24" s="287"/>
      <c r="CVB24" s="287"/>
      <c r="CVC24" s="287"/>
      <c r="CVD24" s="287"/>
      <c r="CVE24" s="287"/>
      <c r="CVF24" s="287"/>
      <c r="CVG24" s="287"/>
      <c r="CVH24" s="287"/>
      <c r="CVI24" s="632"/>
      <c r="CVJ24" s="287"/>
      <c r="CVK24" s="633"/>
      <c r="CVL24" s="287"/>
      <c r="CVM24" s="287"/>
      <c r="CVN24" s="287"/>
      <c r="CVO24" s="287"/>
      <c r="CVP24" s="287"/>
      <c r="CVQ24" s="287"/>
      <c r="CVR24" s="287"/>
      <c r="CVS24" s="287"/>
      <c r="CVT24" s="287"/>
      <c r="CVU24" s="287"/>
      <c r="CVV24" s="287"/>
      <c r="CVW24" s="287"/>
      <c r="CVX24" s="287"/>
      <c r="CVY24" s="632"/>
      <c r="CVZ24" s="287"/>
      <c r="CWA24" s="633"/>
      <c r="CWB24" s="287"/>
      <c r="CWC24" s="287"/>
      <c r="CWD24" s="287"/>
      <c r="CWE24" s="287"/>
      <c r="CWF24" s="287"/>
      <c r="CWG24" s="287"/>
      <c r="CWH24" s="287"/>
      <c r="CWI24" s="287"/>
      <c r="CWJ24" s="287"/>
      <c r="CWK24" s="287"/>
      <c r="CWL24" s="287"/>
      <c r="CWM24" s="287"/>
      <c r="CWN24" s="287"/>
      <c r="CWO24" s="632"/>
      <c r="CWP24" s="287"/>
      <c r="CWQ24" s="633"/>
      <c r="CWR24" s="287"/>
      <c r="CWS24" s="287"/>
      <c r="CWT24" s="287"/>
      <c r="CWU24" s="287"/>
      <c r="CWV24" s="287"/>
      <c r="CWW24" s="287"/>
      <c r="CWX24" s="287"/>
      <c r="CWY24" s="287"/>
      <c r="CWZ24" s="287"/>
      <c r="CXA24" s="287"/>
      <c r="CXB24" s="287"/>
      <c r="CXC24" s="287"/>
      <c r="CXD24" s="287"/>
      <c r="CXE24" s="632"/>
      <c r="CXF24" s="287"/>
      <c r="CXG24" s="633"/>
      <c r="CXH24" s="287"/>
      <c r="CXI24" s="287"/>
      <c r="CXJ24" s="287"/>
      <c r="CXK24" s="287"/>
      <c r="CXL24" s="287"/>
      <c r="CXM24" s="287"/>
      <c r="CXN24" s="287"/>
      <c r="CXO24" s="287"/>
      <c r="CXP24" s="287"/>
      <c r="CXQ24" s="287"/>
      <c r="CXR24" s="287"/>
      <c r="CXS24" s="287"/>
      <c r="CXT24" s="287"/>
      <c r="CXU24" s="632"/>
      <c r="CXV24" s="287"/>
      <c r="CXW24" s="633"/>
      <c r="CXX24" s="287"/>
      <c r="CXY24" s="287"/>
      <c r="CXZ24" s="287"/>
      <c r="CYA24" s="287"/>
      <c r="CYB24" s="287"/>
      <c r="CYC24" s="287"/>
      <c r="CYD24" s="287"/>
      <c r="CYE24" s="287"/>
      <c r="CYF24" s="287"/>
      <c r="CYG24" s="287"/>
      <c r="CYH24" s="287"/>
      <c r="CYI24" s="287"/>
      <c r="CYJ24" s="287"/>
      <c r="CYK24" s="632"/>
      <c r="CYL24" s="287"/>
      <c r="CYM24" s="633"/>
      <c r="CYN24" s="287"/>
      <c r="CYO24" s="287"/>
      <c r="CYP24" s="287"/>
      <c r="CYQ24" s="287"/>
      <c r="CYR24" s="287"/>
      <c r="CYS24" s="287"/>
      <c r="CYT24" s="287"/>
      <c r="CYU24" s="287"/>
      <c r="CYV24" s="287"/>
      <c r="CYW24" s="287"/>
      <c r="CYX24" s="287"/>
      <c r="CYY24" s="287"/>
      <c r="CYZ24" s="287"/>
      <c r="CZA24" s="632"/>
      <c r="CZB24" s="287"/>
      <c r="CZC24" s="633"/>
      <c r="CZD24" s="287"/>
      <c r="CZE24" s="287"/>
      <c r="CZF24" s="287"/>
      <c r="CZG24" s="287"/>
      <c r="CZH24" s="287"/>
      <c r="CZI24" s="287"/>
      <c r="CZJ24" s="287"/>
      <c r="CZK24" s="287"/>
      <c r="CZL24" s="287"/>
      <c r="CZM24" s="287"/>
      <c r="CZN24" s="287"/>
      <c r="CZO24" s="287"/>
      <c r="CZP24" s="287"/>
      <c r="CZQ24" s="632"/>
      <c r="CZR24" s="287"/>
      <c r="CZS24" s="633"/>
      <c r="CZT24" s="287"/>
      <c r="CZU24" s="287"/>
      <c r="CZV24" s="287"/>
      <c r="CZW24" s="287"/>
      <c r="CZX24" s="287"/>
      <c r="CZY24" s="287"/>
      <c r="CZZ24" s="287"/>
      <c r="DAA24" s="287"/>
      <c r="DAB24" s="287"/>
      <c r="DAC24" s="287"/>
      <c r="DAD24" s="287"/>
      <c r="DAE24" s="287"/>
      <c r="DAF24" s="287"/>
      <c r="DAG24" s="632"/>
      <c r="DAH24" s="287"/>
      <c r="DAI24" s="633"/>
      <c r="DAJ24" s="287"/>
      <c r="DAK24" s="287"/>
      <c r="DAL24" s="287"/>
      <c r="DAM24" s="287"/>
      <c r="DAN24" s="287"/>
      <c r="DAO24" s="287"/>
      <c r="DAP24" s="287"/>
      <c r="DAQ24" s="287"/>
      <c r="DAR24" s="287"/>
      <c r="DAS24" s="287"/>
      <c r="DAT24" s="287"/>
      <c r="DAU24" s="287"/>
      <c r="DAV24" s="287"/>
      <c r="DAW24" s="632"/>
      <c r="DAX24" s="287"/>
      <c r="DAY24" s="633"/>
      <c r="DAZ24" s="287"/>
      <c r="DBA24" s="287"/>
      <c r="DBB24" s="287"/>
      <c r="DBC24" s="287"/>
      <c r="DBD24" s="287"/>
      <c r="DBE24" s="287"/>
      <c r="DBF24" s="287"/>
      <c r="DBG24" s="287"/>
      <c r="DBH24" s="287"/>
      <c r="DBI24" s="287"/>
      <c r="DBJ24" s="287"/>
      <c r="DBK24" s="287"/>
      <c r="DBL24" s="287"/>
      <c r="DBM24" s="632"/>
      <c r="DBN24" s="287"/>
      <c r="DBO24" s="633"/>
      <c r="DBP24" s="287"/>
      <c r="DBQ24" s="287"/>
      <c r="DBR24" s="287"/>
      <c r="DBS24" s="287"/>
      <c r="DBT24" s="287"/>
      <c r="DBU24" s="287"/>
      <c r="DBV24" s="287"/>
      <c r="DBW24" s="287"/>
      <c r="DBX24" s="287"/>
      <c r="DBY24" s="287"/>
      <c r="DBZ24" s="287"/>
      <c r="DCA24" s="287"/>
      <c r="DCB24" s="287"/>
      <c r="DCC24" s="632"/>
      <c r="DCD24" s="287"/>
      <c r="DCE24" s="633"/>
      <c r="DCF24" s="287"/>
      <c r="DCG24" s="287"/>
      <c r="DCH24" s="287"/>
      <c r="DCI24" s="287"/>
      <c r="DCJ24" s="287"/>
      <c r="DCK24" s="287"/>
      <c r="DCL24" s="287"/>
      <c r="DCM24" s="287"/>
      <c r="DCN24" s="287"/>
      <c r="DCO24" s="287"/>
      <c r="DCP24" s="287"/>
      <c r="DCQ24" s="287"/>
      <c r="DCR24" s="287"/>
      <c r="DCS24" s="632"/>
      <c r="DCT24" s="287"/>
      <c r="DCU24" s="633"/>
      <c r="DCV24" s="287"/>
      <c r="DCW24" s="287"/>
      <c r="DCX24" s="287"/>
      <c r="DCY24" s="287"/>
      <c r="DCZ24" s="287"/>
      <c r="DDA24" s="287"/>
      <c r="DDB24" s="287"/>
      <c r="DDC24" s="287"/>
      <c r="DDD24" s="287"/>
      <c r="DDE24" s="287"/>
      <c r="DDF24" s="287"/>
      <c r="DDG24" s="287"/>
      <c r="DDH24" s="287"/>
      <c r="DDI24" s="632"/>
      <c r="DDJ24" s="287"/>
      <c r="DDK24" s="633"/>
      <c r="DDL24" s="287"/>
      <c r="DDM24" s="287"/>
      <c r="DDN24" s="287"/>
      <c r="DDO24" s="287"/>
      <c r="DDP24" s="287"/>
      <c r="DDQ24" s="287"/>
      <c r="DDR24" s="287"/>
      <c r="DDS24" s="287"/>
      <c r="DDT24" s="287"/>
      <c r="DDU24" s="287"/>
      <c r="DDV24" s="287"/>
      <c r="DDW24" s="287"/>
      <c r="DDX24" s="287"/>
      <c r="DDY24" s="632"/>
      <c r="DDZ24" s="287"/>
      <c r="DEA24" s="633"/>
      <c r="DEB24" s="287"/>
      <c r="DEC24" s="287"/>
      <c r="DED24" s="287"/>
      <c r="DEE24" s="287"/>
      <c r="DEF24" s="287"/>
      <c r="DEG24" s="287"/>
      <c r="DEH24" s="287"/>
      <c r="DEI24" s="287"/>
      <c r="DEJ24" s="287"/>
      <c r="DEK24" s="287"/>
      <c r="DEL24" s="287"/>
      <c r="DEM24" s="287"/>
      <c r="DEN24" s="287"/>
      <c r="DEO24" s="632"/>
      <c r="DEP24" s="287"/>
      <c r="DEQ24" s="633"/>
      <c r="DER24" s="287"/>
      <c r="DES24" s="287"/>
      <c r="DET24" s="287"/>
      <c r="DEU24" s="287"/>
      <c r="DEV24" s="287"/>
      <c r="DEW24" s="287"/>
      <c r="DEX24" s="287"/>
      <c r="DEY24" s="287"/>
      <c r="DEZ24" s="287"/>
      <c r="DFA24" s="287"/>
      <c r="DFB24" s="287"/>
      <c r="DFC24" s="287"/>
      <c r="DFD24" s="287"/>
      <c r="DFE24" s="632"/>
      <c r="DFF24" s="287"/>
      <c r="DFG24" s="633"/>
      <c r="DFH24" s="287"/>
      <c r="DFI24" s="287"/>
      <c r="DFJ24" s="287"/>
      <c r="DFK24" s="287"/>
      <c r="DFL24" s="287"/>
      <c r="DFM24" s="287"/>
      <c r="DFN24" s="287"/>
      <c r="DFO24" s="287"/>
      <c r="DFP24" s="287"/>
      <c r="DFQ24" s="287"/>
      <c r="DFR24" s="287"/>
      <c r="DFS24" s="287"/>
      <c r="DFT24" s="287"/>
      <c r="DFU24" s="632"/>
      <c r="DFV24" s="287"/>
      <c r="DFW24" s="633"/>
      <c r="DFX24" s="287"/>
      <c r="DFY24" s="287"/>
      <c r="DFZ24" s="287"/>
      <c r="DGA24" s="287"/>
      <c r="DGB24" s="287"/>
      <c r="DGC24" s="287"/>
      <c r="DGD24" s="287"/>
      <c r="DGE24" s="287"/>
      <c r="DGF24" s="287"/>
      <c r="DGG24" s="287"/>
      <c r="DGH24" s="287"/>
      <c r="DGI24" s="287"/>
      <c r="DGJ24" s="287"/>
      <c r="DGK24" s="632"/>
      <c r="DGL24" s="287"/>
      <c r="DGM24" s="633"/>
      <c r="DGN24" s="287"/>
      <c r="DGO24" s="287"/>
      <c r="DGP24" s="287"/>
      <c r="DGQ24" s="287"/>
      <c r="DGR24" s="287"/>
      <c r="DGS24" s="287"/>
      <c r="DGT24" s="287"/>
      <c r="DGU24" s="287"/>
      <c r="DGV24" s="287"/>
      <c r="DGW24" s="287"/>
      <c r="DGX24" s="287"/>
      <c r="DGY24" s="287"/>
      <c r="DGZ24" s="287"/>
      <c r="DHA24" s="632"/>
      <c r="DHB24" s="287"/>
      <c r="DHC24" s="633"/>
      <c r="DHD24" s="287"/>
      <c r="DHE24" s="287"/>
      <c r="DHF24" s="287"/>
      <c r="DHG24" s="287"/>
      <c r="DHH24" s="287"/>
      <c r="DHI24" s="287"/>
      <c r="DHJ24" s="287"/>
      <c r="DHK24" s="287"/>
      <c r="DHL24" s="287"/>
      <c r="DHM24" s="287"/>
      <c r="DHN24" s="287"/>
      <c r="DHO24" s="287"/>
      <c r="DHP24" s="287"/>
      <c r="DHQ24" s="632"/>
      <c r="DHR24" s="287"/>
      <c r="DHS24" s="633"/>
      <c r="DHT24" s="287"/>
      <c r="DHU24" s="287"/>
      <c r="DHV24" s="287"/>
      <c r="DHW24" s="287"/>
      <c r="DHX24" s="287"/>
      <c r="DHY24" s="287"/>
      <c r="DHZ24" s="287"/>
      <c r="DIA24" s="287"/>
      <c r="DIB24" s="287"/>
      <c r="DIC24" s="287"/>
      <c r="DID24" s="287"/>
      <c r="DIE24" s="287"/>
      <c r="DIF24" s="287"/>
      <c r="DIG24" s="632"/>
      <c r="DIH24" s="287"/>
      <c r="DII24" s="633"/>
      <c r="DIJ24" s="287"/>
      <c r="DIK24" s="287"/>
      <c r="DIL24" s="287"/>
      <c r="DIM24" s="287"/>
      <c r="DIN24" s="287"/>
      <c r="DIO24" s="287"/>
      <c r="DIP24" s="287"/>
      <c r="DIQ24" s="287"/>
      <c r="DIR24" s="287"/>
      <c r="DIS24" s="287"/>
      <c r="DIT24" s="287"/>
      <c r="DIU24" s="287"/>
      <c r="DIV24" s="287"/>
      <c r="DIW24" s="632"/>
      <c r="DIX24" s="287"/>
      <c r="DIY24" s="633"/>
      <c r="DIZ24" s="287"/>
      <c r="DJA24" s="287"/>
      <c r="DJB24" s="287"/>
      <c r="DJC24" s="287"/>
      <c r="DJD24" s="287"/>
      <c r="DJE24" s="287"/>
      <c r="DJF24" s="287"/>
      <c r="DJG24" s="287"/>
      <c r="DJH24" s="287"/>
      <c r="DJI24" s="287"/>
      <c r="DJJ24" s="287"/>
      <c r="DJK24" s="287"/>
      <c r="DJL24" s="287"/>
      <c r="DJM24" s="632"/>
      <c r="DJN24" s="287"/>
      <c r="DJO24" s="633"/>
      <c r="DJP24" s="287"/>
      <c r="DJQ24" s="287"/>
      <c r="DJR24" s="287"/>
      <c r="DJS24" s="287"/>
      <c r="DJT24" s="287"/>
      <c r="DJU24" s="287"/>
      <c r="DJV24" s="287"/>
      <c r="DJW24" s="287"/>
      <c r="DJX24" s="287"/>
      <c r="DJY24" s="287"/>
      <c r="DJZ24" s="287"/>
      <c r="DKA24" s="287"/>
      <c r="DKB24" s="287"/>
      <c r="DKC24" s="632"/>
      <c r="DKD24" s="287"/>
      <c r="DKE24" s="633"/>
      <c r="DKF24" s="287"/>
      <c r="DKG24" s="287"/>
      <c r="DKH24" s="287"/>
      <c r="DKI24" s="287"/>
      <c r="DKJ24" s="287"/>
      <c r="DKK24" s="287"/>
      <c r="DKL24" s="287"/>
      <c r="DKM24" s="287"/>
      <c r="DKN24" s="287"/>
      <c r="DKO24" s="287"/>
      <c r="DKP24" s="287"/>
      <c r="DKQ24" s="287"/>
      <c r="DKR24" s="287"/>
      <c r="DKS24" s="632"/>
      <c r="DKT24" s="287"/>
      <c r="DKU24" s="633"/>
      <c r="DKV24" s="287"/>
      <c r="DKW24" s="287"/>
      <c r="DKX24" s="287"/>
      <c r="DKY24" s="287"/>
      <c r="DKZ24" s="287"/>
      <c r="DLA24" s="287"/>
      <c r="DLB24" s="287"/>
      <c r="DLC24" s="287"/>
      <c r="DLD24" s="287"/>
      <c r="DLE24" s="287"/>
      <c r="DLF24" s="287"/>
      <c r="DLG24" s="287"/>
      <c r="DLH24" s="287"/>
      <c r="DLI24" s="632"/>
      <c r="DLJ24" s="287"/>
      <c r="DLK24" s="633"/>
      <c r="DLL24" s="287"/>
      <c r="DLM24" s="287"/>
      <c r="DLN24" s="287"/>
      <c r="DLO24" s="287"/>
      <c r="DLP24" s="287"/>
      <c r="DLQ24" s="287"/>
      <c r="DLR24" s="287"/>
      <c r="DLS24" s="287"/>
      <c r="DLT24" s="287"/>
      <c r="DLU24" s="287"/>
      <c r="DLV24" s="287"/>
      <c r="DLW24" s="287"/>
      <c r="DLX24" s="287"/>
      <c r="DLY24" s="632"/>
      <c r="DLZ24" s="287"/>
      <c r="DMA24" s="633"/>
      <c r="DMB24" s="287"/>
      <c r="DMC24" s="287"/>
      <c r="DMD24" s="287"/>
      <c r="DME24" s="287"/>
      <c r="DMF24" s="287"/>
      <c r="DMG24" s="287"/>
      <c r="DMH24" s="287"/>
      <c r="DMI24" s="287"/>
      <c r="DMJ24" s="287"/>
      <c r="DMK24" s="287"/>
      <c r="DML24" s="287"/>
      <c r="DMM24" s="287"/>
      <c r="DMN24" s="287"/>
      <c r="DMO24" s="632"/>
      <c r="DMP24" s="287"/>
      <c r="DMQ24" s="633"/>
      <c r="DMR24" s="287"/>
      <c r="DMS24" s="287"/>
      <c r="DMT24" s="287"/>
      <c r="DMU24" s="287"/>
      <c r="DMV24" s="287"/>
      <c r="DMW24" s="287"/>
      <c r="DMX24" s="287"/>
      <c r="DMY24" s="287"/>
      <c r="DMZ24" s="287"/>
      <c r="DNA24" s="287"/>
      <c r="DNB24" s="287"/>
      <c r="DNC24" s="287"/>
      <c r="DND24" s="287"/>
      <c r="DNE24" s="632"/>
      <c r="DNF24" s="287"/>
      <c r="DNG24" s="633"/>
      <c r="DNH24" s="287"/>
      <c r="DNI24" s="287"/>
      <c r="DNJ24" s="287"/>
      <c r="DNK24" s="287"/>
      <c r="DNL24" s="287"/>
      <c r="DNM24" s="287"/>
      <c r="DNN24" s="287"/>
      <c r="DNO24" s="287"/>
      <c r="DNP24" s="287"/>
      <c r="DNQ24" s="287"/>
      <c r="DNR24" s="287"/>
      <c r="DNS24" s="287"/>
      <c r="DNT24" s="287"/>
      <c r="DNU24" s="632"/>
      <c r="DNV24" s="287"/>
      <c r="DNW24" s="633"/>
      <c r="DNX24" s="287"/>
      <c r="DNY24" s="287"/>
      <c r="DNZ24" s="287"/>
      <c r="DOA24" s="287"/>
      <c r="DOB24" s="287"/>
      <c r="DOC24" s="287"/>
      <c r="DOD24" s="287"/>
      <c r="DOE24" s="287"/>
      <c r="DOF24" s="287"/>
      <c r="DOG24" s="287"/>
      <c r="DOH24" s="287"/>
      <c r="DOI24" s="287"/>
      <c r="DOJ24" s="287"/>
      <c r="DOK24" s="632"/>
      <c r="DOL24" s="287"/>
      <c r="DOM24" s="633"/>
      <c r="DON24" s="287"/>
      <c r="DOO24" s="287"/>
      <c r="DOP24" s="287"/>
      <c r="DOQ24" s="287"/>
      <c r="DOR24" s="287"/>
      <c r="DOS24" s="287"/>
      <c r="DOT24" s="287"/>
      <c r="DOU24" s="287"/>
      <c r="DOV24" s="287"/>
      <c r="DOW24" s="287"/>
      <c r="DOX24" s="287"/>
      <c r="DOY24" s="287"/>
      <c r="DOZ24" s="287"/>
      <c r="DPA24" s="632"/>
      <c r="DPB24" s="287"/>
      <c r="DPC24" s="633"/>
      <c r="DPD24" s="287"/>
      <c r="DPE24" s="287"/>
      <c r="DPF24" s="287"/>
      <c r="DPG24" s="287"/>
      <c r="DPH24" s="287"/>
      <c r="DPI24" s="287"/>
      <c r="DPJ24" s="287"/>
      <c r="DPK24" s="287"/>
      <c r="DPL24" s="287"/>
      <c r="DPM24" s="287"/>
      <c r="DPN24" s="287"/>
      <c r="DPO24" s="287"/>
      <c r="DPP24" s="287"/>
      <c r="DPQ24" s="632"/>
      <c r="DPR24" s="287"/>
      <c r="DPS24" s="633"/>
      <c r="DPT24" s="287"/>
      <c r="DPU24" s="287"/>
      <c r="DPV24" s="287"/>
      <c r="DPW24" s="287"/>
      <c r="DPX24" s="287"/>
      <c r="DPY24" s="287"/>
      <c r="DPZ24" s="287"/>
      <c r="DQA24" s="287"/>
      <c r="DQB24" s="287"/>
      <c r="DQC24" s="287"/>
      <c r="DQD24" s="287"/>
      <c r="DQE24" s="287"/>
      <c r="DQF24" s="287"/>
      <c r="DQG24" s="632"/>
      <c r="DQH24" s="287"/>
      <c r="DQI24" s="633"/>
      <c r="DQJ24" s="287"/>
      <c r="DQK24" s="287"/>
      <c r="DQL24" s="287"/>
      <c r="DQM24" s="287"/>
      <c r="DQN24" s="287"/>
      <c r="DQO24" s="287"/>
      <c r="DQP24" s="287"/>
      <c r="DQQ24" s="287"/>
      <c r="DQR24" s="287"/>
      <c r="DQS24" s="287"/>
      <c r="DQT24" s="287"/>
      <c r="DQU24" s="287"/>
      <c r="DQV24" s="287"/>
      <c r="DQW24" s="632"/>
      <c r="DQX24" s="287"/>
      <c r="DQY24" s="633"/>
      <c r="DQZ24" s="287"/>
      <c r="DRA24" s="287"/>
      <c r="DRB24" s="287"/>
      <c r="DRC24" s="287"/>
      <c r="DRD24" s="287"/>
      <c r="DRE24" s="287"/>
      <c r="DRF24" s="287"/>
      <c r="DRG24" s="287"/>
      <c r="DRH24" s="287"/>
      <c r="DRI24" s="287"/>
      <c r="DRJ24" s="287"/>
      <c r="DRK24" s="287"/>
      <c r="DRL24" s="287"/>
      <c r="DRM24" s="632"/>
      <c r="DRN24" s="287"/>
      <c r="DRO24" s="633"/>
      <c r="DRP24" s="287"/>
      <c r="DRQ24" s="287"/>
      <c r="DRR24" s="287"/>
      <c r="DRS24" s="287"/>
      <c r="DRT24" s="287"/>
      <c r="DRU24" s="287"/>
      <c r="DRV24" s="287"/>
      <c r="DRW24" s="287"/>
      <c r="DRX24" s="287"/>
      <c r="DRY24" s="287"/>
      <c r="DRZ24" s="287"/>
      <c r="DSA24" s="287"/>
      <c r="DSB24" s="287"/>
      <c r="DSC24" s="632"/>
      <c r="DSD24" s="287"/>
      <c r="DSE24" s="633"/>
      <c r="DSF24" s="287"/>
      <c r="DSG24" s="287"/>
      <c r="DSH24" s="287"/>
      <c r="DSI24" s="287"/>
      <c r="DSJ24" s="287"/>
      <c r="DSK24" s="287"/>
      <c r="DSL24" s="287"/>
      <c r="DSM24" s="287"/>
      <c r="DSN24" s="287"/>
      <c r="DSO24" s="287"/>
      <c r="DSP24" s="287"/>
      <c r="DSQ24" s="287"/>
      <c r="DSR24" s="287"/>
      <c r="DSS24" s="632"/>
      <c r="DST24" s="287"/>
      <c r="DSU24" s="633"/>
      <c r="DSV24" s="287"/>
      <c r="DSW24" s="287"/>
      <c r="DSX24" s="287"/>
      <c r="DSY24" s="287"/>
      <c r="DSZ24" s="287"/>
      <c r="DTA24" s="287"/>
      <c r="DTB24" s="287"/>
      <c r="DTC24" s="287"/>
      <c r="DTD24" s="287"/>
      <c r="DTE24" s="287"/>
      <c r="DTF24" s="287"/>
      <c r="DTG24" s="287"/>
      <c r="DTH24" s="287"/>
      <c r="DTI24" s="632"/>
      <c r="DTJ24" s="287"/>
      <c r="DTK24" s="633"/>
      <c r="DTL24" s="287"/>
      <c r="DTM24" s="287"/>
      <c r="DTN24" s="287"/>
      <c r="DTO24" s="287"/>
      <c r="DTP24" s="287"/>
      <c r="DTQ24" s="287"/>
      <c r="DTR24" s="287"/>
      <c r="DTS24" s="287"/>
      <c r="DTT24" s="287"/>
      <c r="DTU24" s="287"/>
      <c r="DTV24" s="287"/>
      <c r="DTW24" s="287"/>
      <c r="DTX24" s="287"/>
      <c r="DTY24" s="632"/>
      <c r="DTZ24" s="287"/>
      <c r="DUA24" s="633"/>
      <c r="DUB24" s="287"/>
      <c r="DUC24" s="287"/>
      <c r="DUD24" s="287"/>
      <c r="DUE24" s="287"/>
      <c r="DUF24" s="287"/>
      <c r="DUG24" s="287"/>
      <c r="DUH24" s="287"/>
      <c r="DUI24" s="287"/>
      <c r="DUJ24" s="287"/>
      <c r="DUK24" s="287"/>
      <c r="DUL24" s="287"/>
      <c r="DUM24" s="287"/>
      <c r="DUN24" s="287"/>
      <c r="DUO24" s="632"/>
      <c r="DUP24" s="287"/>
      <c r="DUQ24" s="633"/>
      <c r="DUR24" s="287"/>
      <c r="DUS24" s="287"/>
      <c r="DUT24" s="287"/>
      <c r="DUU24" s="287"/>
      <c r="DUV24" s="287"/>
      <c r="DUW24" s="287"/>
      <c r="DUX24" s="287"/>
      <c r="DUY24" s="287"/>
      <c r="DUZ24" s="287"/>
      <c r="DVA24" s="287"/>
      <c r="DVB24" s="287"/>
      <c r="DVC24" s="287"/>
      <c r="DVD24" s="287"/>
      <c r="DVE24" s="632"/>
      <c r="DVF24" s="287"/>
      <c r="DVG24" s="633"/>
      <c r="DVH24" s="287"/>
      <c r="DVI24" s="287"/>
      <c r="DVJ24" s="287"/>
      <c r="DVK24" s="287"/>
      <c r="DVL24" s="287"/>
      <c r="DVM24" s="287"/>
      <c r="DVN24" s="287"/>
      <c r="DVO24" s="287"/>
      <c r="DVP24" s="287"/>
      <c r="DVQ24" s="287"/>
      <c r="DVR24" s="287"/>
      <c r="DVS24" s="287"/>
      <c r="DVT24" s="287"/>
      <c r="DVU24" s="632"/>
      <c r="DVV24" s="287"/>
      <c r="DVW24" s="633"/>
      <c r="DVX24" s="287"/>
      <c r="DVY24" s="287"/>
      <c r="DVZ24" s="287"/>
      <c r="DWA24" s="287"/>
      <c r="DWB24" s="287"/>
      <c r="DWC24" s="287"/>
      <c r="DWD24" s="287"/>
      <c r="DWE24" s="287"/>
      <c r="DWF24" s="287"/>
      <c r="DWG24" s="287"/>
      <c r="DWH24" s="287"/>
      <c r="DWI24" s="287"/>
      <c r="DWJ24" s="287"/>
      <c r="DWK24" s="632"/>
      <c r="DWL24" s="287"/>
      <c r="DWM24" s="633"/>
      <c r="DWN24" s="287"/>
      <c r="DWO24" s="287"/>
      <c r="DWP24" s="287"/>
      <c r="DWQ24" s="287"/>
      <c r="DWR24" s="287"/>
      <c r="DWS24" s="287"/>
      <c r="DWT24" s="287"/>
      <c r="DWU24" s="287"/>
      <c r="DWV24" s="287"/>
      <c r="DWW24" s="287"/>
      <c r="DWX24" s="287"/>
      <c r="DWY24" s="287"/>
      <c r="DWZ24" s="287"/>
      <c r="DXA24" s="632"/>
      <c r="DXB24" s="287"/>
      <c r="DXC24" s="633"/>
      <c r="DXD24" s="287"/>
      <c r="DXE24" s="287"/>
      <c r="DXF24" s="287"/>
      <c r="DXG24" s="287"/>
      <c r="DXH24" s="287"/>
      <c r="DXI24" s="287"/>
      <c r="DXJ24" s="287"/>
      <c r="DXK24" s="287"/>
      <c r="DXL24" s="287"/>
      <c r="DXM24" s="287"/>
      <c r="DXN24" s="287"/>
      <c r="DXO24" s="287"/>
      <c r="DXP24" s="287"/>
      <c r="DXQ24" s="632"/>
      <c r="DXR24" s="287"/>
      <c r="DXS24" s="633"/>
      <c r="DXT24" s="287"/>
      <c r="DXU24" s="287"/>
      <c r="DXV24" s="287"/>
      <c r="DXW24" s="287"/>
      <c r="DXX24" s="287"/>
      <c r="DXY24" s="287"/>
      <c r="DXZ24" s="287"/>
      <c r="DYA24" s="287"/>
      <c r="DYB24" s="287"/>
      <c r="DYC24" s="287"/>
      <c r="DYD24" s="287"/>
      <c r="DYE24" s="287"/>
      <c r="DYF24" s="287"/>
      <c r="DYG24" s="632"/>
      <c r="DYH24" s="287"/>
      <c r="DYI24" s="633"/>
      <c r="DYJ24" s="287"/>
      <c r="DYK24" s="287"/>
      <c r="DYL24" s="287"/>
      <c r="DYM24" s="287"/>
      <c r="DYN24" s="287"/>
      <c r="DYO24" s="287"/>
      <c r="DYP24" s="287"/>
      <c r="DYQ24" s="287"/>
      <c r="DYR24" s="287"/>
      <c r="DYS24" s="287"/>
      <c r="DYT24" s="287"/>
      <c r="DYU24" s="287"/>
      <c r="DYV24" s="287"/>
      <c r="DYW24" s="632"/>
      <c r="DYX24" s="287"/>
      <c r="DYY24" s="633"/>
      <c r="DYZ24" s="287"/>
      <c r="DZA24" s="287"/>
      <c r="DZB24" s="287"/>
      <c r="DZC24" s="287"/>
      <c r="DZD24" s="287"/>
      <c r="DZE24" s="287"/>
      <c r="DZF24" s="287"/>
      <c r="DZG24" s="287"/>
      <c r="DZH24" s="287"/>
      <c r="DZI24" s="287"/>
      <c r="DZJ24" s="287"/>
      <c r="DZK24" s="287"/>
      <c r="DZL24" s="287"/>
      <c r="DZM24" s="632"/>
      <c r="DZN24" s="287"/>
      <c r="DZO24" s="633"/>
      <c r="DZP24" s="287"/>
      <c r="DZQ24" s="287"/>
      <c r="DZR24" s="287"/>
      <c r="DZS24" s="287"/>
      <c r="DZT24" s="287"/>
      <c r="DZU24" s="287"/>
      <c r="DZV24" s="287"/>
      <c r="DZW24" s="287"/>
      <c r="DZX24" s="287"/>
      <c r="DZY24" s="287"/>
      <c r="DZZ24" s="287"/>
      <c r="EAA24" s="287"/>
      <c r="EAB24" s="287"/>
      <c r="EAC24" s="632"/>
      <c r="EAD24" s="287"/>
      <c r="EAE24" s="633"/>
      <c r="EAF24" s="287"/>
      <c r="EAG24" s="287"/>
      <c r="EAH24" s="287"/>
      <c r="EAI24" s="287"/>
      <c r="EAJ24" s="287"/>
      <c r="EAK24" s="287"/>
      <c r="EAL24" s="287"/>
      <c r="EAM24" s="287"/>
      <c r="EAN24" s="287"/>
      <c r="EAO24" s="287"/>
      <c r="EAP24" s="287"/>
      <c r="EAQ24" s="287"/>
      <c r="EAR24" s="287"/>
      <c r="EAS24" s="632"/>
      <c r="EAT24" s="287"/>
      <c r="EAU24" s="633"/>
      <c r="EAV24" s="287"/>
      <c r="EAW24" s="287"/>
      <c r="EAX24" s="287"/>
      <c r="EAY24" s="287"/>
      <c r="EAZ24" s="287"/>
      <c r="EBA24" s="287"/>
      <c r="EBB24" s="287"/>
      <c r="EBC24" s="287"/>
      <c r="EBD24" s="287"/>
      <c r="EBE24" s="287"/>
      <c r="EBF24" s="287"/>
      <c r="EBG24" s="287"/>
      <c r="EBH24" s="287"/>
      <c r="EBI24" s="632"/>
      <c r="EBJ24" s="287"/>
      <c r="EBK24" s="633"/>
      <c r="EBL24" s="287"/>
      <c r="EBM24" s="287"/>
      <c r="EBN24" s="287"/>
      <c r="EBO24" s="287"/>
      <c r="EBP24" s="287"/>
      <c r="EBQ24" s="287"/>
      <c r="EBR24" s="287"/>
      <c r="EBS24" s="287"/>
      <c r="EBT24" s="287"/>
      <c r="EBU24" s="287"/>
      <c r="EBV24" s="287"/>
      <c r="EBW24" s="287"/>
      <c r="EBX24" s="287"/>
      <c r="EBY24" s="632"/>
      <c r="EBZ24" s="287"/>
      <c r="ECA24" s="633"/>
      <c r="ECB24" s="287"/>
      <c r="ECC24" s="287"/>
      <c r="ECD24" s="287"/>
      <c r="ECE24" s="287"/>
      <c r="ECF24" s="287"/>
      <c r="ECG24" s="287"/>
      <c r="ECH24" s="287"/>
      <c r="ECI24" s="287"/>
      <c r="ECJ24" s="287"/>
      <c r="ECK24" s="287"/>
      <c r="ECL24" s="287"/>
      <c r="ECM24" s="287"/>
      <c r="ECN24" s="287"/>
      <c r="ECO24" s="632"/>
      <c r="ECP24" s="287"/>
      <c r="ECQ24" s="633"/>
      <c r="ECR24" s="287"/>
      <c r="ECS24" s="287"/>
      <c r="ECT24" s="287"/>
      <c r="ECU24" s="287"/>
      <c r="ECV24" s="287"/>
      <c r="ECW24" s="287"/>
      <c r="ECX24" s="287"/>
      <c r="ECY24" s="287"/>
      <c r="ECZ24" s="287"/>
      <c r="EDA24" s="287"/>
      <c r="EDB24" s="287"/>
      <c r="EDC24" s="287"/>
      <c r="EDD24" s="287"/>
      <c r="EDE24" s="632"/>
      <c r="EDF24" s="287"/>
      <c r="EDG24" s="633"/>
      <c r="EDH24" s="287"/>
      <c r="EDI24" s="287"/>
      <c r="EDJ24" s="287"/>
      <c r="EDK24" s="287"/>
      <c r="EDL24" s="287"/>
      <c r="EDM24" s="287"/>
      <c r="EDN24" s="287"/>
      <c r="EDO24" s="287"/>
      <c r="EDP24" s="287"/>
      <c r="EDQ24" s="287"/>
      <c r="EDR24" s="287"/>
      <c r="EDS24" s="287"/>
      <c r="EDT24" s="287"/>
      <c r="EDU24" s="632"/>
      <c r="EDV24" s="287"/>
      <c r="EDW24" s="633"/>
      <c r="EDX24" s="287"/>
      <c r="EDY24" s="287"/>
      <c r="EDZ24" s="287"/>
      <c r="EEA24" s="287"/>
      <c r="EEB24" s="287"/>
      <c r="EEC24" s="287"/>
      <c r="EED24" s="287"/>
      <c r="EEE24" s="287"/>
      <c r="EEF24" s="287"/>
      <c r="EEG24" s="287"/>
      <c r="EEH24" s="287"/>
      <c r="EEI24" s="287"/>
      <c r="EEJ24" s="287"/>
      <c r="EEK24" s="632"/>
      <c r="EEL24" s="287"/>
      <c r="EEM24" s="633"/>
      <c r="EEN24" s="287"/>
      <c r="EEO24" s="287"/>
      <c r="EEP24" s="287"/>
      <c r="EEQ24" s="287"/>
      <c r="EER24" s="287"/>
      <c r="EES24" s="287"/>
      <c r="EET24" s="287"/>
      <c r="EEU24" s="287"/>
      <c r="EEV24" s="287"/>
      <c r="EEW24" s="287"/>
      <c r="EEX24" s="287"/>
      <c r="EEY24" s="287"/>
      <c r="EEZ24" s="287"/>
      <c r="EFA24" s="632"/>
      <c r="EFB24" s="287"/>
      <c r="EFC24" s="633"/>
      <c r="EFD24" s="287"/>
      <c r="EFE24" s="287"/>
      <c r="EFF24" s="287"/>
      <c r="EFG24" s="287"/>
      <c r="EFH24" s="287"/>
      <c r="EFI24" s="287"/>
      <c r="EFJ24" s="287"/>
      <c r="EFK24" s="287"/>
      <c r="EFL24" s="287"/>
      <c r="EFM24" s="287"/>
      <c r="EFN24" s="287"/>
      <c r="EFO24" s="287"/>
      <c r="EFP24" s="287"/>
      <c r="EFQ24" s="632"/>
      <c r="EFR24" s="287"/>
      <c r="EFS24" s="633"/>
      <c r="EFT24" s="287"/>
      <c r="EFU24" s="287"/>
      <c r="EFV24" s="287"/>
      <c r="EFW24" s="287"/>
      <c r="EFX24" s="287"/>
      <c r="EFY24" s="287"/>
      <c r="EFZ24" s="287"/>
      <c r="EGA24" s="287"/>
      <c r="EGB24" s="287"/>
      <c r="EGC24" s="287"/>
      <c r="EGD24" s="287"/>
      <c r="EGE24" s="287"/>
      <c r="EGF24" s="287"/>
      <c r="EGG24" s="632"/>
      <c r="EGH24" s="287"/>
      <c r="EGI24" s="633"/>
      <c r="EGJ24" s="287"/>
      <c r="EGK24" s="287"/>
      <c r="EGL24" s="287"/>
      <c r="EGM24" s="287"/>
      <c r="EGN24" s="287"/>
      <c r="EGO24" s="287"/>
      <c r="EGP24" s="287"/>
      <c r="EGQ24" s="287"/>
      <c r="EGR24" s="287"/>
      <c r="EGS24" s="287"/>
      <c r="EGT24" s="287"/>
      <c r="EGU24" s="287"/>
      <c r="EGV24" s="287"/>
      <c r="EGW24" s="632"/>
      <c r="EGX24" s="287"/>
      <c r="EGY24" s="633"/>
      <c r="EGZ24" s="287"/>
      <c r="EHA24" s="287"/>
      <c r="EHB24" s="287"/>
      <c r="EHC24" s="287"/>
      <c r="EHD24" s="287"/>
      <c r="EHE24" s="287"/>
      <c r="EHF24" s="287"/>
      <c r="EHG24" s="287"/>
      <c r="EHH24" s="287"/>
      <c r="EHI24" s="287"/>
      <c r="EHJ24" s="287"/>
      <c r="EHK24" s="287"/>
      <c r="EHL24" s="287"/>
      <c r="EHM24" s="632"/>
      <c r="EHN24" s="287"/>
      <c r="EHO24" s="633"/>
      <c r="EHP24" s="287"/>
      <c r="EHQ24" s="287"/>
      <c r="EHR24" s="287"/>
      <c r="EHS24" s="287"/>
      <c r="EHT24" s="287"/>
      <c r="EHU24" s="287"/>
      <c r="EHV24" s="287"/>
      <c r="EHW24" s="287"/>
      <c r="EHX24" s="287"/>
      <c r="EHY24" s="287"/>
      <c r="EHZ24" s="287"/>
      <c r="EIA24" s="287"/>
      <c r="EIB24" s="287"/>
      <c r="EIC24" s="632"/>
      <c r="EID24" s="287"/>
      <c r="EIE24" s="633"/>
      <c r="EIF24" s="287"/>
      <c r="EIG24" s="287"/>
      <c r="EIH24" s="287"/>
      <c r="EII24" s="287"/>
      <c r="EIJ24" s="287"/>
      <c r="EIK24" s="287"/>
      <c r="EIL24" s="287"/>
      <c r="EIM24" s="287"/>
      <c r="EIN24" s="287"/>
      <c r="EIO24" s="287"/>
      <c r="EIP24" s="287"/>
      <c r="EIQ24" s="287"/>
      <c r="EIR24" s="287"/>
      <c r="EIS24" s="632"/>
      <c r="EIT24" s="287"/>
      <c r="EIU24" s="633"/>
      <c r="EIV24" s="287"/>
      <c r="EIW24" s="287"/>
      <c r="EIX24" s="287"/>
      <c r="EIY24" s="287"/>
      <c r="EIZ24" s="287"/>
      <c r="EJA24" s="287"/>
      <c r="EJB24" s="287"/>
      <c r="EJC24" s="287"/>
      <c r="EJD24" s="287"/>
      <c r="EJE24" s="287"/>
      <c r="EJF24" s="287"/>
      <c r="EJG24" s="287"/>
      <c r="EJH24" s="287"/>
      <c r="EJI24" s="632"/>
      <c r="EJJ24" s="287"/>
      <c r="EJK24" s="633"/>
      <c r="EJL24" s="287"/>
      <c r="EJM24" s="287"/>
      <c r="EJN24" s="287"/>
      <c r="EJO24" s="287"/>
      <c r="EJP24" s="287"/>
      <c r="EJQ24" s="287"/>
      <c r="EJR24" s="287"/>
      <c r="EJS24" s="287"/>
      <c r="EJT24" s="287"/>
      <c r="EJU24" s="287"/>
      <c r="EJV24" s="287"/>
      <c r="EJW24" s="287"/>
      <c r="EJX24" s="287"/>
      <c r="EJY24" s="632"/>
      <c r="EJZ24" s="287"/>
      <c r="EKA24" s="633"/>
      <c r="EKB24" s="287"/>
      <c r="EKC24" s="287"/>
      <c r="EKD24" s="287"/>
      <c r="EKE24" s="287"/>
      <c r="EKF24" s="287"/>
      <c r="EKG24" s="287"/>
      <c r="EKH24" s="287"/>
      <c r="EKI24" s="287"/>
      <c r="EKJ24" s="287"/>
      <c r="EKK24" s="287"/>
      <c r="EKL24" s="287"/>
      <c r="EKM24" s="287"/>
      <c r="EKN24" s="287"/>
      <c r="EKO24" s="632"/>
      <c r="EKP24" s="287"/>
      <c r="EKQ24" s="633"/>
      <c r="EKR24" s="287"/>
      <c r="EKS24" s="287"/>
      <c r="EKT24" s="287"/>
      <c r="EKU24" s="287"/>
      <c r="EKV24" s="287"/>
      <c r="EKW24" s="287"/>
      <c r="EKX24" s="287"/>
      <c r="EKY24" s="287"/>
      <c r="EKZ24" s="287"/>
      <c r="ELA24" s="287"/>
      <c r="ELB24" s="287"/>
      <c r="ELC24" s="287"/>
      <c r="ELD24" s="287"/>
      <c r="ELE24" s="632"/>
      <c r="ELF24" s="287"/>
      <c r="ELG24" s="633"/>
      <c r="ELH24" s="287"/>
      <c r="ELI24" s="287"/>
      <c r="ELJ24" s="287"/>
      <c r="ELK24" s="287"/>
      <c r="ELL24" s="287"/>
      <c r="ELM24" s="287"/>
      <c r="ELN24" s="287"/>
      <c r="ELO24" s="287"/>
      <c r="ELP24" s="287"/>
      <c r="ELQ24" s="287"/>
      <c r="ELR24" s="287"/>
      <c r="ELS24" s="287"/>
      <c r="ELT24" s="287"/>
      <c r="ELU24" s="632"/>
      <c r="ELV24" s="287"/>
      <c r="ELW24" s="633"/>
      <c r="ELX24" s="287"/>
      <c r="ELY24" s="287"/>
      <c r="ELZ24" s="287"/>
      <c r="EMA24" s="287"/>
      <c r="EMB24" s="287"/>
      <c r="EMC24" s="287"/>
      <c r="EMD24" s="287"/>
      <c r="EME24" s="287"/>
      <c r="EMF24" s="287"/>
      <c r="EMG24" s="287"/>
      <c r="EMH24" s="287"/>
      <c r="EMI24" s="287"/>
      <c r="EMJ24" s="287"/>
      <c r="EMK24" s="632"/>
      <c r="EML24" s="287"/>
      <c r="EMM24" s="633"/>
      <c r="EMN24" s="287"/>
      <c r="EMO24" s="287"/>
      <c r="EMP24" s="287"/>
      <c r="EMQ24" s="287"/>
      <c r="EMR24" s="287"/>
      <c r="EMS24" s="287"/>
      <c r="EMT24" s="287"/>
      <c r="EMU24" s="287"/>
      <c r="EMV24" s="287"/>
      <c r="EMW24" s="287"/>
      <c r="EMX24" s="287"/>
      <c r="EMY24" s="287"/>
      <c r="EMZ24" s="287"/>
      <c r="ENA24" s="632"/>
      <c r="ENB24" s="287"/>
      <c r="ENC24" s="633"/>
      <c r="END24" s="287"/>
      <c r="ENE24" s="287"/>
      <c r="ENF24" s="287"/>
      <c r="ENG24" s="287"/>
      <c r="ENH24" s="287"/>
      <c r="ENI24" s="287"/>
      <c r="ENJ24" s="287"/>
      <c r="ENK24" s="287"/>
      <c r="ENL24" s="287"/>
      <c r="ENM24" s="287"/>
      <c r="ENN24" s="287"/>
      <c r="ENO24" s="287"/>
      <c r="ENP24" s="287"/>
      <c r="ENQ24" s="632"/>
      <c r="ENR24" s="287"/>
      <c r="ENS24" s="633"/>
      <c r="ENT24" s="287"/>
      <c r="ENU24" s="287"/>
      <c r="ENV24" s="287"/>
      <c r="ENW24" s="287"/>
      <c r="ENX24" s="287"/>
      <c r="ENY24" s="287"/>
      <c r="ENZ24" s="287"/>
      <c r="EOA24" s="287"/>
      <c r="EOB24" s="287"/>
      <c r="EOC24" s="287"/>
      <c r="EOD24" s="287"/>
      <c r="EOE24" s="287"/>
      <c r="EOF24" s="287"/>
      <c r="EOG24" s="632"/>
      <c r="EOH24" s="287"/>
      <c r="EOI24" s="633"/>
      <c r="EOJ24" s="287"/>
      <c r="EOK24" s="287"/>
      <c r="EOL24" s="287"/>
      <c r="EOM24" s="287"/>
      <c r="EON24" s="287"/>
      <c r="EOO24" s="287"/>
      <c r="EOP24" s="287"/>
      <c r="EOQ24" s="287"/>
      <c r="EOR24" s="287"/>
      <c r="EOS24" s="287"/>
      <c r="EOT24" s="287"/>
      <c r="EOU24" s="287"/>
      <c r="EOV24" s="287"/>
      <c r="EOW24" s="632"/>
      <c r="EOX24" s="287"/>
      <c r="EOY24" s="633"/>
      <c r="EOZ24" s="287"/>
      <c r="EPA24" s="287"/>
      <c r="EPB24" s="287"/>
      <c r="EPC24" s="287"/>
      <c r="EPD24" s="287"/>
      <c r="EPE24" s="287"/>
      <c r="EPF24" s="287"/>
      <c r="EPG24" s="287"/>
      <c r="EPH24" s="287"/>
      <c r="EPI24" s="287"/>
      <c r="EPJ24" s="287"/>
      <c r="EPK24" s="287"/>
      <c r="EPL24" s="287"/>
      <c r="EPM24" s="632"/>
      <c r="EPN24" s="287"/>
      <c r="EPO24" s="633"/>
      <c r="EPP24" s="287"/>
      <c r="EPQ24" s="287"/>
      <c r="EPR24" s="287"/>
      <c r="EPS24" s="287"/>
      <c r="EPT24" s="287"/>
      <c r="EPU24" s="287"/>
      <c r="EPV24" s="287"/>
      <c r="EPW24" s="287"/>
      <c r="EPX24" s="287"/>
      <c r="EPY24" s="287"/>
      <c r="EPZ24" s="287"/>
      <c r="EQA24" s="287"/>
      <c r="EQB24" s="287"/>
      <c r="EQC24" s="632"/>
      <c r="EQD24" s="287"/>
      <c r="EQE24" s="633"/>
      <c r="EQF24" s="287"/>
      <c r="EQG24" s="287"/>
      <c r="EQH24" s="287"/>
      <c r="EQI24" s="287"/>
      <c r="EQJ24" s="287"/>
      <c r="EQK24" s="287"/>
      <c r="EQL24" s="287"/>
      <c r="EQM24" s="287"/>
      <c r="EQN24" s="287"/>
      <c r="EQO24" s="287"/>
      <c r="EQP24" s="287"/>
      <c r="EQQ24" s="287"/>
      <c r="EQR24" s="287"/>
      <c r="EQS24" s="632"/>
      <c r="EQT24" s="287"/>
      <c r="EQU24" s="633"/>
      <c r="EQV24" s="287"/>
      <c r="EQW24" s="287"/>
      <c r="EQX24" s="287"/>
      <c r="EQY24" s="287"/>
      <c r="EQZ24" s="287"/>
      <c r="ERA24" s="287"/>
      <c r="ERB24" s="287"/>
      <c r="ERC24" s="287"/>
      <c r="ERD24" s="287"/>
      <c r="ERE24" s="287"/>
      <c r="ERF24" s="287"/>
      <c r="ERG24" s="287"/>
      <c r="ERH24" s="287"/>
      <c r="ERI24" s="632"/>
      <c r="ERJ24" s="287"/>
      <c r="ERK24" s="633"/>
      <c r="ERL24" s="287"/>
      <c r="ERM24" s="287"/>
      <c r="ERN24" s="287"/>
      <c r="ERO24" s="287"/>
      <c r="ERP24" s="287"/>
      <c r="ERQ24" s="287"/>
      <c r="ERR24" s="287"/>
      <c r="ERS24" s="287"/>
      <c r="ERT24" s="287"/>
      <c r="ERU24" s="287"/>
      <c r="ERV24" s="287"/>
      <c r="ERW24" s="287"/>
      <c r="ERX24" s="287"/>
      <c r="ERY24" s="632"/>
      <c r="ERZ24" s="287"/>
      <c r="ESA24" s="633"/>
      <c r="ESB24" s="287"/>
      <c r="ESC24" s="287"/>
      <c r="ESD24" s="287"/>
      <c r="ESE24" s="287"/>
      <c r="ESF24" s="287"/>
      <c r="ESG24" s="287"/>
      <c r="ESH24" s="287"/>
      <c r="ESI24" s="287"/>
      <c r="ESJ24" s="287"/>
      <c r="ESK24" s="287"/>
      <c r="ESL24" s="287"/>
      <c r="ESM24" s="287"/>
      <c r="ESN24" s="287"/>
      <c r="ESO24" s="632"/>
      <c r="ESP24" s="287"/>
      <c r="ESQ24" s="633"/>
      <c r="ESR24" s="287"/>
      <c r="ESS24" s="287"/>
      <c r="EST24" s="287"/>
      <c r="ESU24" s="287"/>
      <c r="ESV24" s="287"/>
      <c r="ESW24" s="287"/>
      <c r="ESX24" s="287"/>
      <c r="ESY24" s="287"/>
      <c r="ESZ24" s="287"/>
      <c r="ETA24" s="287"/>
      <c r="ETB24" s="287"/>
      <c r="ETC24" s="287"/>
      <c r="ETD24" s="287"/>
      <c r="ETE24" s="632"/>
      <c r="ETF24" s="287"/>
      <c r="ETG24" s="633"/>
      <c r="ETH24" s="287"/>
      <c r="ETI24" s="287"/>
      <c r="ETJ24" s="287"/>
      <c r="ETK24" s="287"/>
      <c r="ETL24" s="287"/>
      <c r="ETM24" s="287"/>
      <c r="ETN24" s="287"/>
      <c r="ETO24" s="287"/>
      <c r="ETP24" s="287"/>
      <c r="ETQ24" s="287"/>
      <c r="ETR24" s="287"/>
      <c r="ETS24" s="287"/>
      <c r="ETT24" s="287"/>
      <c r="ETU24" s="632"/>
      <c r="ETV24" s="287"/>
      <c r="ETW24" s="633"/>
      <c r="ETX24" s="287"/>
      <c r="ETY24" s="287"/>
      <c r="ETZ24" s="287"/>
      <c r="EUA24" s="287"/>
      <c r="EUB24" s="287"/>
      <c r="EUC24" s="287"/>
      <c r="EUD24" s="287"/>
      <c r="EUE24" s="287"/>
      <c r="EUF24" s="287"/>
      <c r="EUG24" s="287"/>
      <c r="EUH24" s="287"/>
      <c r="EUI24" s="287"/>
      <c r="EUJ24" s="287"/>
      <c r="EUK24" s="632"/>
      <c r="EUL24" s="287"/>
      <c r="EUM24" s="633"/>
      <c r="EUN24" s="287"/>
      <c r="EUO24" s="287"/>
      <c r="EUP24" s="287"/>
      <c r="EUQ24" s="287"/>
      <c r="EUR24" s="287"/>
      <c r="EUS24" s="287"/>
      <c r="EUT24" s="287"/>
      <c r="EUU24" s="287"/>
      <c r="EUV24" s="287"/>
      <c r="EUW24" s="287"/>
      <c r="EUX24" s="287"/>
      <c r="EUY24" s="287"/>
      <c r="EUZ24" s="287"/>
      <c r="EVA24" s="632"/>
      <c r="EVB24" s="287"/>
      <c r="EVC24" s="633"/>
      <c r="EVD24" s="287"/>
      <c r="EVE24" s="287"/>
      <c r="EVF24" s="287"/>
      <c r="EVG24" s="287"/>
      <c r="EVH24" s="287"/>
      <c r="EVI24" s="287"/>
      <c r="EVJ24" s="287"/>
      <c r="EVK24" s="287"/>
      <c r="EVL24" s="287"/>
      <c r="EVM24" s="287"/>
      <c r="EVN24" s="287"/>
      <c r="EVO24" s="287"/>
      <c r="EVP24" s="287"/>
      <c r="EVQ24" s="632"/>
      <c r="EVR24" s="287"/>
      <c r="EVS24" s="633"/>
      <c r="EVT24" s="287"/>
      <c r="EVU24" s="287"/>
      <c r="EVV24" s="287"/>
      <c r="EVW24" s="287"/>
      <c r="EVX24" s="287"/>
      <c r="EVY24" s="287"/>
      <c r="EVZ24" s="287"/>
      <c r="EWA24" s="287"/>
      <c r="EWB24" s="287"/>
      <c r="EWC24" s="287"/>
      <c r="EWD24" s="287"/>
      <c r="EWE24" s="287"/>
      <c r="EWF24" s="287"/>
      <c r="EWG24" s="632"/>
      <c r="EWH24" s="287"/>
      <c r="EWI24" s="633"/>
      <c r="EWJ24" s="287"/>
      <c r="EWK24" s="287"/>
      <c r="EWL24" s="287"/>
      <c r="EWM24" s="287"/>
      <c r="EWN24" s="287"/>
      <c r="EWO24" s="287"/>
      <c r="EWP24" s="287"/>
      <c r="EWQ24" s="287"/>
      <c r="EWR24" s="287"/>
      <c r="EWS24" s="287"/>
      <c r="EWT24" s="287"/>
      <c r="EWU24" s="287"/>
      <c r="EWV24" s="287"/>
      <c r="EWW24" s="632"/>
      <c r="EWX24" s="287"/>
      <c r="EWY24" s="633"/>
      <c r="EWZ24" s="287"/>
      <c r="EXA24" s="287"/>
      <c r="EXB24" s="287"/>
      <c r="EXC24" s="287"/>
      <c r="EXD24" s="287"/>
      <c r="EXE24" s="287"/>
      <c r="EXF24" s="287"/>
      <c r="EXG24" s="287"/>
      <c r="EXH24" s="287"/>
      <c r="EXI24" s="287"/>
      <c r="EXJ24" s="287"/>
      <c r="EXK24" s="287"/>
      <c r="EXL24" s="287"/>
      <c r="EXM24" s="632"/>
      <c r="EXN24" s="287"/>
      <c r="EXO24" s="633"/>
      <c r="EXP24" s="287"/>
      <c r="EXQ24" s="287"/>
      <c r="EXR24" s="287"/>
      <c r="EXS24" s="287"/>
      <c r="EXT24" s="287"/>
      <c r="EXU24" s="287"/>
      <c r="EXV24" s="287"/>
      <c r="EXW24" s="287"/>
      <c r="EXX24" s="287"/>
      <c r="EXY24" s="287"/>
      <c r="EXZ24" s="287"/>
      <c r="EYA24" s="287"/>
      <c r="EYB24" s="287"/>
      <c r="EYC24" s="632"/>
      <c r="EYD24" s="287"/>
      <c r="EYE24" s="633"/>
      <c r="EYF24" s="287"/>
      <c r="EYG24" s="287"/>
      <c r="EYH24" s="287"/>
      <c r="EYI24" s="287"/>
      <c r="EYJ24" s="287"/>
      <c r="EYK24" s="287"/>
      <c r="EYL24" s="287"/>
      <c r="EYM24" s="287"/>
      <c r="EYN24" s="287"/>
      <c r="EYO24" s="287"/>
      <c r="EYP24" s="287"/>
      <c r="EYQ24" s="287"/>
      <c r="EYR24" s="287"/>
      <c r="EYS24" s="632"/>
      <c r="EYT24" s="287"/>
      <c r="EYU24" s="633"/>
      <c r="EYV24" s="287"/>
      <c r="EYW24" s="287"/>
      <c r="EYX24" s="287"/>
      <c r="EYY24" s="287"/>
      <c r="EYZ24" s="287"/>
      <c r="EZA24" s="287"/>
      <c r="EZB24" s="287"/>
      <c r="EZC24" s="287"/>
      <c r="EZD24" s="287"/>
      <c r="EZE24" s="287"/>
      <c r="EZF24" s="287"/>
      <c r="EZG24" s="287"/>
      <c r="EZH24" s="287"/>
      <c r="EZI24" s="632"/>
      <c r="EZJ24" s="287"/>
      <c r="EZK24" s="633"/>
      <c r="EZL24" s="287"/>
      <c r="EZM24" s="287"/>
      <c r="EZN24" s="287"/>
      <c r="EZO24" s="287"/>
      <c r="EZP24" s="287"/>
      <c r="EZQ24" s="287"/>
      <c r="EZR24" s="287"/>
      <c r="EZS24" s="287"/>
      <c r="EZT24" s="287"/>
      <c r="EZU24" s="287"/>
      <c r="EZV24" s="287"/>
      <c r="EZW24" s="287"/>
      <c r="EZX24" s="287"/>
      <c r="EZY24" s="632"/>
      <c r="EZZ24" s="287"/>
      <c r="FAA24" s="633"/>
      <c r="FAB24" s="287"/>
      <c r="FAC24" s="287"/>
      <c r="FAD24" s="287"/>
      <c r="FAE24" s="287"/>
      <c r="FAF24" s="287"/>
      <c r="FAG24" s="287"/>
      <c r="FAH24" s="287"/>
      <c r="FAI24" s="287"/>
      <c r="FAJ24" s="287"/>
      <c r="FAK24" s="287"/>
      <c r="FAL24" s="287"/>
      <c r="FAM24" s="287"/>
      <c r="FAN24" s="287"/>
      <c r="FAO24" s="632"/>
      <c r="FAP24" s="287"/>
      <c r="FAQ24" s="633"/>
      <c r="FAR24" s="287"/>
      <c r="FAS24" s="287"/>
      <c r="FAT24" s="287"/>
      <c r="FAU24" s="287"/>
      <c r="FAV24" s="287"/>
      <c r="FAW24" s="287"/>
      <c r="FAX24" s="287"/>
      <c r="FAY24" s="287"/>
      <c r="FAZ24" s="287"/>
      <c r="FBA24" s="287"/>
      <c r="FBB24" s="287"/>
      <c r="FBC24" s="287"/>
      <c r="FBD24" s="287"/>
      <c r="FBE24" s="632"/>
      <c r="FBF24" s="287"/>
      <c r="FBG24" s="633"/>
      <c r="FBH24" s="287"/>
      <c r="FBI24" s="287"/>
      <c r="FBJ24" s="287"/>
      <c r="FBK24" s="287"/>
      <c r="FBL24" s="287"/>
      <c r="FBM24" s="287"/>
      <c r="FBN24" s="287"/>
      <c r="FBO24" s="287"/>
      <c r="FBP24" s="287"/>
      <c r="FBQ24" s="287"/>
      <c r="FBR24" s="287"/>
      <c r="FBS24" s="287"/>
      <c r="FBT24" s="287"/>
      <c r="FBU24" s="632"/>
      <c r="FBV24" s="287"/>
      <c r="FBW24" s="633"/>
      <c r="FBX24" s="287"/>
      <c r="FBY24" s="287"/>
      <c r="FBZ24" s="287"/>
      <c r="FCA24" s="287"/>
      <c r="FCB24" s="287"/>
      <c r="FCC24" s="287"/>
      <c r="FCD24" s="287"/>
      <c r="FCE24" s="287"/>
      <c r="FCF24" s="287"/>
      <c r="FCG24" s="287"/>
      <c r="FCH24" s="287"/>
      <c r="FCI24" s="287"/>
      <c r="FCJ24" s="287"/>
      <c r="FCK24" s="632"/>
      <c r="FCL24" s="287"/>
      <c r="FCM24" s="633"/>
      <c r="FCN24" s="287"/>
      <c r="FCO24" s="287"/>
      <c r="FCP24" s="287"/>
      <c r="FCQ24" s="287"/>
      <c r="FCR24" s="287"/>
      <c r="FCS24" s="287"/>
      <c r="FCT24" s="287"/>
      <c r="FCU24" s="287"/>
      <c r="FCV24" s="287"/>
      <c r="FCW24" s="287"/>
      <c r="FCX24" s="287"/>
      <c r="FCY24" s="287"/>
      <c r="FCZ24" s="287"/>
      <c r="FDA24" s="632"/>
      <c r="FDB24" s="287"/>
      <c r="FDC24" s="633"/>
      <c r="FDD24" s="287"/>
      <c r="FDE24" s="287"/>
      <c r="FDF24" s="287"/>
      <c r="FDG24" s="287"/>
      <c r="FDH24" s="287"/>
      <c r="FDI24" s="287"/>
      <c r="FDJ24" s="287"/>
      <c r="FDK24" s="287"/>
      <c r="FDL24" s="287"/>
      <c r="FDM24" s="287"/>
      <c r="FDN24" s="287"/>
      <c r="FDO24" s="287"/>
      <c r="FDP24" s="287"/>
      <c r="FDQ24" s="632"/>
      <c r="FDR24" s="287"/>
      <c r="FDS24" s="633"/>
      <c r="FDT24" s="287"/>
      <c r="FDU24" s="287"/>
      <c r="FDV24" s="287"/>
      <c r="FDW24" s="287"/>
      <c r="FDX24" s="287"/>
      <c r="FDY24" s="287"/>
      <c r="FDZ24" s="287"/>
      <c r="FEA24" s="287"/>
      <c r="FEB24" s="287"/>
      <c r="FEC24" s="287"/>
      <c r="FED24" s="287"/>
      <c r="FEE24" s="287"/>
      <c r="FEF24" s="287"/>
      <c r="FEG24" s="632"/>
      <c r="FEH24" s="287"/>
      <c r="FEI24" s="633"/>
      <c r="FEJ24" s="287"/>
      <c r="FEK24" s="287"/>
      <c r="FEL24" s="287"/>
      <c r="FEM24" s="287"/>
      <c r="FEN24" s="287"/>
      <c r="FEO24" s="287"/>
      <c r="FEP24" s="287"/>
      <c r="FEQ24" s="287"/>
      <c r="FER24" s="287"/>
      <c r="FES24" s="287"/>
      <c r="FET24" s="287"/>
      <c r="FEU24" s="287"/>
      <c r="FEV24" s="287"/>
      <c r="FEW24" s="632"/>
      <c r="FEX24" s="287"/>
      <c r="FEY24" s="633"/>
      <c r="FEZ24" s="287"/>
      <c r="FFA24" s="287"/>
      <c r="FFB24" s="287"/>
      <c r="FFC24" s="287"/>
      <c r="FFD24" s="287"/>
      <c r="FFE24" s="287"/>
      <c r="FFF24" s="287"/>
      <c r="FFG24" s="287"/>
      <c r="FFH24" s="287"/>
      <c r="FFI24" s="287"/>
      <c r="FFJ24" s="287"/>
      <c r="FFK24" s="287"/>
      <c r="FFL24" s="287"/>
      <c r="FFM24" s="632"/>
      <c r="FFN24" s="287"/>
      <c r="FFO24" s="633"/>
      <c r="FFP24" s="287"/>
      <c r="FFQ24" s="287"/>
      <c r="FFR24" s="287"/>
      <c r="FFS24" s="287"/>
      <c r="FFT24" s="287"/>
      <c r="FFU24" s="287"/>
      <c r="FFV24" s="287"/>
      <c r="FFW24" s="287"/>
      <c r="FFX24" s="287"/>
      <c r="FFY24" s="287"/>
      <c r="FFZ24" s="287"/>
      <c r="FGA24" s="287"/>
      <c r="FGB24" s="287"/>
      <c r="FGC24" s="632"/>
      <c r="FGD24" s="287"/>
      <c r="FGE24" s="633"/>
      <c r="FGF24" s="287"/>
      <c r="FGG24" s="287"/>
      <c r="FGH24" s="287"/>
      <c r="FGI24" s="287"/>
      <c r="FGJ24" s="287"/>
      <c r="FGK24" s="287"/>
      <c r="FGL24" s="287"/>
      <c r="FGM24" s="287"/>
      <c r="FGN24" s="287"/>
      <c r="FGO24" s="287"/>
      <c r="FGP24" s="287"/>
      <c r="FGQ24" s="287"/>
      <c r="FGR24" s="287"/>
      <c r="FGS24" s="632"/>
      <c r="FGT24" s="287"/>
      <c r="FGU24" s="633"/>
      <c r="FGV24" s="287"/>
      <c r="FGW24" s="287"/>
      <c r="FGX24" s="287"/>
      <c r="FGY24" s="287"/>
      <c r="FGZ24" s="287"/>
      <c r="FHA24" s="287"/>
      <c r="FHB24" s="287"/>
      <c r="FHC24" s="287"/>
      <c r="FHD24" s="287"/>
      <c r="FHE24" s="287"/>
      <c r="FHF24" s="287"/>
      <c r="FHG24" s="287"/>
      <c r="FHH24" s="287"/>
      <c r="FHI24" s="632"/>
      <c r="FHJ24" s="287"/>
      <c r="FHK24" s="633"/>
      <c r="FHL24" s="287"/>
      <c r="FHM24" s="287"/>
      <c r="FHN24" s="287"/>
      <c r="FHO24" s="287"/>
      <c r="FHP24" s="287"/>
      <c r="FHQ24" s="287"/>
      <c r="FHR24" s="287"/>
      <c r="FHS24" s="287"/>
      <c r="FHT24" s="287"/>
      <c r="FHU24" s="287"/>
      <c r="FHV24" s="287"/>
      <c r="FHW24" s="287"/>
      <c r="FHX24" s="287"/>
      <c r="FHY24" s="632"/>
      <c r="FHZ24" s="287"/>
      <c r="FIA24" s="633"/>
      <c r="FIB24" s="287"/>
      <c r="FIC24" s="287"/>
      <c r="FID24" s="287"/>
      <c r="FIE24" s="287"/>
      <c r="FIF24" s="287"/>
      <c r="FIG24" s="287"/>
      <c r="FIH24" s="287"/>
      <c r="FII24" s="287"/>
      <c r="FIJ24" s="287"/>
      <c r="FIK24" s="287"/>
      <c r="FIL24" s="287"/>
      <c r="FIM24" s="287"/>
      <c r="FIN24" s="287"/>
      <c r="FIO24" s="632"/>
      <c r="FIP24" s="287"/>
      <c r="FIQ24" s="633"/>
      <c r="FIR24" s="287"/>
      <c r="FIS24" s="287"/>
      <c r="FIT24" s="287"/>
      <c r="FIU24" s="287"/>
      <c r="FIV24" s="287"/>
      <c r="FIW24" s="287"/>
      <c r="FIX24" s="287"/>
      <c r="FIY24" s="287"/>
      <c r="FIZ24" s="287"/>
      <c r="FJA24" s="287"/>
      <c r="FJB24" s="287"/>
      <c r="FJC24" s="287"/>
      <c r="FJD24" s="287"/>
      <c r="FJE24" s="632"/>
      <c r="FJF24" s="287"/>
      <c r="FJG24" s="633"/>
      <c r="FJH24" s="287"/>
      <c r="FJI24" s="287"/>
      <c r="FJJ24" s="287"/>
      <c r="FJK24" s="287"/>
      <c r="FJL24" s="287"/>
      <c r="FJM24" s="287"/>
      <c r="FJN24" s="287"/>
      <c r="FJO24" s="287"/>
      <c r="FJP24" s="287"/>
      <c r="FJQ24" s="287"/>
      <c r="FJR24" s="287"/>
      <c r="FJS24" s="287"/>
      <c r="FJT24" s="287"/>
      <c r="FJU24" s="632"/>
      <c r="FJV24" s="287"/>
      <c r="FJW24" s="633"/>
      <c r="FJX24" s="287"/>
      <c r="FJY24" s="287"/>
      <c r="FJZ24" s="287"/>
      <c r="FKA24" s="287"/>
      <c r="FKB24" s="287"/>
      <c r="FKC24" s="287"/>
      <c r="FKD24" s="287"/>
      <c r="FKE24" s="287"/>
      <c r="FKF24" s="287"/>
      <c r="FKG24" s="287"/>
      <c r="FKH24" s="287"/>
      <c r="FKI24" s="287"/>
      <c r="FKJ24" s="287"/>
      <c r="FKK24" s="632"/>
      <c r="FKL24" s="287"/>
      <c r="FKM24" s="633"/>
      <c r="FKN24" s="287"/>
      <c r="FKO24" s="287"/>
      <c r="FKP24" s="287"/>
      <c r="FKQ24" s="287"/>
      <c r="FKR24" s="287"/>
      <c r="FKS24" s="287"/>
      <c r="FKT24" s="287"/>
      <c r="FKU24" s="287"/>
      <c r="FKV24" s="287"/>
      <c r="FKW24" s="287"/>
      <c r="FKX24" s="287"/>
      <c r="FKY24" s="287"/>
      <c r="FKZ24" s="287"/>
      <c r="FLA24" s="632"/>
      <c r="FLB24" s="287"/>
      <c r="FLC24" s="633"/>
      <c r="FLD24" s="287"/>
      <c r="FLE24" s="287"/>
      <c r="FLF24" s="287"/>
      <c r="FLG24" s="287"/>
      <c r="FLH24" s="287"/>
      <c r="FLI24" s="287"/>
      <c r="FLJ24" s="287"/>
      <c r="FLK24" s="287"/>
      <c r="FLL24" s="287"/>
      <c r="FLM24" s="287"/>
      <c r="FLN24" s="287"/>
      <c r="FLO24" s="287"/>
      <c r="FLP24" s="287"/>
      <c r="FLQ24" s="632"/>
      <c r="FLR24" s="287"/>
      <c r="FLS24" s="633"/>
      <c r="FLT24" s="287"/>
      <c r="FLU24" s="287"/>
      <c r="FLV24" s="287"/>
      <c r="FLW24" s="287"/>
      <c r="FLX24" s="287"/>
      <c r="FLY24" s="287"/>
      <c r="FLZ24" s="287"/>
      <c r="FMA24" s="287"/>
      <c r="FMB24" s="287"/>
      <c r="FMC24" s="287"/>
      <c r="FMD24" s="287"/>
      <c r="FME24" s="287"/>
      <c r="FMF24" s="287"/>
      <c r="FMG24" s="632"/>
      <c r="FMH24" s="287"/>
      <c r="FMI24" s="633"/>
      <c r="FMJ24" s="287"/>
      <c r="FMK24" s="287"/>
      <c r="FML24" s="287"/>
      <c r="FMM24" s="287"/>
      <c r="FMN24" s="287"/>
      <c r="FMO24" s="287"/>
      <c r="FMP24" s="287"/>
      <c r="FMQ24" s="287"/>
      <c r="FMR24" s="287"/>
      <c r="FMS24" s="287"/>
      <c r="FMT24" s="287"/>
      <c r="FMU24" s="287"/>
      <c r="FMV24" s="287"/>
      <c r="FMW24" s="632"/>
      <c r="FMX24" s="287"/>
      <c r="FMY24" s="633"/>
      <c r="FMZ24" s="287"/>
      <c r="FNA24" s="287"/>
      <c r="FNB24" s="287"/>
      <c r="FNC24" s="287"/>
      <c r="FND24" s="287"/>
      <c r="FNE24" s="287"/>
      <c r="FNF24" s="287"/>
      <c r="FNG24" s="287"/>
      <c r="FNH24" s="287"/>
      <c r="FNI24" s="287"/>
      <c r="FNJ24" s="287"/>
      <c r="FNK24" s="287"/>
      <c r="FNL24" s="287"/>
      <c r="FNM24" s="632"/>
      <c r="FNN24" s="287"/>
      <c r="FNO24" s="633"/>
      <c r="FNP24" s="287"/>
      <c r="FNQ24" s="287"/>
      <c r="FNR24" s="287"/>
      <c r="FNS24" s="287"/>
      <c r="FNT24" s="287"/>
      <c r="FNU24" s="287"/>
      <c r="FNV24" s="287"/>
      <c r="FNW24" s="287"/>
      <c r="FNX24" s="287"/>
      <c r="FNY24" s="287"/>
      <c r="FNZ24" s="287"/>
      <c r="FOA24" s="287"/>
      <c r="FOB24" s="287"/>
      <c r="FOC24" s="632"/>
      <c r="FOD24" s="287"/>
      <c r="FOE24" s="633"/>
      <c r="FOF24" s="287"/>
      <c r="FOG24" s="287"/>
      <c r="FOH24" s="287"/>
      <c r="FOI24" s="287"/>
      <c r="FOJ24" s="287"/>
      <c r="FOK24" s="287"/>
      <c r="FOL24" s="287"/>
      <c r="FOM24" s="287"/>
      <c r="FON24" s="287"/>
      <c r="FOO24" s="287"/>
      <c r="FOP24" s="287"/>
      <c r="FOQ24" s="287"/>
      <c r="FOR24" s="287"/>
      <c r="FOS24" s="632"/>
      <c r="FOT24" s="287"/>
      <c r="FOU24" s="633"/>
      <c r="FOV24" s="287"/>
      <c r="FOW24" s="287"/>
      <c r="FOX24" s="287"/>
      <c r="FOY24" s="287"/>
      <c r="FOZ24" s="287"/>
      <c r="FPA24" s="287"/>
      <c r="FPB24" s="287"/>
      <c r="FPC24" s="287"/>
      <c r="FPD24" s="287"/>
      <c r="FPE24" s="287"/>
      <c r="FPF24" s="287"/>
      <c r="FPG24" s="287"/>
      <c r="FPH24" s="287"/>
      <c r="FPI24" s="632"/>
      <c r="FPJ24" s="287"/>
      <c r="FPK24" s="633"/>
      <c r="FPL24" s="287"/>
      <c r="FPM24" s="287"/>
      <c r="FPN24" s="287"/>
      <c r="FPO24" s="287"/>
      <c r="FPP24" s="287"/>
      <c r="FPQ24" s="287"/>
      <c r="FPR24" s="287"/>
      <c r="FPS24" s="287"/>
      <c r="FPT24" s="287"/>
      <c r="FPU24" s="287"/>
      <c r="FPV24" s="287"/>
      <c r="FPW24" s="287"/>
      <c r="FPX24" s="287"/>
      <c r="FPY24" s="632"/>
      <c r="FPZ24" s="287"/>
      <c r="FQA24" s="633"/>
      <c r="FQB24" s="287"/>
      <c r="FQC24" s="287"/>
      <c r="FQD24" s="287"/>
      <c r="FQE24" s="287"/>
      <c r="FQF24" s="287"/>
      <c r="FQG24" s="287"/>
      <c r="FQH24" s="287"/>
      <c r="FQI24" s="287"/>
      <c r="FQJ24" s="287"/>
      <c r="FQK24" s="287"/>
      <c r="FQL24" s="287"/>
      <c r="FQM24" s="287"/>
      <c r="FQN24" s="287"/>
      <c r="FQO24" s="632"/>
      <c r="FQP24" s="287"/>
      <c r="FQQ24" s="633"/>
      <c r="FQR24" s="287"/>
      <c r="FQS24" s="287"/>
      <c r="FQT24" s="287"/>
      <c r="FQU24" s="287"/>
      <c r="FQV24" s="287"/>
      <c r="FQW24" s="287"/>
      <c r="FQX24" s="287"/>
      <c r="FQY24" s="287"/>
      <c r="FQZ24" s="287"/>
      <c r="FRA24" s="287"/>
      <c r="FRB24" s="287"/>
      <c r="FRC24" s="287"/>
      <c r="FRD24" s="287"/>
      <c r="FRE24" s="632"/>
      <c r="FRF24" s="287"/>
      <c r="FRG24" s="633"/>
      <c r="FRH24" s="287"/>
      <c r="FRI24" s="287"/>
      <c r="FRJ24" s="287"/>
      <c r="FRK24" s="287"/>
      <c r="FRL24" s="287"/>
      <c r="FRM24" s="287"/>
      <c r="FRN24" s="287"/>
      <c r="FRO24" s="287"/>
      <c r="FRP24" s="287"/>
      <c r="FRQ24" s="287"/>
      <c r="FRR24" s="287"/>
      <c r="FRS24" s="287"/>
      <c r="FRT24" s="287"/>
      <c r="FRU24" s="632"/>
      <c r="FRV24" s="287"/>
      <c r="FRW24" s="633"/>
      <c r="FRX24" s="287"/>
      <c r="FRY24" s="287"/>
      <c r="FRZ24" s="287"/>
      <c r="FSA24" s="287"/>
      <c r="FSB24" s="287"/>
      <c r="FSC24" s="287"/>
      <c r="FSD24" s="287"/>
      <c r="FSE24" s="287"/>
      <c r="FSF24" s="287"/>
      <c r="FSG24" s="287"/>
      <c r="FSH24" s="287"/>
      <c r="FSI24" s="287"/>
      <c r="FSJ24" s="287"/>
      <c r="FSK24" s="632"/>
      <c r="FSL24" s="287"/>
      <c r="FSM24" s="633"/>
      <c r="FSN24" s="287"/>
      <c r="FSO24" s="287"/>
      <c r="FSP24" s="287"/>
      <c r="FSQ24" s="287"/>
      <c r="FSR24" s="287"/>
      <c r="FSS24" s="287"/>
      <c r="FST24" s="287"/>
      <c r="FSU24" s="287"/>
      <c r="FSV24" s="287"/>
      <c r="FSW24" s="287"/>
      <c r="FSX24" s="287"/>
      <c r="FSY24" s="287"/>
      <c r="FSZ24" s="287"/>
      <c r="FTA24" s="632"/>
      <c r="FTB24" s="287"/>
      <c r="FTC24" s="633"/>
      <c r="FTD24" s="287"/>
      <c r="FTE24" s="287"/>
      <c r="FTF24" s="287"/>
      <c r="FTG24" s="287"/>
      <c r="FTH24" s="287"/>
      <c r="FTI24" s="287"/>
      <c r="FTJ24" s="287"/>
      <c r="FTK24" s="287"/>
      <c r="FTL24" s="287"/>
      <c r="FTM24" s="287"/>
      <c r="FTN24" s="287"/>
      <c r="FTO24" s="287"/>
      <c r="FTP24" s="287"/>
      <c r="FTQ24" s="632"/>
      <c r="FTR24" s="287"/>
      <c r="FTS24" s="633"/>
      <c r="FTT24" s="287"/>
      <c r="FTU24" s="287"/>
      <c r="FTV24" s="287"/>
      <c r="FTW24" s="287"/>
      <c r="FTX24" s="287"/>
      <c r="FTY24" s="287"/>
      <c r="FTZ24" s="287"/>
      <c r="FUA24" s="287"/>
      <c r="FUB24" s="287"/>
      <c r="FUC24" s="287"/>
      <c r="FUD24" s="287"/>
      <c r="FUE24" s="287"/>
      <c r="FUF24" s="287"/>
      <c r="FUG24" s="632"/>
      <c r="FUH24" s="287"/>
      <c r="FUI24" s="633"/>
      <c r="FUJ24" s="287"/>
      <c r="FUK24" s="287"/>
      <c r="FUL24" s="287"/>
      <c r="FUM24" s="287"/>
      <c r="FUN24" s="287"/>
      <c r="FUO24" s="287"/>
      <c r="FUP24" s="287"/>
      <c r="FUQ24" s="287"/>
      <c r="FUR24" s="287"/>
      <c r="FUS24" s="287"/>
      <c r="FUT24" s="287"/>
      <c r="FUU24" s="287"/>
      <c r="FUV24" s="287"/>
      <c r="FUW24" s="632"/>
      <c r="FUX24" s="287"/>
      <c r="FUY24" s="633"/>
      <c r="FUZ24" s="287"/>
      <c r="FVA24" s="287"/>
      <c r="FVB24" s="287"/>
      <c r="FVC24" s="287"/>
      <c r="FVD24" s="287"/>
      <c r="FVE24" s="287"/>
      <c r="FVF24" s="287"/>
      <c r="FVG24" s="287"/>
      <c r="FVH24" s="287"/>
      <c r="FVI24" s="287"/>
      <c r="FVJ24" s="287"/>
      <c r="FVK24" s="287"/>
      <c r="FVL24" s="287"/>
      <c r="FVM24" s="632"/>
      <c r="FVN24" s="287"/>
      <c r="FVO24" s="633"/>
      <c r="FVP24" s="287"/>
      <c r="FVQ24" s="287"/>
      <c r="FVR24" s="287"/>
      <c r="FVS24" s="287"/>
      <c r="FVT24" s="287"/>
      <c r="FVU24" s="287"/>
      <c r="FVV24" s="287"/>
      <c r="FVW24" s="287"/>
      <c r="FVX24" s="287"/>
      <c r="FVY24" s="287"/>
      <c r="FVZ24" s="287"/>
      <c r="FWA24" s="287"/>
      <c r="FWB24" s="287"/>
      <c r="FWC24" s="632"/>
      <c r="FWD24" s="287"/>
      <c r="FWE24" s="633"/>
      <c r="FWF24" s="287"/>
      <c r="FWG24" s="287"/>
      <c r="FWH24" s="287"/>
      <c r="FWI24" s="287"/>
      <c r="FWJ24" s="287"/>
      <c r="FWK24" s="287"/>
      <c r="FWL24" s="287"/>
      <c r="FWM24" s="287"/>
      <c r="FWN24" s="287"/>
      <c r="FWO24" s="287"/>
      <c r="FWP24" s="287"/>
      <c r="FWQ24" s="287"/>
      <c r="FWR24" s="287"/>
      <c r="FWS24" s="632"/>
      <c r="FWT24" s="287"/>
      <c r="FWU24" s="633"/>
      <c r="FWV24" s="287"/>
      <c r="FWW24" s="287"/>
      <c r="FWX24" s="287"/>
      <c r="FWY24" s="287"/>
      <c r="FWZ24" s="287"/>
      <c r="FXA24" s="287"/>
      <c r="FXB24" s="287"/>
      <c r="FXC24" s="287"/>
      <c r="FXD24" s="287"/>
      <c r="FXE24" s="287"/>
      <c r="FXF24" s="287"/>
      <c r="FXG24" s="287"/>
      <c r="FXH24" s="287"/>
      <c r="FXI24" s="632"/>
      <c r="FXJ24" s="287"/>
      <c r="FXK24" s="633"/>
      <c r="FXL24" s="287"/>
      <c r="FXM24" s="287"/>
      <c r="FXN24" s="287"/>
      <c r="FXO24" s="287"/>
      <c r="FXP24" s="287"/>
      <c r="FXQ24" s="287"/>
      <c r="FXR24" s="287"/>
      <c r="FXS24" s="287"/>
      <c r="FXT24" s="287"/>
      <c r="FXU24" s="287"/>
      <c r="FXV24" s="287"/>
      <c r="FXW24" s="287"/>
      <c r="FXX24" s="287"/>
      <c r="FXY24" s="632"/>
      <c r="FXZ24" s="287"/>
      <c r="FYA24" s="633"/>
      <c r="FYB24" s="287"/>
      <c r="FYC24" s="287"/>
      <c r="FYD24" s="287"/>
      <c r="FYE24" s="287"/>
      <c r="FYF24" s="287"/>
      <c r="FYG24" s="287"/>
      <c r="FYH24" s="287"/>
      <c r="FYI24" s="287"/>
      <c r="FYJ24" s="287"/>
      <c r="FYK24" s="287"/>
      <c r="FYL24" s="287"/>
      <c r="FYM24" s="287"/>
      <c r="FYN24" s="287"/>
      <c r="FYO24" s="632"/>
      <c r="FYP24" s="287"/>
      <c r="FYQ24" s="633"/>
      <c r="FYR24" s="287"/>
      <c r="FYS24" s="287"/>
      <c r="FYT24" s="287"/>
      <c r="FYU24" s="287"/>
      <c r="FYV24" s="287"/>
      <c r="FYW24" s="287"/>
      <c r="FYX24" s="287"/>
      <c r="FYY24" s="287"/>
      <c r="FYZ24" s="287"/>
      <c r="FZA24" s="287"/>
      <c r="FZB24" s="287"/>
      <c r="FZC24" s="287"/>
      <c r="FZD24" s="287"/>
      <c r="FZE24" s="632"/>
      <c r="FZF24" s="287"/>
      <c r="FZG24" s="633"/>
      <c r="FZH24" s="287"/>
      <c r="FZI24" s="287"/>
      <c r="FZJ24" s="287"/>
      <c r="FZK24" s="287"/>
      <c r="FZL24" s="287"/>
      <c r="FZM24" s="287"/>
      <c r="FZN24" s="287"/>
      <c r="FZO24" s="287"/>
      <c r="FZP24" s="287"/>
      <c r="FZQ24" s="287"/>
      <c r="FZR24" s="287"/>
      <c r="FZS24" s="287"/>
      <c r="FZT24" s="287"/>
      <c r="FZU24" s="632"/>
      <c r="FZV24" s="287"/>
      <c r="FZW24" s="633"/>
      <c r="FZX24" s="287"/>
      <c r="FZY24" s="287"/>
      <c r="FZZ24" s="287"/>
      <c r="GAA24" s="287"/>
      <c r="GAB24" s="287"/>
      <c r="GAC24" s="287"/>
      <c r="GAD24" s="287"/>
      <c r="GAE24" s="287"/>
      <c r="GAF24" s="287"/>
      <c r="GAG24" s="287"/>
      <c r="GAH24" s="287"/>
      <c r="GAI24" s="287"/>
      <c r="GAJ24" s="287"/>
      <c r="GAK24" s="632"/>
      <c r="GAL24" s="287"/>
      <c r="GAM24" s="633"/>
      <c r="GAN24" s="287"/>
      <c r="GAO24" s="287"/>
      <c r="GAP24" s="287"/>
      <c r="GAQ24" s="287"/>
      <c r="GAR24" s="287"/>
      <c r="GAS24" s="287"/>
      <c r="GAT24" s="287"/>
      <c r="GAU24" s="287"/>
      <c r="GAV24" s="287"/>
      <c r="GAW24" s="287"/>
      <c r="GAX24" s="287"/>
      <c r="GAY24" s="287"/>
      <c r="GAZ24" s="287"/>
      <c r="GBA24" s="632"/>
      <c r="GBB24" s="287"/>
      <c r="GBC24" s="633"/>
      <c r="GBD24" s="287"/>
      <c r="GBE24" s="287"/>
      <c r="GBF24" s="287"/>
      <c r="GBG24" s="287"/>
      <c r="GBH24" s="287"/>
      <c r="GBI24" s="287"/>
      <c r="GBJ24" s="287"/>
      <c r="GBK24" s="287"/>
      <c r="GBL24" s="287"/>
      <c r="GBM24" s="287"/>
      <c r="GBN24" s="287"/>
      <c r="GBO24" s="287"/>
      <c r="GBP24" s="287"/>
      <c r="GBQ24" s="632"/>
      <c r="GBR24" s="287"/>
      <c r="GBS24" s="633"/>
      <c r="GBT24" s="287"/>
      <c r="GBU24" s="287"/>
      <c r="GBV24" s="287"/>
      <c r="GBW24" s="287"/>
      <c r="GBX24" s="287"/>
      <c r="GBY24" s="287"/>
      <c r="GBZ24" s="287"/>
      <c r="GCA24" s="287"/>
      <c r="GCB24" s="287"/>
      <c r="GCC24" s="287"/>
      <c r="GCD24" s="287"/>
      <c r="GCE24" s="287"/>
      <c r="GCF24" s="287"/>
      <c r="GCG24" s="632"/>
      <c r="GCH24" s="287"/>
      <c r="GCI24" s="633"/>
      <c r="GCJ24" s="287"/>
      <c r="GCK24" s="287"/>
      <c r="GCL24" s="287"/>
      <c r="GCM24" s="287"/>
      <c r="GCN24" s="287"/>
      <c r="GCO24" s="287"/>
      <c r="GCP24" s="287"/>
      <c r="GCQ24" s="287"/>
      <c r="GCR24" s="287"/>
      <c r="GCS24" s="287"/>
      <c r="GCT24" s="287"/>
      <c r="GCU24" s="287"/>
      <c r="GCV24" s="287"/>
      <c r="GCW24" s="632"/>
      <c r="GCX24" s="287"/>
      <c r="GCY24" s="633"/>
      <c r="GCZ24" s="287"/>
      <c r="GDA24" s="287"/>
      <c r="GDB24" s="287"/>
      <c r="GDC24" s="287"/>
      <c r="GDD24" s="287"/>
      <c r="GDE24" s="287"/>
      <c r="GDF24" s="287"/>
      <c r="GDG24" s="287"/>
      <c r="GDH24" s="287"/>
      <c r="GDI24" s="287"/>
      <c r="GDJ24" s="287"/>
      <c r="GDK24" s="287"/>
      <c r="GDL24" s="287"/>
      <c r="GDM24" s="632"/>
      <c r="GDN24" s="287"/>
      <c r="GDO24" s="633"/>
      <c r="GDP24" s="287"/>
      <c r="GDQ24" s="287"/>
      <c r="GDR24" s="287"/>
      <c r="GDS24" s="287"/>
      <c r="GDT24" s="287"/>
      <c r="GDU24" s="287"/>
      <c r="GDV24" s="287"/>
      <c r="GDW24" s="287"/>
      <c r="GDX24" s="287"/>
      <c r="GDY24" s="287"/>
      <c r="GDZ24" s="287"/>
      <c r="GEA24" s="287"/>
      <c r="GEB24" s="287"/>
      <c r="GEC24" s="632"/>
      <c r="GED24" s="287"/>
      <c r="GEE24" s="633"/>
      <c r="GEF24" s="287"/>
      <c r="GEG24" s="287"/>
      <c r="GEH24" s="287"/>
      <c r="GEI24" s="287"/>
      <c r="GEJ24" s="287"/>
      <c r="GEK24" s="287"/>
      <c r="GEL24" s="287"/>
      <c r="GEM24" s="287"/>
      <c r="GEN24" s="287"/>
      <c r="GEO24" s="287"/>
      <c r="GEP24" s="287"/>
      <c r="GEQ24" s="287"/>
      <c r="GER24" s="287"/>
      <c r="GES24" s="632"/>
      <c r="GET24" s="287"/>
      <c r="GEU24" s="633"/>
      <c r="GEV24" s="287"/>
      <c r="GEW24" s="287"/>
      <c r="GEX24" s="287"/>
      <c r="GEY24" s="287"/>
      <c r="GEZ24" s="287"/>
      <c r="GFA24" s="287"/>
      <c r="GFB24" s="287"/>
      <c r="GFC24" s="287"/>
      <c r="GFD24" s="287"/>
      <c r="GFE24" s="287"/>
      <c r="GFF24" s="287"/>
      <c r="GFG24" s="287"/>
      <c r="GFH24" s="287"/>
      <c r="GFI24" s="632"/>
      <c r="GFJ24" s="287"/>
      <c r="GFK24" s="633"/>
      <c r="GFL24" s="287"/>
      <c r="GFM24" s="287"/>
      <c r="GFN24" s="287"/>
      <c r="GFO24" s="287"/>
      <c r="GFP24" s="287"/>
      <c r="GFQ24" s="287"/>
      <c r="GFR24" s="287"/>
      <c r="GFS24" s="287"/>
      <c r="GFT24" s="287"/>
      <c r="GFU24" s="287"/>
      <c r="GFV24" s="287"/>
      <c r="GFW24" s="287"/>
      <c r="GFX24" s="287"/>
      <c r="GFY24" s="632"/>
      <c r="GFZ24" s="287"/>
      <c r="GGA24" s="633"/>
      <c r="GGB24" s="287"/>
      <c r="GGC24" s="287"/>
      <c r="GGD24" s="287"/>
      <c r="GGE24" s="287"/>
      <c r="GGF24" s="287"/>
      <c r="GGG24" s="287"/>
      <c r="GGH24" s="287"/>
      <c r="GGI24" s="287"/>
      <c r="GGJ24" s="287"/>
      <c r="GGK24" s="287"/>
      <c r="GGL24" s="287"/>
      <c r="GGM24" s="287"/>
      <c r="GGN24" s="287"/>
      <c r="GGO24" s="632"/>
      <c r="GGP24" s="287"/>
      <c r="GGQ24" s="633"/>
      <c r="GGR24" s="287"/>
      <c r="GGS24" s="287"/>
      <c r="GGT24" s="287"/>
      <c r="GGU24" s="287"/>
      <c r="GGV24" s="287"/>
      <c r="GGW24" s="287"/>
      <c r="GGX24" s="287"/>
      <c r="GGY24" s="287"/>
      <c r="GGZ24" s="287"/>
      <c r="GHA24" s="287"/>
      <c r="GHB24" s="287"/>
      <c r="GHC24" s="287"/>
      <c r="GHD24" s="287"/>
      <c r="GHE24" s="632"/>
      <c r="GHF24" s="287"/>
      <c r="GHG24" s="633"/>
      <c r="GHH24" s="287"/>
      <c r="GHI24" s="287"/>
      <c r="GHJ24" s="287"/>
      <c r="GHK24" s="287"/>
      <c r="GHL24" s="287"/>
      <c r="GHM24" s="287"/>
      <c r="GHN24" s="287"/>
      <c r="GHO24" s="287"/>
      <c r="GHP24" s="287"/>
      <c r="GHQ24" s="287"/>
      <c r="GHR24" s="287"/>
      <c r="GHS24" s="287"/>
      <c r="GHT24" s="287"/>
      <c r="GHU24" s="632"/>
      <c r="GHV24" s="287"/>
      <c r="GHW24" s="633"/>
      <c r="GHX24" s="287"/>
      <c r="GHY24" s="287"/>
      <c r="GHZ24" s="287"/>
      <c r="GIA24" s="287"/>
      <c r="GIB24" s="287"/>
      <c r="GIC24" s="287"/>
      <c r="GID24" s="287"/>
      <c r="GIE24" s="287"/>
      <c r="GIF24" s="287"/>
      <c r="GIG24" s="287"/>
      <c r="GIH24" s="287"/>
      <c r="GII24" s="287"/>
      <c r="GIJ24" s="287"/>
      <c r="GIK24" s="632"/>
      <c r="GIL24" s="287"/>
      <c r="GIM24" s="633"/>
      <c r="GIN24" s="287"/>
      <c r="GIO24" s="287"/>
      <c r="GIP24" s="287"/>
      <c r="GIQ24" s="287"/>
      <c r="GIR24" s="287"/>
      <c r="GIS24" s="287"/>
      <c r="GIT24" s="287"/>
      <c r="GIU24" s="287"/>
      <c r="GIV24" s="287"/>
      <c r="GIW24" s="287"/>
      <c r="GIX24" s="287"/>
      <c r="GIY24" s="287"/>
      <c r="GIZ24" s="287"/>
      <c r="GJA24" s="632"/>
      <c r="GJB24" s="287"/>
      <c r="GJC24" s="633"/>
      <c r="GJD24" s="287"/>
      <c r="GJE24" s="287"/>
      <c r="GJF24" s="287"/>
      <c r="GJG24" s="287"/>
      <c r="GJH24" s="287"/>
      <c r="GJI24" s="287"/>
      <c r="GJJ24" s="287"/>
      <c r="GJK24" s="287"/>
      <c r="GJL24" s="287"/>
      <c r="GJM24" s="287"/>
      <c r="GJN24" s="287"/>
      <c r="GJO24" s="287"/>
      <c r="GJP24" s="287"/>
      <c r="GJQ24" s="632"/>
      <c r="GJR24" s="287"/>
      <c r="GJS24" s="633"/>
      <c r="GJT24" s="287"/>
      <c r="GJU24" s="287"/>
      <c r="GJV24" s="287"/>
      <c r="GJW24" s="287"/>
      <c r="GJX24" s="287"/>
      <c r="GJY24" s="287"/>
      <c r="GJZ24" s="287"/>
      <c r="GKA24" s="287"/>
      <c r="GKB24" s="287"/>
      <c r="GKC24" s="287"/>
      <c r="GKD24" s="287"/>
      <c r="GKE24" s="287"/>
      <c r="GKF24" s="287"/>
      <c r="GKG24" s="632"/>
      <c r="GKH24" s="287"/>
      <c r="GKI24" s="633"/>
      <c r="GKJ24" s="287"/>
      <c r="GKK24" s="287"/>
      <c r="GKL24" s="287"/>
      <c r="GKM24" s="287"/>
      <c r="GKN24" s="287"/>
      <c r="GKO24" s="287"/>
      <c r="GKP24" s="287"/>
      <c r="GKQ24" s="287"/>
      <c r="GKR24" s="287"/>
      <c r="GKS24" s="287"/>
      <c r="GKT24" s="287"/>
      <c r="GKU24" s="287"/>
      <c r="GKV24" s="287"/>
      <c r="GKW24" s="632"/>
      <c r="GKX24" s="287"/>
      <c r="GKY24" s="633"/>
      <c r="GKZ24" s="287"/>
      <c r="GLA24" s="287"/>
      <c r="GLB24" s="287"/>
      <c r="GLC24" s="287"/>
      <c r="GLD24" s="287"/>
      <c r="GLE24" s="287"/>
      <c r="GLF24" s="287"/>
      <c r="GLG24" s="287"/>
      <c r="GLH24" s="287"/>
      <c r="GLI24" s="287"/>
      <c r="GLJ24" s="287"/>
      <c r="GLK24" s="287"/>
      <c r="GLL24" s="287"/>
      <c r="GLM24" s="632"/>
      <c r="GLN24" s="287"/>
      <c r="GLO24" s="633"/>
      <c r="GLP24" s="287"/>
      <c r="GLQ24" s="287"/>
      <c r="GLR24" s="287"/>
      <c r="GLS24" s="287"/>
      <c r="GLT24" s="287"/>
      <c r="GLU24" s="287"/>
      <c r="GLV24" s="287"/>
      <c r="GLW24" s="287"/>
      <c r="GLX24" s="287"/>
      <c r="GLY24" s="287"/>
      <c r="GLZ24" s="287"/>
      <c r="GMA24" s="287"/>
      <c r="GMB24" s="287"/>
      <c r="GMC24" s="632"/>
      <c r="GMD24" s="287"/>
      <c r="GME24" s="633"/>
      <c r="GMF24" s="287"/>
      <c r="GMG24" s="287"/>
      <c r="GMH24" s="287"/>
      <c r="GMI24" s="287"/>
      <c r="GMJ24" s="287"/>
      <c r="GMK24" s="287"/>
      <c r="GML24" s="287"/>
      <c r="GMM24" s="287"/>
      <c r="GMN24" s="287"/>
      <c r="GMO24" s="287"/>
      <c r="GMP24" s="287"/>
      <c r="GMQ24" s="287"/>
      <c r="GMR24" s="287"/>
      <c r="GMS24" s="632"/>
      <c r="GMT24" s="287"/>
      <c r="GMU24" s="633"/>
      <c r="GMV24" s="287"/>
      <c r="GMW24" s="287"/>
      <c r="GMX24" s="287"/>
      <c r="GMY24" s="287"/>
      <c r="GMZ24" s="287"/>
      <c r="GNA24" s="287"/>
      <c r="GNB24" s="287"/>
      <c r="GNC24" s="287"/>
      <c r="GND24" s="287"/>
      <c r="GNE24" s="287"/>
      <c r="GNF24" s="287"/>
      <c r="GNG24" s="287"/>
      <c r="GNH24" s="287"/>
      <c r="GNI24" s="632"/>
      <c r="GNJ24" s="287"/>
      <c r="GNK24" s="633"/>
      <c r="GNL24" s="287"/>
      <c r="GNM24" s="287"/>
      <c r="GNN24" s="287"/>
      <c r="GNO24" s="287"/>
      <c r="GNP24" s="287"/>
      <c r="GNQ24" s="287"/>
      <c r="GNR24" s="287"/>
      <c r="GNS24" s="287"/>
      <c r="GNT24" s="287"/>
      <c r="GNU24" s="287"/>
      <c r="GNV24" s="287"/>
      <c r="GNW24" s="287"/>
      <c r="GNX24" s="287"/>
      <c r="GNY24" s="632"/>
      <c r="GNZ24" s="287"/>
      <c r="GOA24" s="633"/>
      <c r="GOB24" s="287"/>
      <c r="GOC24" s="287"/>
      <c r="GOD24" s="287"/>
      <c r="GOE24" s="287"/>
      <c r="GOF24" s="287"/>
      <c r="GOG24" s="287"/>
      <c r="GOH24" s="287"/>
      <c r="GOI24" s="287"/>
      <c r="GOJ24" s="287"/>
      <c r="GOK24" s="287"/>
      <c r="GOL24" s="287"/>
      <c r="GOM24" s="287"/>
      <c r="GON24" s="287"/>
      <c r="GOO24" s="632"/>
      <c r="GOP24" s="287"/>
      <c r="GOQ24" s="633"/>
      <c r="GOR24" s="287"/>
      <c r="GOS24" s="287"/>
      <c r="GOT24" s="287"/>
      <c r="GOU24" s="287"/>
      <c r="GOV24" s="287"/>
      <c r="GOW24" s="287"/>
      <c r="GOX24" s="287"/>
      <c r="GOY24" s="287"/>
      <c r="GOZ24" s="287"/>
      <c r="GPA24" s="287"/>
      <c r="GPB24" s="287"/>
      <c r="GPC24" s="287"/>
      <c r="GPD24" s="287"/>
      <c r="GPE24" s="632"/>
      <c r="GPF24" s="287"/>
      <c r="GPG24" s="633"/>
      <c r="GPH24" s="287"/>
      <c r="GPI24" s="287"/>
      <c r="GPJ24" s="287"/>
      <c r="GPK24" s="287"/>
      <c r="GPL24" s="287"/>
      <c r="GPM24" s="287"/>
      <c r="GPN24" s="287"/>
      <c r="GPO24" s="287"/>
      <c r="GPP24" s="287"/>
      <c r="GPQ24" s="287"/>
      <c r="GPR24" s="287"/>
      <c r="GPS24" s="287"/>
      <c r="GPT24" s="287"/>
      <c r="GPU24" s="632"/>
      <c r="GPV24" s="287"/>
      <c r="GPW24" s="633"/>
      <c r="GPX24" s="287"/>
      <c r="GPY24" s="287"/>
      <c r="GPZ24" s="287"/>
      <c r="GQA24" s="287"/>
      <c r="GQB24" s="287"/>
      <c r="GQC24" s="287"/>
      <c r="GQD24" s="287"/>
      <c r="GQE24" s="287"/>
      <c r="GQF24" s="287"/>
      <c r="GQG24" s="287"/>
      <c r="GQH24" s="287"/>
      <c r="GQI24" s="287"/>
      <c r="GQJ24" s="287"/>
      <c r="GQK24" s="632"/>
      <c r="GQL24" s="287"/>
      <c r="GQM24" s="633"/>
      <c r="GQN24" s="287"/>
      <c r="GQO24" s="287"/>
      <c r="GQP24" s="287"/>
      <c r="GQQ24" s="287"/>
      <c r="GQR24" s="287"/>
      <c r="GQS24" s="287"/>
      <c r="GQT24" s="287"/>
      <c r="GQU24" s="287"/>
      <c r="GQV24" s="287"/>
      <c r="GQW24" s="287"/>
      <c r="GQX24" s="287"/>
      <c r="GQY24" s="287"/>
      <c r="GQZ24" s="287"/>
      <c r="GRA24" s="632"/>
      <c r="GRB24" s="287"/>
      <c r="GRC24" s="633"/>
      <c r="GRD24" s="287"/>
      <c r="GRE24" s="287"/>
      <c r="GRF24" s="287"/>
      <c r="GRG24" s="287"/>
      <c r="GRH24" s="287"/>
      <c r="GRI24" s="287"/>
      <c r="GRJ24" s="287"/>
      <c r="GRK24" s="287"/>
      <c r="GRL24" s="287"/>
      <c r="GRM24" s="287"/>
      <c r="GRN24" s="287"/>
      <c r="GRO24" s="287"/>
      <c r="GRP24" s="287"/>
      <c r="GRQ24" s="632"/>
      <c r="GRR24" s="287"/>
      <c r="GRS24" s="633"/>
      <c r="GRT24" s="287"/>
      <c r="GRU24" s="287"/>
      <c r="GRV24" s="287"/>
      <c r="GRW24" s="287"/>
      <c r="GRX24" s="287"/>
      <c r="GRY24" s="287"/>
      <c r="GRZ24" s="287"/>
      <c r="GSA24" s="287"/>
      <c r="GSB24" s="287"/>
      <c r="GSC24" s="287"/>
      <c r="GSD24" s="287"/>
      <c r="GSE24" s="287"/>
      <c r="GSF24" s="287"/>
      <c r="GSG24" s="632"/>
      <c r="GSH24" s="287"/>
      <c r="GSI24" s="633"/>
      <c r="GSJ24" s="287"/>
      <c r="GSK24" s="287"/>
      <c r="GSL24" s="287"/>
      <c r="GSM24" s="287"/>
      <c r="GSN24" s="287"/>
      <c r="GSO24" s="287"/>
      <c r="GSP24" s="287"/>
      <c r="GSQ24" s="287"/>
      <c r="GSR24" s="287"/>
      <c r="GSS24" s="287"/>
      <c r="GST24" s="287"/>
      <c r="GSU24" s="287"/>
      <c r="GSV24" s="287"/>
      <c r="GSW24" s="632"/>
      <c r="GSX24" s="287"/>
      <c r="GSY24" s="633"/>
      <c r="GSZ24" s="287"/>
      <c r="GTA24" s="287"/>
      <c r="GTB24" s="287"/>
      <c r="GTC24" s="287"/>
      <c r="GTD24" s="287"/>
      <c r="GTE24" s="287"/>
      <c r="GTF24" s="287"/>
      <c r="GTG24" s="287"/>
      <c r="GTH24" s="287"/>
      <c r="GTI24" s="287"/>
      <c r="GTJ24" s="287"/>
      <c r="GTK24" s="287"/>
      <c r="GTL24" s="287"/>
      <c r="GTM24" s="632"/>
      <c r="GTN24" s="287"/>
      <c r="GTO24" s="633"/>
      <c r="GTP24" s="287"/>
      <c r="GTQ24" s="287"/>
      <c r="GTR24" s="287"/>
      <c r="GTS24" s="287"/>
      <c r="GTT24" s="287"/>
      <c r="GTU24" s="287"/>
      <c r="GTV24" s="287"/>
      <c r="GTW24" s="287"/>
      <c r="GTX24" s="287"/>
      <c r="GTY24" s="287"/>
      <c r="GTZ24" s="287"/>
      <c r="GUA24" s="287"/>
      <c r="GUB24" s="287"/>
      <c r="GUC24" s="632"/>
      <c r="GUD24" s="287"/>
      <c r="GUE24" s="633"/>
      <c r="GUF24" s="287"/>
      <c r="GUG24" s="287"/>
      <c r="GUH24" s="287"/>
      <c r="GUI24" s="287"/>
      <c r="GUJ24" s="287"/>
      <c r="GUK24" s="287"/>
      <c r="GUL24" s="287"/>
      <c r="GUM24" s="287"/>
      <c r="GUN24" s="287"/>
      <c r="GUO24" s="287"/>
      <c r="GUP24" s="287"/>
      <c r="GUQ24" s="287"/>
      <c r="GUR24" s="287"/>
      <c r="GUS24" s="632"/>
      <c r="GUT24" s="287"/>
      <c r="GUU24" s="633"/>
      <c r="GUV24" s="287"/>
      <c r="GUW24" s="287"/>
      <c r="GUX24" s="287"/>
      <c r="GUY24" s="287"/>
      <c r="GUZ24" s="287"/>
      <c r="GVA24" s="287"/>
      <c r="GVB24" s="287"/>
      <c r="GVC24" s="287"/>
      <c r="GVD24" s="287"/>
      <c r="GVE24" s="287"/>
      <c r="GVF24" s="287"/>
      <c r="GVG24" s="287"/>
      <c r="GVH24" s="287"/>
      <c r="GVI24" s="632"/>
      <c r="GVJ24" s="287"/>
      <c r="GVK24" s="633"/>
      <c r="GVL24" s="287"/>
      <c r="GVM24" s="287"/>
      <c r="GVN24" s="287"/>
      <c r="GVO24" s="287"/>
      <c r="GVP24" s="287"/>
      <c r="GVQ24" s="287"/>
      <c r="GVR24" s="287"/>
      <c r="GVS24" s="287"/>
      <c r="GVT24" s="287"/>
      <c r="GVU24" s="287"/>
      <c r="GVV24" s="287"/>
      <c r="GVW24" s="287"/>
      <c r="GVX24" s="287"/>
      <c r="GVY24" s="632"/>
      <c r="GVZ24" s="287"/>
      <c r="GWA24" s="633"/>
      <c r="GWB24" s="287"/>
      <c r="GWC24" s="287"/>
      <c r="GWD24" s="287"/>
      <c r="GWE24" s="287"/>
      <c r="GWF24" s="287"/>
      <c r="GWG24" s="287"/>
      <c r="GWH24" s="287"/>
      <c r="GWI24" s="287"/>
      <c r="GWJ24" s="287"/>
      <c r="GWK24" s="287"/>
      <c r="GWL24" s="287"/>
      <c r="GWM24" s="287"/>
      <c r="GWN24" s="287"/>
      <c r="GWO24" s="632"/>
      <c r="GWP24" s="287"/>
      <c r="GWQ24" s="633"/>
      <c r="GWR24" s="287"/>
      <c r="GWS24" s="287"/>
      <c r="GWT24" s="287"/>
      <c r="GWU24" s="287"/>
      <c r="GWV24" s="287"/>
      <c r="GWW24" s="287"/>
      <c r="GWX24" s="287"/>
      <c r="GWY24" s="287"/>
      <c r="GWZ24" s="287"/>
      <c r="GXA24" s="287"/>
      <c r="GXB24" s="287"/>
      <c r="GXC24" s="287"/>
      <c r="GXD24" s="287"/>
      <c r="GXE24" s="632"/>
      <c r="GXF24" s="287"/>
      <c r="GXG24" s="633"/>
      <c r="GXH24" s="287"/>
      <c r="GXI24" s="287"/>
      <c r="GXJ24" s="287"/>
      <c r="GXK24" s="287"/>
      <c r="GXL24" s="287"/>
      <c r="GXM24" s="287"/>
      <c r="GXN24" s="287"/>
      <c r="GXO24" s="287"/>
      <c r="GXP24" s="287"/>
      <c r="GXQ24" s="287"/>
      <c r="GXR24" s="287"/>
      <c r="GXS24" s="287"/>
      <c r="GXT24" s="287"/>
      <c r="GXU24" s="632"/>
      <c r="GXV24" s="287"/>
      <c r="GXW24" s="633"/>
      <c r="GXX24" s="287"/>
      <c r="GXY24" s="287"/>
      <c r="GXZ24" s="287"/>
      <c r="GYA24" s="287"/>
      <c r="GYB24" s="287"/>
      <c r="GYC24" s="287"/>
      <c r="GYD24" s="287"/>
      <c r="GYE24" s="287"/>
      <c r="GYF24" s="287"/>
      <c r="GYG24" s="287"/>
      <c r="GYH24" s="287"/>
      <c r="GYI24" s="287"/>
      <c r="GYJ24" s="287"/>
      <c r="GYK24" s="632"/>
      <c r="GYL24" s="287"/>
      <c r="GYM24" s="633"/>
      <c r="GYN24" s="287"/>
      <c r="GYO24" s="287"/>
      <c r="GYP24" s="287"/>
      <c r="GYQ24" s="287"/>
      <c r="GYR24" s="287"/>
      <c r="GYS24" s="287"/>
      <c r="GYT24" s="287"/>
      <c r="GYU24" s="287"/>
      <c r="GYV24" s="287"/>
      <c r="GYW24" s="287"/>
      <c r="GYX24" s="287"/>
      <c r="GYY24" s="287"/>
      <c r="GYZ24" s="287"/>
      <c r="GZA24" s="632"/>
      <c r="GZB24" s="287"/>
      <c r="GZC24" s="633"/>
      <c r="GZD24" s="287"/>
      <c r="GZE24" s="287"/>
      <c r="GZF24" s="287"/>
      <c r="GZG24" s="287"/>
      <c r="GZH24" s="287"/>
      <c r="GZI24" s="287"/>
      <c r="GZJ24" s="287"/>
      <c r="GZK24" s="287"/>
      <c r="GZL24" s="287"/>
      <c r="GZM24" s="287"/>
      <c r="GZN24" s="287"/>
      <c r="GZO24" s="287"/>
      <c r="GZP24" s="287"/>
      <c r="GZQ24" s="632"/>
      <c r="GZR24" s="287"/>
      <c r="GZS24" s="633"/>
      <c r="GZT24" s="287"/>
      <c r="GZU24" s="287"/>
      <c r="GZV24" s="287"/>
      <c r="GZW24" s="287"/>
      <c r="GZX24" s="287"/>
      <c r="GZY24" s="287"/>
      <c r="GZZ24" s="287"/>
      <c r="HAA24" s="287"/>
      <c r="HAB24" s="287"/>
      <c r="HAC24" s="287"/>
      <c r="HAD24" s="287"/>
      <c r="HAE24" s="287"/>
      <c r="HAF24" s="287"/>
      <c r="HAG24" s="632"/>
      <c r="HAH24" s="287"/>
      <c r="HAI24" s="633"/>
      <c r="HAJ24" s="287"/>
      <c r="HAK24" s="287"/>
      <c r="HAL24" s="287"/>
      <c r="HAM24" s="287"/>
      <c r="HAN24" s="287"/>
      <c r="HAO24" s="287"/>
      <c r="HAP24" s="287"/>
      <c r="HAQ24" s="287"/>
      <c r="HAR24" s="287"/>
      <c r="HAS24" s="287"/>
      <c r="HAT24" s="287"/>
      <c r="HAU24" s="287"/>
      <c r="HAV24" s="287"/>
      <c r="HAW24" s="632"/>
      <c r="HAX24" s="287"/>
      <c r="HAY24" s="633"/>
      <c r="HAZ24" s="287"/>
      <c r="HBA24" s="287"/>
      <c r="HBB24" s="287"/>
      <c r="HBC24" s="287"/>
      <c r="HBD24" s="287"/>
      <c r="HBE24" s="287"/>
      <c r="HBF24" s="287"/>
      <c r="HBG24" s="287"/>
      <c r="HBH24" s="287"/>
      <c r="HBI24" s="287"/>
      <c r="HBJ24" s="287"/>
      <c r="HBK24" s="287"/>
      <c r="HBL24" s="287"/>
      <c r="HBM24" s="632"/>
      <c r="HBN24" s="287"/>
      <c r="HBO24" s="633"/>
      <c r="HBP24" s="287"/>
      <c r="HBQ24" s="287"/>
      <c r="HBR24" s="287"/>
      <c r="HBS24" s="287"/>
      <c r="HBT24" s="287"/>
      <c r="HBU24" s="287"/>
      <c r="HBV24" s="287"/>
      <c r="HBW24" s="287"/>
      <c r="HBX24" s="287"/>
      <c r="HBY24" s="287"/>
      <c r="HBZ24" s="287"/>
      <c r="HCA24" s="287"/>
      <c r="HCB24" s="287"/>
      <c r="HCC24" s="632"/>
      <c r="HCD24" s="287"/>
      <c r="HCE24" s="633"/>
      <c r="HCF24" s="287"/>
      <c r="HCG24" s="287"/>
      <c r="HCH24" s="287"/>
      <c r="HCI24" s="287"/>
      <c r="HCJ24" s="287"/>
      <c r="HCK24" s="287"/>
      <c r="HCL24" s="287"/>
      <c r="HCM24" s="287"/>
      <c r="HCN24" s="287"/>
      <c r="HCO24" s="287"/>
      <c r="HCP24" s="287"/>
      <c r="HCQ24" s="287"/>
      <c r="HCR24" s="287"/>
      <c r="HCS24" s="632"/>
      <c r="HCT24" s="287"/>
      <c r="HCU24" s="633"/>
      <c r="HCV24" s="287"/>
      <c r="HCW24" s="287"/>
      <c r="HCX24" s="287"/>
      <c r="HCY24" s="287"/>
      <c r="HCZ24" s="287"/>
      <c r="HDA24" s="287"/>
      <c r="HDB24" s="287"/>
      <c r="HDC24" s="287"/>
      <c r="HDD24" s="287"/>
      <c r="HDE24" s="287"/>
      <c r="HDF24" s="287"/>
      <c r="HDG24" s="287"/>
      <c r="HDH24" s="287"/>
      <c r="HDI24" s="632"/>
      <c r="HDJ24" s="287"/>
      <c r="HDK24" s="633"/>
      <c r="HDL24" s="287"/>
      <c r="HDM24" s="287"/>
      <c r="HDN24" s="287"/>
      <c r="HDO24" s="287"/>
      <c r="HDP24" s="287"/>
      <c r="HDQ24" s="287"/>
      <c r="HDR24" s="287"/>
      <c r="HDS24" s="287"/>
      <c r="HDT24" s="287"/>
      <c r="HDU24" s="287"/>
      <c r="HDV24" s="287"/>
      <c r="HDW24" s="287"/>
      <c r="HDX24" s="287"/>
      <c r="HDY24" s="632"/>
      <c r="HDZ24" s="287"/>
      <c r="HEA24" s="633"/>
      <c r="HEB24" s="287"/>
      <c r="HEC24" s="287"/>
      <c r="HED24" s="287"/>
      <c r="HEE24" s="287"/>
      <c r="HEF24" s="287"/>
      <c r="HEG24" s="287"/>
      <c r="HEH24" s="287"/>
      <c r="HEI24" s="287"/>
      <c r="HEJ24" s="287"/>
      <c r="HEK24" s="287"/>
      <c r="HEL24" s="287"/>
      <c r="HEM24" s="287"/>
      <c r="HEN24" s="287"/>
      <c r="HEO24" s="632"/>
      <c r="HEP24" s="287"/>
      <c r="HEQ24" s="633"/>
      <c r="HER24" s="287"/>
      <c r="HES24" s="287"/>
      <c r="HET24" s="287"/>
      <c r="HEU24" s="287"/>
      <c r="HEV24" s="287"/>
      <c r="HEW24" s="287"/>
      <c r="HEX24" s="287"/>
      <c r="HEY24" s="287"/>
      <c r="HEZ24" s="287"/>
      <c r="HFA24" s="287"/>
      <c r="HFB24" s="287"/>
      <c r="HFC24" s="287"/>
      <c r="HFD24" s="287"/>
      <c r="HFE24" s="632"/>
      <c r="HFF24" s="287"/>
      <c r="HFG24" s="633"/>
      <c r="HFH24" s="287"/>
      <c r="HFI24" s="287"/>
      <c r="HFJ24" s="287"/>
      <c r="HFK24" s="287"/>
      <c r="HFL24" s="287"/>
      <c r="HFM24" s="287"/>
      <c r="HFN24" s="287"/>
      <c r="HFO24" s="287"/>
      <c r="HFP24" s="287"/>
      <c r="HFQ24" s="287"/>
      <c r="HFR24" s="287"/>
      <c r="HFS24" s="287"/>
      <c r="HFT24" s="287"/>
      <c r="HFU24" s="632"/>
      <c r="HFV24" s="287"/>
      <c r="HFW24" s="633"/>
      <c r="HFX24" s="287"/>
      <c r="HFY24" s="287"/>
      <c r="HFZ24" s="287"/>
      <c r="HGA24" s="287"/>
      <c r="HGB24" s="287"/>
      <c r="HGC24" s="287"/>
      <c r="HGD24" s="287"/>
      <c r="HGE24" s="287"/>
      <c r="HGF24" s="287"/>
      <c r="HGG24" s="287"/>
      <c r="HGH24" s="287"/>
      <c r="HGI24" s="287"/>
      <c r="HGJ24" s="287"/>
      <c r="HGK24" s="632"/>
      <c r="HGL24" s="287"/>
      <c r="HGM24" s="633"/>
      <c r="HGN24" s="287"/>
      <c r="HGO24" s="287"/>
      <c r="HGP24" s="287"/>
      <c r="HGQ24" s="287"/>
      <c r="HGR24" s="287"/>
      <c r="HGS24" s="287"/>
      <c r="HGT24" s="287"/>
      <c r="HGU24" s="287"/>
      <c r="HGV24" s="287"/>
      <c r="HGW24" s="287"/>
      <c r="HGX24" s="287"/>
      <c r="HGY24" s="287"/>
      <c r="HGZ24" s="287"/>
      <c r="HHA24" s="632"/>
      <c r="HHB24" s="287"/>
      <c r="HHC24" s="633"/>
      <c r="HHD24" s="287"/>
      <c r="HHE24" s="287"/>
      <c r="HHF24" s="287"/>
      <c r="HHG24" s="287"/>
      <c r="HHH24" s="287"/>
      <c r="HHI24" s="287"/>
      <c r="HHJ24" s="287"/>
      <c r="HHK24" s="287"/>
      <c r="HHL24" s="287"/>
      <c r="HHM24" s="287"/>
      <c r="HHN24" s="287"/>
      <c r="HHO24" s="287"/>
      <c r="HHP24" s="287"/>
      <c r="HHQ24" s="632"/>
      <c r="HHR24" s="287"/>
      <c r="HHS24" s="633"/>
      <c r="HHT24" s="287"/>
      <c r="HHU24" s="287"/>
      <c r="HHV24" s="287"/>
      <c r="HHW24" s="287"/>
      <c r="HHX24" s="287"/>
      <c r="HHY24" s="287"/>
      <c r="HHZ24" s="287"/>
      <c r="HIA24" s="287"/>
      <c r="HIB24" s="287"/>
      <c r="HIC24" s="287"/>
      <c r="HID24" s="287"/>
      <c r="HIE24" s="287"/>
      <c r="HIF24" s="287"/>
      <c r="HIG24" s="632"/>
      <c r="HIH24" s="287"/>
      <c r="HII24" s="633"/>
      <c r="HIJ24" s="287"/>
      <c r="HIK24" s="287"/>
      <c r="HIL24" s="287"/>
      <c r="HIM24" s="287"/>
      <c r="HIN24" s="287"/>
      <c r="HIO24" s="287"/>
      <c r="HIP24" s="287"/>
      <c r="HIQ24" s="287"/>
      <c r="HIR24" s="287"/>
      <c r="HIS24" s="287"/>
      <c r="HIT24" s="287"/>
      <c r="HIU24" s="287"/>
      <c r="HIV24" s="287"/>
      <c r="HIW24" s="632"/>
      <c r="HIX24" s="287"/>
      <c r="HIY24" s="633"/>
      <c r="HIZ24" s="287"/>
      <c r="HJA24" s="287"/>
      <c r="HJB24" s="287"/>
      <c r="HJC24" s="287"/>
      <c r="HJD24" s="287"/>
      <c r="HJE24" s="287"/>
      <c r="HJF24" s="287"/>
      <c r="HJG24" s="287"/>
      <c r="HJH24" s="287"/>
      <c r="HJI24" s="287"/>
      <c r="HJJ24" s="287"/>
      <c r="HJK24" s="287"/>
      <c r="HJL24" s="287"/>
      <c r="HJM24" s="632"/>
      <c r="HJN24" s="287"/>
      <c r="HJO24" s="633"/>
      <c r="HJP24" s="287"/>
      <c r="HJQ24" s="287"/>
      <c r="HJR24" s="287"/>
      <c r="HJS24" s="287"/>
      <c r="HJT24" s="287"/>
      <c r="HJU24" s="287"/>
      <c r="HJV24" s="287"/>
      <c r="HJW24" s="287"/>
      <c r="HJX24" s="287"/>
      <c r="HJY24" s="287"/>
      <c r="HJZ24" s="287"/>
      <c r="HKA24" s="287"/>
      <c r="HKB24" s="287"/>
      <c r="HKC24" s="632"/>
      <c r="HKD24" s="287"/>
      <c r="HKE24" s="633"/>
      <c r="HKF24" s="287"/>
      <c r="HKG24" s="287"/>
      <c r="HKH24" s="287"/>
      <c r="HKI24" s="287"/>
      <c r="HKJ24" s="287"/>
      <c r="HKK24" s="287"/>
      <c r="HKL24" s="287"/>
      <c r="HKM24" s="287"/>
      <c r="HKN24" s="287"/>
      <c r="HKO24" s="287"/>
      <c r="HKP24" s="287"/>
      <c r="HKQ24" s="287"/>
      <c r="HKR24" s="287"/>
      <c r="HKS24" s="632"/>
      <c r="HKT24" s="287"/>
      <c r="HKU24" s="633"/>
      <c r="HKV24" s="287"/>
      <c r="HKW24" s="287"/>
      <c r="HKX24" s="287"/>
      <c r="HKY24" s="287"/>
      <c r="HKZ24" s="287"/>
      <c r="HLA24" s="287"/>
      <c r="HLB24" s="287"/>
      <c r="HLC24" s="287"/>
      <c r="HLD24" s="287"/>
      <c r="HLE24" s="287"/>
      <c r="HLF24" s="287"/>
      <c r="HLG24" s="287"/>
      <c r="HLH24" s="287"/>
      <c r="HLI24" s="632"/>
      <c r="HLJ24" s="287"/>
      <c r="HLK24" s="633"/>
      <c r="HLL24" s="287"/>
      <c r="HLM24" s="287"/>
      <c r="HLN24" s="287"/>
      <c r="HLO24" s="287"/>
      <c r="HLP24" s="287"/>
      <c r="HLQ24" s="287"/>
      <c r="HLR24" s="287"/>
      <c r="HLS24" s="287"/>
      <c r="HLT24" s="287"/>
      <c r="HLU24" s="287"/>
      <c r="HLV24" s="287"/>
      <c r="HLW24" s="287"/>
      <c r="HLX24" s="287"/>
      <c r="HLY24" s="632"/>
      <c r="HLZ24" s="287"/>
      <c r="HMA24" s="633"/>
      <c r="HMB24" s="287"/>
      <c r="HMC24" s="287"/>
      <c r="HMD24" s="287"/>
      <c r="HME24" s="287"/>
      <c r="HMF24" s="287"/>
      <c r="HMG24" s="287"/>
      <c r="HMH24" s="287"/>
      <c r="HMI24" s="287"/>
      <c r="HMJ24" s="287"/>
      <c r="HMK24" s="287"/>
      <c r="HML24" s="287"/>
      <c r="HMM24" s="287"/>
      <c r="HMN24" s="287"/>
      <c r="HMO24" s="632"/>
      <c r="HMP24" s="287"/>
      <c r="HMQ24" s="633"/>
      <c r="HMR24" s="287"/>
      <c r="HMS24" s="287"/>
      <c r="HMT24" s="287"/>
      <c r="HMU24" s="287"/>
      <c r="HMV24" s="287"/>
      <c r="HMW24" s="287"/>
      <c r="HMX24" s="287"/>
      <c r="HMY24" s="287"/>
      <c r="HMZ24" s="287"/>
      <c r="HNA24" s="287"/>
      <c r="HNB24" s="287"/>
      <c r="HNC24" s="287"/>
      <c r="HND24" s="287"/>
      <c r="HNE24" s="632"/>
      <c r="HNF24" s="287"/>
      <c r="HNG24" s="633"/>
      <c r="HNH24" s="287"/>
      <c r="HNI24" s="287"/>
      <c r="HNJ24" s="287"/>
      <c r="HNK24" s="287"/>
      <c r="HNL24" s="287"/>
      <c r="HNM24" s="287"/>
      <c r="HNN24" s="287"/>
      <c r="HNO24" s="287"/>
      <c r="HNP24" s="287"/>
      <c r="HNQ24" s="287"/>
      <c r="HNR24" s="287"/>
      <c r="HNS24" s="287"/>
      <c r="HNT24" s="287"/>
      <c r="HNU24" s="632"/>
      <c r="HNV24" s="287"/>
      <c r="HNW24" s="633"/>
      <c r="HNX24" s="287"/>
      <c r="HNY24" s="287"/>
      <c r="HNZ24" s="287"/>
      <c r="HOA24" s="287"/>
      <c r="HOB24" s="287"/>
      <c r="HOC24" s="287"/>
      <c r="HOD24" s="287"/>
      <c r="HOE24" s="287"/>
      <c r="HOF24" s="287"/>
      <c r="HOG24" s="287"/>
      <c r="HOH24" s="287"/>
      <c r="HOI24" s="287"/>
      <c r="HOJ24" s="287"/>
      <c r="HOK24" s="632"/>
      <c r="HOL24" s="287"/>
      <c r="HOM24" s="633"/>
      <c r="HON24" s="287"/>
      <c r="HOO24" s="287"/>
      <c r="HOP24" s="287"/>
      <c r="HOQ24" s="287"/>
      <c r="HOR24" s="287"/>
      <c r="HOS24" s="287"/>
      <c r="HOT24" s="287"/>
      <c r="HOU24" s="287"/>
      <c r="HOV24" s="287"/>
      <c r="HOW24" s="287"/>
      <c r="HOX24" s="287"/>
      <c r="HOY24" s="287"/>
      <c r="HOZ24" s="287"/>
      <c r="HPA24" s="632"/>
      <c r="HPB24" s="287"/>
      <c r="HPC24" s="633"/>
      <c r="HPD24" s="287"/>
      <c r="HPE24" s="287"/>
      <c r="HPF24" s="287"/>
      <c r="HPG24" s="287"/>
      <c r="HPH24" s="287"/>
      <c r="HPI24" s="287"/>
      <c r="HPJ24" s="287"/>
      <c r="HPK24" s="287"/>
      <c r="HPL24" s="287"/>
      <c r="HPM24" s="287"/>
      <c r="HPN24" s="287"/>
      <c r="HPO24" s="287"/>
      <c r="HPP24" s="287"/>
      <c r="HPQ24" s="632"/>
      <c r="HPR24" s="287"/>
      <c r="HPS24" s="633"/>
      <c r="HPT24" s="287"/>
      <c r="HPU24" s="287"/>
      <c r="HPV24" s="287"/>
      <c r="HPW24" s="287"/>
      <c r="HPX24" s="287"/>
      <c r="HPY24" s="287"/>
      <c r="HPZ24" s="287"/>
      <c r="HQA24" s="287"/>
      <c r="HQB24" s="287"/>
      <c r="HQC24" s="287"/>
      <c r="HQD24" s="287"/>
      <c r="HQE24" s="287"/>
      <c r="HQF24" s="287"/>
      <c r="HQG24" s="632"/>
      <c r="HQH24" s="287"/>
      <c r="HQI24" s="633"/>
      <c r="HQJ24" s="287"/>
      <c r="HQK24" s="287"/>
      <c r="HQL24" s="287"/>
      <c r="HQM24" s="287"/>
      <c r="HQN24" s="287"/>
      <c r="HQO24" s="287"/>
      <c r="HQP24" s="287"/>
      <c r="HQQ24" s="287"/>
      <c r="HQR24" s="287"/>
      <c r="HQS24" s="287"/>
      <c r="HQT24" s="287"/>
      <c r="HQU24" s="287"/>
      <c r="HQV24" s="287"/>
      <c r="HQW24" s="632"/>
      <c r="HQX24" s="287"/>
      <c r="HQY24" s="633"/>
      <c r="HQZ24" s="287"/>
      <c r="HRA24" s="287"/>
      <c r="HRB24" s="287"/>
      <c r="HRC24" s="287"/>
      <c r="HRD24" s="287"/>
      <c r="HRE24" s="287"/>
      <c r="HRF24" s="287"/>
      <c r="HRG24" s="287"/>
      <c r="HRH24" s="287"/>
      <c r="HRI24" s="287"/>
      <c r="HRJ24" s="287"/>
      <c r="HRK24" s="287"/>
      <c r="HRL24" s="287"/>
      <c r="HRM24" s="632"/>
      <c r="HRN24" s="287"/>
      <c r="HRO24" s="633"/>
      <c r="HRP24" s="287"/>
      <c r="HRQ24" s="287"/>
      <c r="HRR24" s="287"/>
      <c r="HRS24" s="287"/>
      <c r="HRT24" s="287"/>
      <c r="HRU24" s="287"/>
      <c r="HRV24" s="287"/>
      <c r="HRW24" s="287"/>
      <c r="HRX24" s="287"/>
      <c r="HRY24" s="287"/>
      <c r="HRZ24" s="287"/>
      <c r="HSA24" s="287"/>
      <c r="HSB24" s="287"/>
      <c r="HSC24" s="632"/>
      <c r="HSD24" s="287"/>
      <c r="HSE24" s="633"/>
      <c r="HSF24" s="287"/>
      <c r="HSG24" s="287"/>
      <c r="HSH24" s="287"/>
      <c r="HSI24" s="287"/>
      <c r="HSJ24" s="287"/>
      <c r="HSK24" s="287"/>
      <c r="HSL24" s="287"/>
      <c r="HSM24" s="287"/>
      <c r="HSN24" s="287"/>
      <c r="HSO24" s="287"/>
      <c r="HSP24" s="287"/>
      <c r="HSQ24" s="287"/>
      <c r="HSR24" s="287"/>
      <c r="HSS24" s="632"/>
      <c r="HST24" s="287"/>
      <c r="HSU24" s="633"/>
      <c r="HSV24" s="287"/>
      <c r="HSW24" s="287"/>
      <c r="HSX24" s="287"/>
      <c r="HSY24" s="287"/>
      <c r="HSZ24" s="287"/>
      <c r="HTA24" s="287"/>
      <c r="HTB24" s="287"/>
      <c r="HTC24" s="287"/>
      <c r="HTD24" s="287"/>
      <c r="HTE24" s="287"/>
      <c r="HTF24" s="287"/>
      <c r="HTG24" s="287"/>
      <c r="HTH24" s="287"/>
      <c r="HTI24" s="632"/>
      <c r="HTJ24" s="287"/>
      <c r="HTK24" s="633"/>
      <c r="HTL24" s="287"/>
      <c r="HTM24" s="287"/>
      <c r="HTN24" s="287"/>
      <c r="HTO24" s="287"/>
      <c r="HTP24" s="287"/>
      <c r="HTQ24" s="287"/>
      <c r="HTR24" s="287"/>
      <c r="HTS24" s="287"/>
      <c r="HTT24" s="287"/>
      <c r="HTU24" s="287"/>
      <c r="HTV24" s="287"/>
      <c r="HTW24" s="287"/>
      <c r="HTX24" s="287"/>
      <c r="HTY24" s="632"/>
      <c r="HTZ24" s="287"/>
      <c r="HUA24" s="633"/>
      <c r="HUB24" s="287"/>
      <c r="HUC24" s="287"/>
      <c r="HUD24" s="287"/>
      <c r="HUE24" s="287"/>
      <c r="HUF24" s="287"/>
      <c r="HUG24" s="287"/>
      <c r="HUH24" s="287"/>
      <c r="HUI24" s="287"/>
      <c r="HUJ24" s="287"/>
      <c r="HUK24" s="287"/>
      <c r="HUL24" s="287"/>
      <c r="HUM24" s="287"/>
      <c r="HUN24" s="287"/>
      <c r="HUO24" s="632"/>
      <c r="HUP24" s="287"/>
      <c r="HUQ24" s="633"/>
      <c r="HUR24" s="287"/>
      <c r="HUS24" s="287"/>
      <c r="HUT24" s="287"/>
      <c r="HUU24" s="287"/>
      <c r="HUV24" s="287"/>
      <c r="HUW24" s="287"/>
      <c r="HUX24" s="287"/>
      <c r="HUY24" s="287"/>
      <c r="HUZ24" s="287"/>
      <c r="HVA24" s="287"/>
      <c r="HVB24" s="287"/>
      <c r="HVC24" s="287"/>
      <c r="HVD24" s="287"/>
      <c r="HVE24" s="632"/>
      <c r="HVF24" s="287"/>
      <c r="HVG24" s="633"/>
      <c r="HVH24" s="287"/>
      <c r="HVI24" s="287"/>
      <c r="HVJ24" s="287"/>
      <c r="HVK24" s="287"/>
      <c r="HVL24" s="287"/>
      <c r="HVM24" s="287"/>
      <c r="HVN24" s="287"/>
      <c r="HVO24" s="287"/>
      <c r="HVP24" s="287"/>
      <c r="HVQ24" s="287"/>
      <c r="HVR24" s="287"/>
      <c r="HVS24" s="287"/>
      <c r="HVT24" s="287"/>
      <c r="HVU24" s="632"/>
      <c r="HVV24" s="287"/>
      <c r="HVW24" s="633"/>
      <c r="HVX24" s="287"/>
      <c r="HVY24" s="287"/>
      <c r="HVZ24" s="287"/>
      <c r="HWA24" s="287"/>
      <c r="HWB24" s="287"/>
      <c r="HWC24" s="287"/>
      <c r="HWD24" s="287"/>
      <c r="HWE24" s="287"/>
      <c r="HWF24" s="287"/>
      <c r="HWG24" s="287"/>
      <c r="HWH24" s="287"/>
      <c r="HWI24" s="287"/>
      <c r="HWJ24" s="287"/>
      <c r="HWK24" s="632"/>
      <c r="HWL24" s="287"/>
      <c r="HWM24" s="633"/>
      <c r="HWN24" s="287"/>
      <c r="HWO24" s="287"/>
      <c r="HWP24" s="287"/>
      <c r="HWQ24" s="287"/>
      <c r="HWR24" s="287"/>
      <c r="HWS24" s="287"/>
      <c r="HWT24" s="287"/>
      <c r="HWU24" s="287"/>
      <c r="HWV24" s="287"/>
      <c r="HWW24" s="287"/>
      <c r="HWX24" s="287"/>
      <c r="HWY24" s="287"/>
      <c r="HWZ24" s="287"/>
      <c r="HXA24" s="632"/>
      <c r="HXB24" s="287"/>
      <c r="HXC24" s="633"/>
      <c r="HXD24" s="287"/>
      <c r="HXE24" s="287"/>
      <c r="HXF24" s="287"/>
      <c r="HXG24" s="287"/>
      <c r="HXH24" s="287"/>
      <c r="HXI24" s="287"/>
      <c r="HXJ24" s="287"/>
      <c r="HXK24" s="287"/>
      <c r="HXL24" s="287"/>
      <c r="HXM24" s="287"/>
      <c r="HXN24" s="287"/>
      <c r="HXO24" s="287"/>
      <c r="HXP24" s="287"/>
      <c r="HXQ24" s="632"/>
      <c r="HXR24" s="287"/>
      <c r="HXS24" s="633"/>
      <c r="HXT24" s="287"/>
      <c r="HXU24" s="287"/>
      <c r="HXV24" s="287"/>
      <c r="HXW24" s="287"/>
      <c r="HXX24" s="287"/>
      <c r="HXY24" s="287"/>
      <c r="HXZ24" s="287"/>
      <c r="HYA24" s="287"/>
      <c r="HYB24" s="287"/>
      <c r="HYC24" s="287"/>
      <c r="HYD24" s="287"/>
      <c r="HYE24" s="287"/>
      <c r="HYF24" s="287"/>
      <c r="HYG24" s="632"/>
      <c r="HYH24" s="287"/>
      <c r="HYI24" s="633"/>
      <c r="HYJ24" s="287"/>
      <c r="HYK24" s="287"/>
      <c r="HYL24" s="287"/>
      <c r="HYM24" s="287"/>
      <c r="HYN24" s="287"/>
      <c r="HYO24" s="287"/>
      <c r="HYP24" s="287"/>
      <c r="HYQ24" s="287"/>
      <c r="HYR24" s="287"/>
      <c r="HYS24" s="287"/>
      <c r="HYT24" s="287"/>
      <c r="HYU24" s="287"/>
      <c r="HYV24" s="287"/>
      <c r="HYW24" s="632"/>
      <c r="HYX24" s="287"/>
      <c r="HYY24" s="633"/>
      <c r="HYZ24" s="287"/>
      <c r="HZA24" s="287"/>
      <c r="HZB24" s="287"/>
      <c r="HZC24" s="287"/>
      <c r="HZD24" s="287"/>
      <c r="HZE24" s="287"/>
      <c r="HZF24" s="287"/>
      <c r="HZG24" s="287"/>
      <c r="HZH24" s="287"/>
      <c r="HZI24" s="287"/>
      <c r="HZJ24" s="287"/>
      <c r="HZK24" s="287"/>
      <c r="HZL24" s="287"/>
      <c r="HZM24" s="632"/>
      <c r="HZN24" s="287"/>
      <c r="HZO24" s="633"/>
      <c r="HZP24" s="287"/>
      <c r="HZQ24" s="287"/>
      <c r="HZR24" s="287"/>
      <c r="HZS24" s="287"/>
      <c r="HZT24" s="287"/>
      <c r="HZU24" s="287"/>
      <c r="HZV24" s="287"/>
      <c r="HZW24" s="287"/>
      <c r="HZX24" s="287"/>
      <c r="HZY24" s="287"/>
      <c r="HZZ24" s="287"/>
      <c r="IAA24" s="287"/>
      <c r="IAB24" s="287"/>
      <c r="IAC24" s="632"/>
      <c r="IAD24" s="287"/>
      <c r="IAE24" s="633"/>
      <c r="IAF24" s="287"/>
      <c r="IAG24" s="287"/>
      <c r="IAH24" s="287"/>
      <c r="IAI24" s="287"/>
      <c r="IAJ24" s="287"/>
      <c r="IAK24" s="287"/>
      <c r="IAL24" s="287"/>
      <c r="IAM24" s="287"/>
      <c r="IAN24" s="287"/>
      <c r="IAO24" s="287"/>
      <c r="IAP24" s="287"/>
      <c r="IAQ24" s="287"/>
      <c r="IAR24" s="287"/>
      <c r="IAS24" s="632"/>
      <c r="IAT24" s="287"/>
      <c r="IAU24" s="633"/>
      <c r="IAV24" s="287"/>
      <c r="IAW24" s="287"/>
      <c r="IAX24" s="287"/>
      <c r="IAY24" s="287"/>
      <c r="IAZ24" s="287"/>
      <c r="IBA24" s="287"/>
      <c r="IBB24" s="287"/>
      <c r="IBC24" s="287"/>
      <c r="IBD24" s="287"/>
      <c r="IBE24" s="287"/>
      <c r="IBF24" s="287"/>
      <c r="IBG24" s="287"/>
      <c r="IBH24" s="287"/>
      <c r="IBI24" s="632"/>
      <c r="IBJ24" s="287"/>
      <c r="IBK24" s="633"/>
      <c r="IBL24" s="287"/>
      <c r="IBM24" s="287"/>
      <c r="IBN24" s="287"/>
      <c r="IBO24" s="287"/>
      <c r="IBP24" s="287"/>
      <c r="IBQ24" s="287"/>
      <c r="IBR24" s="287"/>
      <c r="IBS24" s="287"/>
      <c r="IBT24" s="287"/>
      <c r="IBU24" s="287"/>
      <c r="IBV24" s="287"/>
      <c r="IBW24" s="287"/>
      <c r="IBX24" s="287"/>
      <c r="IBY24" s="632"/>
      <c r="IBZ24" s="287"/>
      <c r="ICA24" s="633"/>
      <c r="ICB24" s="287"/>
      <c r="ICC24" s="287"/>
      <c r="ICD24" s="287"/>
      <c r="ICE24" s="287"/>
      <c r="ICF24" s="287"/>
      <c r="ICG24" s="287"/>
      <c r="ICH24" s="287"/>
      <c r="ICI24" s="287"/>
      <c r="ICJ24" s="287"/>
      <c r="ICK24" s="287"/>
      <c r="ICL24" s="287"/>
      <c r="ICM24" s="287"/>
      <c r="ICN24" s="287"/>
      <c r="ICO24" s="632"/>
      <c r="ICP24" s="287"/>
      <c r="ICQ24" s="633"/>
      <c r="ICR24" s="287"/>
      <c r="ICS24" s="287"/>
      <c r="ICT24" s="287"/>
      <c r="ICU24" s="287"/>
      <c r="ICV24" s="287"/>
      <c r="ICW24" s="287"/>
      <c r="ICX24" s="287"/>
      <c r="ICY24" s="287"/>
      <c r="ICZ24" s="287"/>
      <c r="IDA24" s="287"/>
      <c r="IDB24" s="287"/>
      <c r="IDC24" s="287"/>
      <c r="IDD24" s="287"/>
      <c r="IDE24" s="632"/>
      <c r="IDF24" s="287"/>
      <c r="IDG24" s="633"/>
      <c r="IDH24" s="287"/>
      <c r="IDI24" s="287"/>
      <c r="IDJ24" s="287"/>
      <c r="IDK24" s="287"/>
      <c r="IDL24" s="287"/>
      <c r="IDM24" s="287"/>
      <c r="IDN24" s="287"/>
      <c r="IDO24" s="287"/>
      <c r="IDP24" s="287"/>
      <c r="IDQ24" s="287"/>
      <c r="IDR24" s="287"/>
      <c r="IDS24" s="287"/>
      <c r="IDT24" s="287"/>
      <c r="IDU24" s="632"/>
      <c r="IDV24" s="287"/>
      <c r="IDW24" s="633"/>
      <c r="IDX24" s="287"/>
      <c r="IDY24" s="287"/>
      <c r="IDZ24" s="287"/>
      <c r="IEA24" s="287"/>
      <c r="IEB24" s="287"/>
      <c r="IEC24" s="287"/>
      <c r="IED24" s="287"/>
      <c r="IEE24" s="287"/>
      <c r="IEF24" s="287"/>
      <c r="IEG24" s="287"/>
      <c r="IEH24" s="287"/>
      <c r="IEI24" s="287"/>
      <c r="IEJ24" s="287"/>
      <c r="IEK24" s="632"/>
      <c r="IEL24" s="287"/>
      <c r="IEM24" s="633"/>
      <c r="IEN24" s="287"/>
      <c r="IEO24" s="287"/>
      <c r="IEP24" s="287"/>
      <c r="IEQ24" s="287"/>
      <c r="IER24" s="287"/>
      <c r="IES24" s="287"/>
      <c r="IET24" s="287"/>
      <c r="IEU24" s="287"/>
      <c r="IEV24" s="287"/>
      <c r="IEW24" s="287"/>
      <c r="IEX24" s="287"/>
      <c r="IEY24" s="287"/>
      <c r="IEZ24" s="287"/>
      <c r="IFA24" s="632"/>
      <c r="IFB24" s="287"/>
      <c r="IFC24" s="633"/>
      <c r="IFD24" s="287"/>
      <c r="IFE24" s="287"/>
      <c r="IFF24" s="287"/>
      <c r="IFG24" s="287"/>
      <c r="IFH24" s="287"/>
      <c r="IFI24" s="287"/>
      <c r="IFJ24" s="287"/>
      <c r="IFK24" s="287"/>
      <c r="IFL24" s="287"/>
      <c r="IFM24" s="287"/>
      <c r="IFN24" s="287"/>
      <c r="IFO24" s="287"/>
      <c r="IFP24" s="287"/>
      <c r="IFQ24" s="632"/>
      <c r="IFR24" s="287"/>
      <c r="IFS24" s="633"/>
      <c r="IFT24" s="287"/>
      <c r="IFU24" s="287"/>
      <c r="IFV24" s="287"/>
      <c r="IFW24" s="287"/>
      <c r="IFX24" s="287"/>
      <c r="IFY24" s="287"/>
      <c r="IFZ24" s="287"/>
      <c r="IGA24" s="287"/>
      <c r="IGB24" s="287"/>
      <c r="IGC24" s="287"/>
      <c r="IGD24" s="287"/>
      <c r="IGE24" s="287"/>
      <c r="IGF24" s="287"/>
      <c r="IGG24" s="632"/>
      <c r="IGH24" s="287"/>
      <c r="IGI24" s="633"/>
      <c r="IGJ24" s="287"/>
      <c r="IGK24" s="287"/>
      <c r="IGL24" s="287"/>
      <c r="IGM24" s="287"/>
      <c r="IGN24" s="287"/>
      <c r="IGO24" s="287"/>
      <c r="IGP24" s="287"/>
      <c r="IGQ24" s="287"/>
      <c r="IGR24" s="287"/>
      <c r="IGS24" s="287"/>
      <c r="IGT24" s="287"/>
      <c r="IGU24" s="287"/>
      <c r="IGV24" s="287"/>
      <c r="IGW24" s="632"/>
      <c r="IGX24" s="287"/>
      <c r="IGY24" s="633"/>
      <c r="IGZ24" s="287"/>
      <c r="IHA24" s="287"/>
      <c r="IHB24" s="287"/>
      <c r="IHC24" s="287"/>
      <c r="IHD24" s="287"/>
      <c r="IHE24" s="287"/>
      <c r="IHF24" s="287"/>
      <c r="IHG24" s="287"/>
      <c r="IHH24" s="287"/>
      <c r="IHI24" s="287"/>
      <c r="IHJ24" s="287"/>
      <c r="IHK24" s="287"/>
      <c r="IHL24" s="287"/>
      <c r="IHM24" s="632"/>
      <c r="IHN24" s="287"/>
      <c r="IHO24" s="633"/>
      <c r="IHP24" s="287"/>
      <c r="IHQ24" s="287"/>
      <c r="IHR24" s="287"/>
      <c r="IHS24" s="287"/>
      <c r="IHT24" s="287"/>
      <c r="IHU24" s="287"/>
      <c r="IHV24" s="287"/>
      <c r="IHW24" s="287"/>
      <c r="IHX24" s="287"/>
      <c r="IHY24" s="287"/>
      <c r="IHZ24" s="287"/>
      <c r="IIA24" s="287"/>
      <c r="IIB24" s="287"/>
      <c r="IIC24" s="632"/>
      <c r="IID24" s="287"/>
      <c r="IIE24" s="633"/>
      <c r="IIF24" s="287"/>
      <c r="IIG24" s="287"/>
      <c r="IIH24" s="287"/>
      <c r="III24" s="287"/>
      <c r="IIJ24" s="287"/>
      <c r="IIK24" s="287"/>
      <c r="IIL24" s="287"/>
      <c r="IIM24" s="287"/>
      <c r="IIN24" s="287"/>
      <c r="IIO24" s="287"/>
      <c r="IIP24" s="287"/>
      <c r="IIQ24" s="287"/>
      <c r="IIR24" s="287"/>
      <c r="IIS24" s="632"/>
      <c r="IIT24" s="287"/>
      <c r="IIU24" s="633"/>
      <c r="IIV24" s="287"/>
      <c r="IIW24" s="287"/>
      <c r="IIX24" s="287"/>
      <c r="IIY24" s="287"/>
      <c r="IIZ24" s="287"/>
      <c r="IJA24" s="287"/>
      <c r="IJB24" s="287"/>
      <c r="IJC24" s="287"/>
      <c r="IJD24" s="287"/>
      <c r="IJE24" s="287"/>
      <c r="IJF24" s="287"/>
      <c r="IJG24" s="287"/>
      <c r="IJH24" s="287"/>
      <c r="IJI24" s="632"/>
      <c r="IJJ24" s="287"/>
      <c r="IJK24" s="633"/>
      <c r="IJL24" s="287"/>
      <c r="IJM24" s="287"/>
      <c r="IJN24" s="287"/>
      <c r="IJO24" s="287"/>
      <c r="IJP24" s="287"/>
      <c r="IJQ24" s="287"/>
      <c r="IJR24" s="287"/>
      <c r="IJS24" s="287"/>
      <c r="IJT24" s="287"/>
      <c r="IJU24" s="287"/>
      <c r="IJV24" s="287"/>
      <c r="IJW24" s="287"/>
      <c r="IJX24" s="287"/>
      <c r="IJY24" s="632"/>
      <c r="IJZ24" s="287"/>
      <c r="IKA24" s="633"/>
      <c r="IKB24" s="287"/>
      <c r="IKC24" s="287"/>
      <c r="IKD24" s="287"/>
      <c r="IKE24" s="287"/>
      <c r="IKF24" s="287"/>
      <c r="IKG24" s="287"/>
      <c r="IKH24" s="287"/>
      <c r="IKI24" s="287"/>
      <c r="IKJ24" s="287"/>
      <c r="IKK24" s="287"/>
      <c r="IKL24" s="287"/>
      <c r="IKM24" s="287"/>
      <c r="IKN24" s="287"/>
      <c r="IKO24" s="632"/>
      <c r="IKP24" s="287"/>
      <c r="IKQ24" s="633"/>
      <c r="IKR24" s="287"/>
      <c r="IKS24" s="287"/>
      <c r="IKT24" s="287"/>
      <c r="IKU24" s="287"/>
      <c r="IKV24" s="287"/>
      <c r="IKW24" s="287"/>
      <c r="IKX24" s="287"/>
      <c r="IKY24" s="287"/>
      <c r="IKZ24" s="287"/>
      <c r="ILA24" s="287"/>
      <c r="ILB24" s="287"/>
      <c r="ILC24" s="287"/>
      <c r="ILD24" s="287"/>
      <c r="ILE24" s="632"/>
      <c r="ILF24" s="287"/>
      <c r="ILG24" s="633"/>
      <c r="ILH24" s="287"/>
      <c r="ILI24" s="287"/>
      <c r="ILJ24" s="287"/>
      <c r="ILK24" s="287"/>
      <c r="ILL24" s="287"/>
      <c r="ILM24" s="287"/>
      <c r="ILN24" s="287"/>
      <c r="ILO24" s="287"/>
      <c r="ILP24" s="287"/>
      <c r="ILQ24" s="287"/>
      <c r="ILR24" s="287"/>
      <c r="ILS24" s="287"/>
      <c r="ILT24" s="287"/>
      <c r="ILU24" s="632"/>
      <c r="ILV24" s="287"/>
      <c r="ILW24" s="633"/>
      <c r="ILX24" s="287"/>
      <c r="ILY24" s="287"/>
      <c r="ILZ24" s="287"/>
      <c r="IMA24" s="287"/>
      <c r="IMB24" s="287"/>
      <c r="IMC24" s="287"/>
      <c r="IMD24" s="287"/>
      <c r="IME24" s="287"/>
      <c r="IMF24" s="287"/>
      <c r="IMG24" s="287"/>
      <c r="IMH24" s="287"/>
      <c r="IMI24" s="287"/>
      <c r="IMJ24" s="287"/>
      <c r="IMK24" s="632"/>
      <c r="IML24" s="287"/>
      <c r="IMM24" s="633"/>
      <c r="IMN24" s="287"/>
      <c r="IMO24" s="287"/>
      <c r="IMP24" s="287"/>
      <c r="IMQ24" s="287"/>
      <c r="IMR24" s="287"/>
      <c r="IMS24" s="287"/>
      <c r="IMT24" s="287"/>
      <c r="IMU24" s="287"/>
      <c r="IMV24" s="287"/>
      <c r="IMW24" s="287"/>
      <c r="IMX24" s="287"/>
      <c r="IMY24" s="287"/>
      <c r="IMZ24" s="287"/>
      <c r="INA24" s="632"/>
      <c r="INB24" s="287"/>
      <c r="INC24" s="633"/>
      <c r="IND24" s="287"/>
      <c r="INE24" s="287"/>
      <c r="INF24" s="287"/>
      <c r="ING24" s="287"/>
      <c r="INH24" s="287"/>
      <c r="INI24" s="287"/>
      <c r="INJ24" s="287"/>
      <c r="INK24" s="287"/>
      <c r="INL24" s="287"/>
      <c r="INM24" s="287"/>
      <c r="INN24" s="287"/>
      <c r="INO24" s="287"/>
      <c r="INP24" s="287"/>
      <c r="INQ24" s="632"/>
      <c r="INR24" s="287"/>
      <c r="INS24" s="633"/>
      <c r="INT24" s="287"/>
      <c r="INU24" s="287"/>
      <c r="INV24" s="287"/>
      <c r="INW24" s="287"/>
      <c r="INX24" s="287"/>
      <c r="INY24" s="287"/>
      <c r="INZ24" s="287"/>
      <c r="IOA24" s="287"/>
      <c r="IOB24" s="287"/>
      <c r="IOC24" s="287"/>
      <c r="IOD24" s="287"/>
      <c r="IOE24" s="287"/>
      <c r="IOF24" s="287"/>
      <c r="IOG24" s="632"/>
      <c r="IOH24" s="287"/>
      <c r="IOI24" s="633"/>
      <c r="IOJ24" s="287"/>
      <c r="IOK24" s="287"/>
      <c r="IOL24" s="287"/>
      <c r="IOM24" s="287"/>
      <c r="ION24" s="287"/>
      <c r="IOO24" s="287"/>
      <c r="IOP24" s="287"/>
      <c r="IOQ24" s="287"/>
      <c r="IOR24" s="287"/>
      <c r="IOS24" s="287"/>
      <c r="IOT24" s="287"/>
      <c r="IOU24" s="287"/>
      <c r="IOV24" s="287"/>
      <c r="IOW24" s="632"/>
      <c r="IOX24" s="287"/>
      <c r="IOY24" s="633"/>
      <c r="IOZ24" s="287"/>
      <c r="IPA24" s="287"/>
      <c r="IPB24" s="287"/>
      <c r="IPC24" s="287"/>
      <c r="IPD24" s="287"/>
      <c r="IPE24" s="287"/>
      <c r="IPF24" s="287"/>
      <c r="IPG24" s="287"/>
      <c r="IPH24" s="287"/>
      <c r="IPI24" s="287"/>
      <c r="IPJ24" s="287"/>
      <c r="IPK24" s="287"/>
      <c r="IPL24" s="287"/>
      <c r="IPM24" s="632"/>
      <c r="IPN24" s="287"/>
      <c r="IPO24" s="633"/>
      <c r="IPP24" s="287"/>
      <c r="IPQ24" s="287"/>
      <c r="IPR24" s="287"/>
      <c r="IPS24" s="287"/>
      <c r="IPT24" s="287"/>
      <c r="IPU24" s="287"/>
      <c r="IPV24" s="287"/>
      <c r="IPW24" s="287"/>
      <c r="IPX24" s="287"/>
      <c r="IPY24" s="287"/>
      <c r="IPZ24" s="287"/>
      <c r="IQA24" s="287"/>
      <c r="IQB24" s="287"/>
      <c r="IQC24" s="632"/>
      <c r="IQD24" s="287"/>
      <c r="IQE24" s="633"/>
      <c r="IQF24" s="287"/>
      <c r="IQG24" s="287"/>
      <c r="IQH24" s="287"/>
      <c r="IQI24" s="287"/>
      <c r="IQJ24" s="287"/>
      <c r="IQK24" s="287"/>
      <c r="IQL24" s="287"/>
      <c r="IQM24" s="287"/>
      <c r="IQN24" s="287"/>
      <c r="IQO24" s="287"/>
      <c r="IQP24" s="287"/>
      <c r="IQQ24" s="287"/>
      <c r="IQR24" s="287"/>
      <c r="IQS24" s="632"/>
      <c r="IQT24" s="287"/>
      <c r="IQU24" s="633"/>
      <c r="IQV24" s="287"/>
      <c r="IQW24" s="287"/>
      <c r="IQX24" s="287"/>
      <c r="IQY24" s="287"/>
      <c r="IQZ24" s="287"/>
      <c r="IRA24" s="287"/>
      <c r="IRB24" s="287"/>
      <c r="IRC24" s="287"/>
      <c r="IRD24" s="287"/>
      <c r="IRE24" s="287"/>
      <c r="IRF24" s="287"/>
      <c r="IRG24" s="287"/>
      <c r="IRH24" s="287"/>
      <c r="IRI24" s="632"/>
      <c r="IRJ24" s="287"/>
      <c r="IRK24" s="633"/>
      <c r="IRL24" s="287"/>
      <c r="IRM24" s="287"/>
      <c r="IRN24" s="287"/>
      <c r="IRO24" s="287"/>
      <c r="IRP24" s="287"/>
      <c r="IRQ24" s="287"/>
      <c r="IRR24" s="287"/>
      <c r="IRS24" s="287"/>
      <c r="IRT24" s="287"/>
      <c r="IRU24" s="287"/>
      <c r="IRV24" s="287"/>
      <c r="IRW24" s="287"/>
      <c r="IRX24" s="287"/>
      <c r="IRY24" s="632"/>
      <c r="IRZ24" s="287"/>
      <c r="ISA24" s="633"/>
      <c r="ISB24" s="287"/>
      <c r="ISC24" s="287"/>
      <c r="ISD24" s="287"/>
      <c r="ISE24" s="287"/>
      <c r="ISF24" s="287"/>
      <c r="ISG24" s="287"/>
      <c r="ISH24" s="287"/>
      <c r="ISI24" s="287"/>
      <c r="ISJ24" s="287"/>
      <c r="ISK24" s="287"/>
      <c r="ISL24" s="287"/>
      <c r="ISM24" s="287"/>
      <c r="ISN24" s="287"/>
      <c r="ISO24" s="632"/>
      <c r="ISP24" s="287"/>
      <c r="ISQ24" s="633"/>
      <c r="ISR24" s="287"/>
      <c r="ISS24" s="287"/>
      <c r="IST24" s="287"/>
      <c r="ISU24" s="287"/>
      <c r="ISV24" s="287"/>
      <c r="ISW24" s="287"/>
      <c r="ISX24" s="287"/>
      <c r="ISY24" s="287"/>
      <c r="ISZ24" s="287"/>
      <c r="ITA24" s="287"/>
      <c r="ITB24" s="287"/>
      <c r="ITC24" s="287"/>
      <c r="ITD24" s="287"/>
      <c r="ITE24" s="632"/>
      <c r="ITF24" s="287"/>
      <c r="ITG24" s="633"/>
      <c r="ITH24" s="287"/>
      <c r="ITI24" s="287"/>
      <c r="ITJ24" s="287"/>
      <c r="ITK24" s="287"/>
      <c r="ITL24" s="287"/>
      <c r="ITM24" s="287"/>
      <c r="ITN24" s="287"/>
      <c r="ITO24" s="287"/>
      <c r="ITP24" s="287"/>
      <c r="ITQ24" s="287"/>
      <c r="ITR24" s="287"/>
      <c r="ITS24" s="287"/>
      <c r="ITT24" s="287"/>
      <c r="ITU24" s="632"/>
      <c r="ITV24" s="287"/>
      <c r="ITW24" s="633"/>
      <c r="ITX24" s="287"/>
      <c r="ITY24" s="287"/>
      <c r="ITZ24" s="287"/>
      <c r="IUA24" s="287"/>
      <c r="IUB24" s="287"/>
      <c r="IUC24" s="287"/>
      <c r="IUD24" s="287"/>
      <c r="IUE24" s="287"/>
      <c r="IUF24" s="287"/>
      <c r="IUG24" s="287"/>
      <c r="IUH24" s="287"/>
      <c r="IUI24" s="287"/>
      <c r="IUJ24" s="287"/>
      <c r="IUK24" s="632"/>
      <c r="IUL24" s="287"/>
      <c r="IUM24" s="633"/>
      <c r="IUN24" s="287"/>
      <c r="IUO24" s="287"/>
      <c r="IUP24" s="287"/>
      <c r="IUQ24" s="287"/>
      <c r="IUR24" s="287"/>
      <c r="IUS24" s="287"/>
      <c r="IUT24" s="287"/>
      <c r="IUU24" s="287"/>
      <c r="IUV24" s="287"/>
      <c r="IUW24" s="287"/>
      <c r="IUX24" s="287"/>
      <c r="IUY24" s="287"/>
      <c r="IUZ24" s="287"/>
      <c r="IVA24" s="632"/>
      <c r="IVB24" s="287"/>
      <c r="IVC24" s="633"/>
      <c r="IVD24" s="287"/>
      <c r="IVE24" s="287"/>
      <c r="IVF24" s="287"/>
      <c r="IVG24" s="287"/>
      <c r="IVH24" s="287"/>
      <c r="IVI24" s="287"/>
      <c r="IVJ24" s="287"/>
      <c r="IVK24" s="287"/>
      <c r="IVL24" s="287"/>
      <c r="IVM24" s="287"/>
      <c r="IVN24" s="287"/>
      <c r="IVO24" s="287"/>
      <c r="IVP24" s="287"/>
      <c r="IVQ24" s="632"/>
      <c r="IVR24" s="287"/>
      <c r="IVS24" s="633"/>
      <c r="IVT24" s="287"/>
      <c r="IVU24" s="287"/>
      <c r="IVV24" s="287"/>
      <c r="IVW24" s="287"/>
      <c r="IVX24" s="287"/>
      <c r="IVY24" s="287"/>
      <c r="IVZ24" s="287"/>
      <c r="IWA24" s="287"/>
      <c r="IWB24" s="287"/>
      <c r="IWC24" s="287"/>
      <c r="IWD24" s="287"/>
      <c r="IWE24" s="287"/>
      <c r="IWF24" s="287"/>
      <c r="IWG24" s="632"/>
      <c r="IWH24" s="287"/>
      <c r="IWI24" s="633"/>
      <c r="IWJ24" s="287"/>
      <c r="IWK24" s="287"/>
      <c r="IWL24" s="287"/>
      <c r="IWM24" s="287"/>
      <c r="IWN24" s="287"/>
      <c r="IWO24" s="287"/>
      <c r="IWP24" s="287"/>
      <c r="IWQ24" s="287"/>
      <c r="IWR24" s="287"/>
      <c r="IWS24" s="287"/>
      <c r="IWT24" s="287"/>
      <c r="IWU24" s="287"/>
      <c r="IWV24" s="287"/>
      <c r="IWW24" s="632"/>
      <c r="IWX24" s="287"/>
      <c r="IWY24" s="633"/>
      <c r="IWZ24" s="287"/>
      <c r="IXA24" s="287"/>
      <c r="IXB24" s="287"/>
      <c r="IXC24" s="287"/>
      <c r="IXD24" s="287"/>
      <c r="IXE24" s="287"/>
      <c r="IXF24" s="287"/>
      <c r="IXG24" s="287"/>
      <c r="IXH24" s="287"/>
      <c r="IXI24" s="287"/>
      <c r="IXJ24" s="287"/>
      <c r="IXK24" s="287"/>
      <c r="IXL24" s="287"/>
      <c r="IXM24" s="632"/>
      <c r="IXN24" s="287"/>
      <c r="IXO24" s="633"/>
      <c r="IXP24" s="287"/>
      <c r="IXQ24" s="287"/>
      <c r="IXR24" s="287"/>
      <c r="IXS24" s="287"/>
      <c r="IXT24" s="287"/>
      <c r="IXU24" s="287"/>
      <c r="IXV24" s="287"/>
      <c r="IXW24" s="287"/>
      <c r="IXX24" s="287"/>
      <c r="IXY24" s="287"/>
      <c r="IXZ24" s="287"/>
      <c r="IYA24" s="287"/>
      <c r="IYB24" s="287"/>
      <c r="IYC24" s="632"/>
      <c r="IYD24" s="287"/>
      <c r="IYE24" s="633"/>
      <c r="IYF24" s="287"/>
      <c r="IYG24" s="287"/>
      <c r="IYH24" s="287"/>
      <c r="IYI24" s="287"/>
      <c r="IYJ24" s="287"/>
      <c r="IYK24" s="287"/>
      <c r="IYL24" s="287"/>
      <c r="IYM24" s="287"/>
      <c r="IYN24" s="287"/>
      <c r="IYO24" s="287"/>
      <c r="IYP24" s="287"/>
      <c r="IYQ24" s="287"/>
      <c r="IYR24" s="287"/>
      <c r="IYS24" s="632"/>
      <c r="IYT24" s="287"/>
      <c r="IYU24" s="633"/>
      <c r="IYV24" s="287"/>
      <c r="IYW24" s="287"/>
      <c r="IYX24" s="287"/>
      <c r="IYY24" s="287"/>
      <c r="IYZ24" s="287"/>
      <c r="IZA24" s="287"/>
      <c r="IZB24" s="287"/>
      <c r="IZC24" s="287"/>
      <c r="IZD24" s="287"/>
      <c r="IZE24" s="287"/>
      <c r="IZF24" s="287"/>
      <c r="IZG24" s="287"/>
      <c r="IZH24" s="287"/>
      <c r="IZI24" s="632"/>
      <c r="IZJ24" s="287"/>
      <c r="IZK24" s="633"/>
      <c r="IZL24" s="287"/>
      <c r="IZM24" s="287"/>
      <c r="IZN24" s="287"/>
      <c r="IZO24" s="287"/>
      <c r="IZP24" s="287"/>
      <c r="IZQ24" s="287"/>
      <c r="IZR24" s="287"/>
      <c r="IZS24" s="287"/>
      <c r="IZT24" s="287"/>
      <c r="IZU24" s="287"/>
      <c r="IZV24" s="287"/>
      <c r="IZW24" s="287"/>
      <c r="IZX24" s="287"/>
      <c r="IZY24" s="632"/>
      <c r="IZZ24" s="287"/>
      <c r="JAA24" s="633"/>
      <c r="JAB24" s="287"/>
      <c r="JAC24" s="287"/>
      <c r="JAD24" s="287"/>
      <c r="JAE24" s="287"/>
      <c r="JAF24" s="287"/>
      <c r="JAG24" s="287"/>
      <c r="JAH24" s="287"/>
      <c r="JAI24" s="287"/>
      <c r="JAJ24" s="287"/>
      <c r="JAK24" s="287"/>
      <c r="JAL24" s="287"/>
      <c r="JAM24" s="287"/>
      <c r="JAN24" s="287"/>
      <c r="JAO24" s="632"/>
      <c r="JAP24" s="287"/>
      <c r="JAQ24" s="633"/>
      <c r="JAR24" s="287"/>
      <c r="JAS24" s="287"/>
      <c r="JAT24" s="287"/>
      <c r="JAU24" s="287"/>
      <c r="JAV24" s="287"/>
      <c r="JAW24" s="287"/>
      <c r="JAX24" s="287"/>
      <c r="JAY24" s="287"/>
      <c r="JAZ24" s="287"/>
      <c r="JBA24" s="287"/>
      <c r="JBB24" s="287"/>
      <c r="JBC24" s="287"/>
      <c r="JBD24" s="287"/>
      <c r="JBE24" s="632"/>
      <c r="JBF24" s="287"/>
      <c r="JBG24" s="633"/>
      <c r="JBH24" s="287"/>
      <c r="JBI24" s="287"/>
      <c r="JBJ24" s="287"/>
      <c r="JBK24" s="287"/>
      <c r="JBL24" s="287"/>
      <c r="JBM24" s="287"/>
      <c r="JBN24" s="287"/>
      <c r="JBO24" s="287"/>
      <c r="JBP24" s="287"/>
      <c r="JBQ24" s="287"/>
      <c r="JBR24" s="287"/>
      <c r="JBS24" s="287"/>
      <c r="JBT24" s="287"/>
      <c r="JBU24" s="632"/>
      <c r="JBV24" s="287"/>
      <c r="JBW24" s="633"/>
      <c r="JBX24" s="287"/>
      <c r="JBY24" s="287"/>
      <c r="JBZ24" s="287"/>
      <c r="JCA24" s="287"/>
      <c r="JCB24" s="287"/>
      <c r="JCC24" s="287"/>
      <c r="JCD24" s="287"/>
      <c r="JCE24" s="287"/>
      <c r="JCF24" s="287"/>
      <c r="JCG24" s="287"/>
      <c r="JCH24" s="287"/>
      <c r="JCI24" s="287"/>
      <c r="JCJ24" s="287"/>
      <c r="JCK24" s="632"/>
      <c r="JCL24" s="287"/>
      <c r="JCM24" s="633"/>
      <c r="JCN24" s="287"/>
      <c r="JCO24" s="287"/>
      <c r="JCP24" s="287"/>
      <c r="JCQ24" s="287"/>
      <c r="JCR24" s="287"/>
      <c r="JCS24" s="287"/>
      <c r="JCT24" s="287"/>
      <c r="JCU24" s="287"/>
      <c r="JCV24" s="287"/>
      <c r="JCW24" s="287"/>
      <c r="JCX24" s="287"/>
      <c r="JCY24" s="287"/>
      <c r="JCZ24" s="287"/>
      <c r="JDA24" s="632"/>
      <c r="JDB24" s="287"/>
      <c r="JDC24" s="633"/>
      <c r="JDD24" s="287"/>
      <c r="JDE24" s="287"/>
      <c r="JDF24" s="287"/>
      <c r="JDG24" s="287"/>
      <c r="JDH24" s="287"/>
      <c r="JDI24" s="287"/>
      <c r="JDJ24" s="287"/>
      <c r="JDK24" s="287"/>
      <c r="JDL24" s="287"/>
      <c r="JDM24" s="287"/>
      <c r="JDN24" s="287"/>
      <c r="JDO24" s="287"/>
      <c r="JDP24" s="287"/>
      <c r="JDQ24" s="632"/>
      <c r="JDR24" s="287"/>
      <c r="JDS24" s="633"/>
      <c r="JDT24" s="287"/>
      <c r="JDU24" s="287"/>
      <c r="JDV24" s="287"/>
      <c r="JDW24" s="287"/>
      <c r="JDX24" s="287"/>
      <c r="JDY24" s="287"/>
      <c r="JDZ24" s="287"/>
      <c r="JEA24" s="287"/>
      <c r="JEB24" s="287"/>
      <c r="JEC24" s="287"/>
      <c r="JED24" s="287"/>
      <c r="JEE24" s="287"/>
      <c r="JEF24" s="287"/>
      <c r="JEG24" s="632"/>
      <c r="JEH24" s="287"/>
      <c r="JEI24" s="633"/>
      <c r="JEJ24" s="287"/>
      <c r="JEK24" s="287"/>
      <c r="JEL24" s="287"/>
      <c r="JEM24" s="287"/>
      <c r="JEN24" s="287"/>
      <c r="JEO24" s="287"/>
      <c r="JEP24" s="287"/>
      <c r="JEQ24" s="287"/>
      <c r="JER24" s="287"/>
      <c r="JES24" s="287"/>
      <c r="JET24" s="287"/>
      <c r="JEU24" s="287"/>
      <c r="JEV24" s="287"/>
      <c r="JEW24" s="632"/>
      <c r="JEX24" s="287"/>
      <c r="JEY24" s="633"/>
      <c r="JEZ24" s="287"/>
      <c r="JFA24" s="287"/>
      <c r="JFB24" s="287"/>
      <c r="JFC24" s="287"/>
      <c r="JFD24" s="287"/>
      <c r="JFE24" s="287"/>
      <c r="JFF24" s="287"/>
      <c r="JFG24" s="287"/>
      <c r="JFH24" s="287"/>
      <c r="JFI24" s="287"/>
      <c r="JFJ24" s="287"/>
      <c r="JFK24" s="287"/>
      <c r="JFL24" s="287"/>
      <c r="JFM24" s="632"/>
      <c r="JFN24" s="287"/>
      <c r="JFO24" s="633"/>
      <c r="JFP24" s="287"/>
      <c r="JFQ24" s="287"/>
      <c r="JFR24" s="287"/>
      <c r="JFS24" s="287"/>
      <c r="JFT24" s="287"/>
      <c r="JFU24" s="287"/>
      <c r="JFV24" s="287"/>
      <c r="JFW24" s="287"/>
      <c r="JFX24" s="287"/>
      <c r="JFY24" s="287"/>
      <c r="JFZ24" s="287"/>
      <c r="JGA24" s="287"/>
      <c r="JGB24" s="287"/>
      <c r="JGC24" s="632"/>
      <c r="JGD24" s="287"/>
      <c r="JGE24" s="633"/>
      <c r="JGF24" s="287"/>
      <c r="JGG24" s="287"/>
      <c r="JGH24" s="287"/>
      <c r="JGI24" s="287"/>
      <c r="JGJ24" s="287"/>
      <c r="JGK24" s="287"/>
      <c r="JGL24" s="287"/>
      <c r="JGM24" s="287"/>
      <c r="JGN24" s="287"/>
      <c r="JGO24" s="287"/>
      <c r="JGP24" s="287"/>
      <c r="JGQ24" s="287"/>
      <c r="JGR24" s="287"/>
      <c r="JGS24" s="632"/>
      <c r="JGT24" s="287"/>
      <c r="JGU24" s="633"/>
      <c r="JGV24" s="287"/>
      <c r="JGW24" s="287"/>
      <c r="JGX24" s="287"/>
      <c r="JGY24" s="287"/>
      <c r="JGZ24" s="287"/>
      <c r="JHA24" s="287"/>
      <c r="JHB24" s="287"/>
      <c r="JHC24" s="287"/>
      <c r="JHD24" s="287"/>
      <c r="JHE24" s="287"/>
      <c r="JHF24" s="287"/>
      <c r="JHG24" s="287"/>
      <c r="JHH24" s="287"/>
      <c r="JHI24" s="632"/>
      <c r="JHJ24" s="287"/>
      <c r="JHK24" s="633"/>
      <c r="JHL24" s="287"/>
      <c r="JHM24" s="287"/>
      <c r="JHN24" s="287"/>
      <c r="JHO24" s="287"/>
      <c r="JHP24" s="287"/>
      <c r="JHQ24" s="287"/>
      <c r="JHR24" s="287"/>
      <c r="JHS24" s="287"/>
      <c r="JHT24" s="287"/>
      <c r="JHU24" s="287"/>
      <c r="JHV24" s="287"/>
      <c r="JHW24" s="287"/>
      <c r="JHX24" s="287"/>
      <c r="JHY24" s="632"/>
      <c r="JHZ24" s="287"/>
      <c r="JIA24" s="633"/>
      <c r="JIB24" s="287"/>
      <c r="JIC24" s="287"/>
      <c r="JID24" s="287"/>
      <c r="JIE24" s="287"/>
      <c r="JIF24" s="287"/>
      <c r="JIG24" s="287"/>
      <c r="JIH24" s="287"/>
      <c r="JII24" s="287"/>
      <c r="JIJ24" s="287"/>
      <c r="JIK24" s="287"/>
      <c r="JIL24" s="287"/>
      <c r="JIM24" s="287"/>
      <c r="JIN24" s="287"/>
      <c r="JIO24" s="632"/>
      <c r="JIP24" s="287"/>
      <c r="JIQ24" s="633"/>
      <c r="JIR24" s="287"/>
      <c r="JIS24" s="287"/>
      <c r="JIT24" s="287"/>
      <c r="JIU24" s="287"/>
      <c r="JIV24" s="287"/>
      <c r="JIW24" s="287"/>
      <c r="JIX24" s="287"/>
      <c r="JIY24" s="287"/>
      <c r="JIZ24" s="287"/>
      <c r="JJA24" s="287"/>
      <c r="JJB24" s="287"/>
      <c r="JJC24" s="287"/>
      <c r="JJD24" s="287"/>
      <c r="JJE24" s="632"/>
      <c r="JJF24" s="287"/>
      <c r="JJG24" s="633"/>
      <c r="JJH24" s="287"/>
      <c r="JJI24" s="287"/>
      <c r="JJJ24" s="287"/>
      <c r="JJK24" s="287"/>
      <c r="JJL24" s="287"/>
      <c r="JJM24" s="287"/>
      <c r="JJN24" s="287"/>
      <c r="JJO24" s="287"/>
      <c r="JJP24" s="287"/>
      <c r="JJQ24" s="287"/>
      <c r="JJR24" s="287"/>
      <c r="JJS24" s="287"/>
      <c r="JJT24" s="287"/>
      <c r="JJU24" s="632"/>
      <c r="JJV24" s="287"/>
      <c r="JJW24" s="633"/>
      <c r="JJX24" s="287"/>
      <c r="JJY24" s="287"/>
      <c r="JJZ24" s="287"/>
      <c r="JKA24" s="287"/>
      <c r="JKB24" s="287"/>
      <c r="JKC24" s="287"/>
      <c r="JKD24" s="287"/>
      <c r="JKE24" s="287"/>
      <c r="JKF24" s="287"/>
      <c r="JKG24" s="287"/>
      <c r="JKH24" s="287"/>
      <c r="JKI24" s="287"/>
      <c r="JKJ24" s="287"/>
      <c r="JKK24" s="632"/>
      <c r="JKL24" s="287"/>
      <c r="JKM24" s="633"/>
      <c r="JKN24" s="287"/>
      <c r="JKO24" s="287"/>
      <c r="JKP24" s="287"/>
      <c r="JKQ24" s="287"/>
      <c r="JKR24" s="287"/>
      <c r="JKS24" s="287"/>
      <c r="JKT24" s="287"/>
      <c r="JKU24" s="287"/>
      <c r="JKV24" s="287"/>
      <c r="JKW24" s="287"/>
      <c r="JKX24" s="287"/>
      <c r="JKY24" s="287"/>
      <c r="JKZ24" s="287"/>
      <c r="JLA24" s="632"/>
      <c r="JLB24" s="287"/>
      <c r="JLC24" s="633"/>
      <c r="JLD24" s="287"/>
      <c r="JLE24" s="287"/>
      <c r="JLF24" s="287"/>
      <c r="JLG24" s="287"/>
      <c r="JLH24" s="287"/>
      <c r="JLI24" s="287"/>
      <c r="JLJ24" s="287"/>
      <c r="JLK24" s="287"/>
      <c r="JLL24" s="287"/>
      <c r="JLM24" s="287"/>
      <c r="JLN24" s="287"/>
      <c r="JLO24" s="287"/>
      <c r="JLP24" s="287"/>
      <c r="JLQ24" s="632"/>
      <c r="JLR24" s="287"/>
      <c r="JLS24" s="633"/>
      <c r="JLT24" s="287"/>
      <c r="JLU24" s="287"/>
      <c r="JLV24" s="287"/>
      <c r="JLW24" s="287"/>
      <c r="JLX24" s="287"/>
      <c r="JLY24" s="287"/>
      <c r="JLZ24" s="287"/>
      <c r="JMA24" s="287"/>
      <c r="JMB24" s="287"/>
      <c r="JMC24" s="287"/>
      <c r="JMD24" s="287"/>
      <c r="JME24" s="287"/>
      <c r="JMF24" s="287"/>
      <c r="JMG24" s="632"/>
      <c r="JMH24" s="287"/>
      <c r="JMI24" s="633"/>
      <c r="JMJ24" s="287"/>
      <c r="JMK24" s="287"/>
      <c r="JML24" s="287"/>
      <c r="JMM24" s="287"/>
      <c r="JMN24" s="287"/>
      <c r="JMO24" s="287"/>
      <c r="JMP24" s="287"/>
      <c r="JMQ24" s="287"/>
      <c r="JMR24" s="287"/>
      <c r="JMS24" s="287"/>
      <c r="JMT24" s="287"/>
      <c r="JMU24" s="287"/>
      <c r="JMV24" s="287"/>
      <c r="JMW24" s="632"/>
      <c r="JMX24" s="287"/>
      <c r="JMY24" s="633"/>
      <c r="JMZ24" s="287"/>
      <c r="JNA24" s="287"/>
      <c r="JNB24" s="287"/>
      <c r="JNC24" s="287"/>
      <c r="JND24" s="287"/>
      <c r="JNE24" s="287"/>
      <c r="JNF24" s="287"/>
      <c r="JNG24" s="287"/>
      <c r="JNH24" s="287"/>
      <c r="JNI24" s="287"/>
      <c r="JNJ24" s="287"/>
      <c r="JNK24" s="287"/>
      <c r="JNL24" s="287"/>
      <c r="JNM24" s="632"/>
      <c r="JNN24" s="287"/>
      <c r="JNO24" s="633"/>
      <c r="JNP24" s="287"/>
      <c r="JNQ24" s="287"/>
      <c r="JNR24" s="287"/>
      <c r="JNS24" s="287"/>
      <c r="JNT24" s="287"/>
      <c r="JNU24" s="287"/>
      <c r="JNV24" s="287"/>
      <c r="JNW24" s="287"/>
      <c r="JNX24" s="287"/>
      <c r="JNY24" s="287"/>
      <c r="JNZ24" s="287"/>
      <c r="JOA24" s="287"/>
      <c r="JOB24" s="287"/>
      <c r="JOC24" s="632"/>
      <c r="JOD24" s="287"/>
      <c r="JOE24" s="633"/>
      <c r="JOF24" s="287"/>
      <c r="JOG24" s="287"/>
      <c r="JOH24" s="287"/>
      <c r="JOI24" s="287"/>
      <c r="JOJ24" s="287"/>
      <c r="JOK24" s="287"/>
      <c r="JOL24" s="287"/>
      <c r="JOM24" s="287"/>
      <c r="JON24" s="287"/>
      <c r="JOO24" s="287"/>
      <c r="JOP24" s="287"/>
      <c r="JOQ24" s="287"/>
      <c r="JOR24" s="287"/>
      <c r="JOS24" s="632"/>
      <c r="JOT24" s="287"/>
      <c r="JOU24" s="633"/>
      <c r="JOV24" s="287"/>
      <c r="JOW24" s="287"/>
      <c r="JOX24" s="287"/>
      <c r="JOY24" s="287"/>
      <c r="JOZ24" s="287"/>
      <c r="JPA24" s="287"/>
      <c r="JPB24" s="287"/>
      <c r="JPC24" s="287"/>
      <c r="JPD24" s="287"/>
      <c r="JPE24" s="287"/>
      <c r="JPF24" s="287"/>
      <c r="JPG24" s="287"/>
      <c r="JPH24" s="287"/>
      <c r="JPI24" s="632"/>
      <c r="JPJ24" s="287"/>
      <c r="JPK24" s="633"/>
      <c r="JPL24" s="287"/>
      <c r="JPM24" s="287"/>
      <c r="JPN24" s="287"/>
      <c r="JPO24" s="287"/>
      <c r="JPP24" s="287"/>
      <c r="JPQ24" s="287"/>
      <c r="JPR24" s="287"/>
      <c r="JPS24" s="287"/>
      <c r="JPT24" s="287"/>
      <c r="JPU24" s="287"/>
      <c r="JPV24" s="287"/>
      <c r="JPW24" s="287"/>
      <c r="JPX24" s="287"/>
      <c r="JPY24" s="632"/>
      <c r="JPZ24" s="287"/>
      <c r="JQA24" s="633"/>
      <c r="JQB24" s="287"/>
      <c r="JQC24" s="287"/>
      <c r="JQD24" s="287"/>
      <c r="JQE24" s="287"/>
      <c r="JQF24" s="287"/>
      <c r="JQG24" s="287"/>
      <c r="JQH24" s="287"/>
      <c r="JQI24" s="287"/>
      <c r="JQJ24" s="287"/>
      <c r="JQK24" s="287"/>
      <c r="JQL24" s="287"/>
      <c r="JQM24" s="287"/>
      <c r="JQN24" s="287"/>
      <c r="JQO24" s="632"/>
      <c r="JQP24" s="287"/>
      <c r="JQQ24" s="633"/>
      <c r="JQR24" s="287"/>
      <c r="JQS24" s="287"/>
      <c r="JQT24" s="287"/>
      <c r="JQU24" s="287"/>
      <c r="JQV24" s="287"/>
      <c r="JQW24" s="287"/>
      <c r="JQX24" s="287"/>
      <c r="JQY24" s="287"/>
      <c r="JQZ24" s="287"/>
      <c r="JRA24" s="287"/>
      <c r="JRB24" s="287"/>
      <c r="JRC24" s="287"/>
      <c r="JRD24" s="287"/>
      <c r="JRE24" s="632"/>
      <c r="JRF24" s="287"/>
      <c r="JRG24" s="633"/>
      <c r="JRH24" s="287"/>
      <c r="JRI24" s="287"/>
      <c r="JRJ24" s="287"/>
      <c r="JRK24" s="287"/>
      <c r="JRL24" s="287"/>
      <c r="JRM24" s="287"/>
      <c r="JRN24" s="287"/>
      <c r="JRO24" s="287"/>
      <c r="JRP24" s="287"/>
      <c r="JRQ24" s="287"/>
      <c r="JRR24" s="287"/>
      <c r="JRS24" s="287"/>
      <c r="JRT24" s="287"/>
      <c r="JRU24" s="632"/>
      <c r="JRV24" s="287"/>
      <c r="JRW24" s="633"/>
      <c r="JRX24" s="287"/>
      <c r="JRY24" s="287"/>
      <c r="JRZ24" s="287"/>
      <c r="JSA24" s="287"/>
      <c r="JSB24" s="287"/>
      <c r="JSC24" s="287"/>
      <c r="JSD24" s="287"/>
      <c r="JSE24" s="287"/>
      <c r="JSF24" s="287"/>
      <c r="JSG24" s="287"/>
      <c r="JSH24" s="287"/>
      <c r="JSI24" s="287"/>
      <c r="JSJ24" s="287"/>
      <c r="JSK24" s="632"/>
      <c r="JSL24" s="287"/>
      <c r="JSM24" s="633"/>
      <c r="JSN24" s="287"/>
      <c r="JSO24" s="287"/>
      <c r="JSP24" s="287"/>
      <c r="JSQ24" s="287"/>
      <c r="JSR24" s="287"/>
      <c r="JSS24" s="287"/>
      <c r="JST24" s="287"/>
      <c r="JSU24" s="287"/>
      <c r="JSV24" s="287"/>
      <c r="JSW24" s="287"/>
      <c r="JSX24" s="287"/>
      <c r="JSY24" s="287"/>
      <c r="JSZ24" s="287"/>
      <c r="JTA24" s="632"/>
      <c r="JTB24" s="287"/>
      <c r="JTC24" s="633"/>
      <c r="JTD24" s="287"/>
      <c r="JTE24" s="287"/>
      <c r="JTF24" s="287"/>
      <c r="JTG24" s="287"/>
      <c r="JTH24" s="287"/>
      <c r="JTI24" s="287"/>
      <c r="JTJ24" s="287"/>
      <c r="JTK24" s="287"/>
      <c r="JTL24" s="287"/>
      <c r="JTM24" s="287"/>
      <c r="JTN24" s="287"/>
      <c r="JTO24" s="287"/>
      <c r="JTP24" s="287"/>
      <c r="JTQ24" s="632"/>
      <c r="JTR24" s="287"/>
      <c r="JTS24" s="633"/>
      <c r="JTT24" s="287"/>
      <c r="JTU24" s="287"/>
      <c r="JTV24" s="287"/>
      <c r="JTW24" s="287"/>
      <c r="JTX24" s="287"/>
      <c r="JTY24" s="287"/>
      <c r="JTZ24" s="287"/>
      <c r="JUA24" s="287"/>
      <c r="JUB24" s="287"/>
      <c r="JUC24" s="287"/>
      <c r="JUD24" s="287"/>
      <c r="JUE24" s="287"/>
      <c r="JUF24" s="287"/>
      <c r="JUG24" s="632"/>
      <c r="JUH24" s="287"/>
      <c r="JUI24" s="633"/>
      <c r="JUJ24" s="287"/>
      <c r="JUK24" s="287"/>
      <c r="JUL24" s="287"/>
      <c r="JUM24" s="287"/>
      <c r="JUN24" s="287"/>
      <c r="JUO24" s="287"/>
      <c r="JUP24" s="287"/>
      <c r="JUQ24" s="287"/>
      <c r="JUR24" s="287"/>
      <c r="JUS24" s="287"/>
      <c r="JUT24" s="287"/>
      <c r="JUU24" s="287"/>
      <c r="JUV24" s="287"/>
      <c r="JUW24" s="632"/>
      <c r="JUX24" s="287"/>
      <c r="JUY24" s="633"/>
      <c r="JUZ24" s="287"/>
      <c r="JVA24" s="287"/>
      <c r="JVB24" s="287"/>
      <c r="JVC24" s="287"/>
      <c r="JVD24" s="287"/>
      <c r="JVE24" s="287"/>
      <c r="JVF24" s="287"/>
      <c r="JVG24" s="287"/>
      <c r="JVH24" s="287"/>
      <c r="JVI24" s="287"/>
      <c r="JVJ24" s="287"/>
      <c r="JVK24" s="287"/>
      <c r="JVL24" s="287"/>
      <c r="JVM24" s="632"/>
      <c r="JVN24" s="287"/>
      <c r="JVO24" s="633"/>
      <c r="JVP24" s="287"/>
      <c r="JVQ24" s="287"/>
      <c r="JVR24" s="287"/>
      <c r="JVS24" s="287"/>
      <c r="JVT24" s="287"/>
      <c r="JVU24" s="287"/>
      <c r="JVV24" s="287"/>
      <c r="JVW24" s="287"/>
      <c r="JVX24" s="287"/>
      <c r="JVY24" s="287"/>
      <c r="JVZ24" s="287"/>
      <c r="JWA24" s="287"/>
      <c r="JWB24" s="287"/>
      <c r="JWC24" s="632"/>
      <c r="JWD24" s="287"/>
      <c r="JWE24" s="633"/>
      <c r="JWF24" s="287"/>
      <c r="JWG24" s="287"/>
      <c r="JWH24" s="287"/>
      <c r="JWI24" s="287"/>
      <c r="JWJ24" s="287"/>
      <c r="JWK24" s="287"/>
      <c r="JWL24" s="287"/>
      <c r="JWM24" s="287"/>
      <c r="JWN24" s="287"/>
      <c r="JWO24" s="287"/>
      <c r="JWP24" s="287"/>
      <c r="JWQ24" s="287"/>
      <c r="JWR24" s="287"/>
      <c r="JWS24" s="632"/>
      <c r="JWT24" s="287"/>
      <c r="JWU24" s="633"/>
      <c r="JWV24" s="287"/>
      <c r="JWW24" s="287"/>
      <c r="JWX24" s="287"/>
      <c r="JWY24" s="287"/>
      <c r="JWZ24" s="287"/>
      <c r="JXA24" s="287"/>
      <c r="JXB24" s="287"/>
      <c r="JXC24" s="287"/>
      <c r="JXD24" s="287"/>
      <c r="JXE24" s="287"/>
      <c r="JXF24" s="287"/>
      <c r="JXG24" s="287"/>
      <c r="JXH24" s="287"/>
      <c r="JXI24" s="632"/>
      <c r="JXJ24" s="287"/>
      <c r="JXK24" s="633"/>
      <c r="JXL24" s="287"/>
      <c r="JXM24" s="287"/>
      <c r="JXN24" s="287"/>
      <c r="JXO24" s="287"/>
      <c r="JXP24" s="287"/>
      <c r="JXQ24" s="287"/>
      <c r="JXR24" s="287"/>
      <c r="JXS24" s="287"/>
      <c r="JXT24" s="287"/>
      <c r="JXU24" s="287"/>
      <c r="JXV24" s="287"/>
      <c r="JXW24" s="287"/>
      <c r="JXX24" s="287"/>
      <c r="JXY24" s="632"/>
      <c r="JXZ24" s="287"/>
      <c r="JYA24" s="633"/>
      <c r="JYB24" s="287"/>
      <c r="JYC24" s="287"/>
      <c r="JYD24" s="287"/>
      <c r="JYE24" s="287"/>
      <c r="JYF24" s="287"/>
      <c r="JYG24" s="287"/>
      <c r="JYH24" s="287"/>
      <c r="JYI24" s="287"/>
      <c r="JYJ24" s="287"/>
      <c r="JYK24" s="287"/>
      <c r="JYL24" s="287"/>
      <c r="JYM24" s="287"/>
      <c r="JYN24" s="287"/>
      <c r="JYO24" s="632"/>
      <c r="JYP24" s="287"/>
      <c r="JYQ24" s="633"/>
      <c r="JYR24" s="287"/>
      <c r="JYS24" s="287"/>
      <c r="JYT24" s="287"/>
      <c r="JYU24" s="287"/>
      <c r="JYV24" s="287"/>
      <c r="JYW24" s="287"/>
      <c r="JYX24" s="287"/>
      <c r="JYY24" s="287"/>
      <c r="JYZ24" s="287"/>
      <c r="JZA24" s="287"/>
      <c r="JZB24" s="287"/>
      <c r="JZC24" s="287"/>
      <c r="JZD24" s="287"/>
      <c r="JZE24" s="632"/>
      <c r="JZF24" s="287"/>
      <c r="JZG24" s="633"/>
      <c r="JZH24" s="287"/>
      <c r="JZI24" s="287"/>
      <c r="JZJ24" s="287"/>
      <c r="JZK24" s="287"/>
      <c r="JZL24" s="287"/>
      <c r="JZM24" s="287"/>
      <c r="JZN24" s="287"/>
      <c r="JZO24" s="287"/>
      <c r="JZP24" s="287"/>
      <c r="JZQ24" s="287"/>
      <c r="JZR24" s="287"/>
      <c r="JZS24" s="287"/>
      <c r="JZT24" s="287"/>
      <c r="JZU24" s="632"/>
      <c r="JZV24" s="287"/>
      <c r="JZW24" s="633"/>
      <c r="JZX24" s="287"/>
      <c r="JZY24" s="287"/>
      <c r="JZZ24" s="287"/>
      <c r="KAA24" s="287"/>
      <c r="KAB24" s="287"/>
      <c r="KAC24" s="287"/>
      <c r="KAD24" s="287"/>
      <c r="KAE24" s="287"/>
      <c r="KAF24" s="287"/>
      <c r="KAG24" s="287"/>
      <c r="KAH24" s="287"/>
      <c r="KAI24" s="287"/>
      <c r="KAJ24" s="287"/>
      <c r="KAK24" s="632"/>
      <c r="KAL24" s="287"/>
      <c r="KAM24" s="633"/>
      <c r="KAN24" s="287"/>
      <c r="KAO24" s="287"/>
      <c r="KAP24" s="287"/>
      <c r="KAQ24" s="287"/>
      <c r="KAR24" s="287"/>
      <c r="KAS24" s="287"/>
      <c r="KAT24" s="287"/>
      <c r="KAU24" s="287"/>
      <c r="KAV24" s="287"/>
      <c r="KAW24" s="287"/>
      <c r="KAX24" s="287"/>
      <c r="KAY24" s="287"/>
      <c r="KAZ24" s="287"/>
      <c r="KBA24" s="632"/>
      <c r="KBB24" s="287"/>
      <c r="KBC24" s="633"/>
      <c r="KBD24" s="287"/>
      <c r="KBE24" s="287"/>
      <c r="KBF24" s="287"/>
      <c r="KBG24" s="287"/>
      <c r="KBH24" s="287"/>
      <c r="KBI24" s="287"/>
      <c r="KBJ24" s="287"/>
      <c r="KBK24" s="287"/>
      <c r="KBL24" s="287"/>
      <c r="KBM24" s="287"/>
      <c r="KBN24" s="287"/>
      <c r="KBO24" s="287"/>
      <c r="KBP24" s="287"/>
      <c r="KBQ24" s="632"/>
      <c r="KBR24" s="287"/>
      <c r="KBS24" s="633"/>
      <c r="KBT24" s="287"/>
      <c r="KBU24" s="287"/>
      <c r="KBV24" s="287"/>
      <c r="KBW24" s="287"/>
      <c r="KBX24" s="287"/>
      <c r="KBY24" s="287"/>
      <c r="KBZ24" s="287"/>
      <c r="KCA24" s="287"/>
      <c r="KCB24" s="287"/>
      <c r="KCC24" s="287"/>
      <c r="KCD24" s="287"/>
      <c r="KCE24" s="287"/>
      <c r="KCF24" s="287"/>
      <c r="KCG24" s="632"/>
      <c r="KCH24" s="287"/>
      <c r="KCI24" s="633"/>
      <c r="KCJ24" s="287"/>
      <c r="KCK24" s="287"/>
      <c r="KCL24" s="287"/>
      <c r="KCM24" s="287"/>
      <c r="KCN24" s="287"/>
      <c r="KCO24" s="287"/>
      <c r="KCP24" s="287"/>
      <c r="KCQ24" s="287"/>
      <c r="KCR24" s="287"/>
      <c r="KCS24" s="287"/>
      <c r="KCT24" s="287"/>
      <c r="KCU24" s="287"/>
      <c r="KCV24" s="287"/>
      <c r="KCW24" s="632"/>
      <c r="KCX24" s="287"/>
      <c r="KCY24" s="633"/>
      <c r="KCZ24" s="287"/>
      <c r="KDA24" s="287"/>
      <c r="KDB24" s="287"/>
      <c r="KDC24" s="287"/>
      <c r="KDD24" s="287"/>
      <c r="KDE24" s="287"/>
      <c r="KDF24" s="287"/>
      <c r="KDG24" s="287"/>
      <c r="KDH24" s="287"/>
      <c r="KDI24" s="287"/>
      <c r="KDJ24" s="287"/>
      <c r="KDK24" s="287"/>
      <c r="KDL24" s="287"/>
      <c r="KDM24" s="632"/>
      <c r="KDN24" s="287"/>
      <c r="KDO24" s="633"/>
      <c r="KDP24" s="287"/>
      <c r="KDQ24" s="287"/>
      <c r="KDR24" s="287"/>
      <c r="KDS24" s="287"/>
      <c r="KDT24" s="287"/>
      <c r="KDU24" s="287"/>
      <c r="KDV24" s="287"/>
      <c r="KDW24" s="287"/>
      <c r="KDX24" s="287"/>
      <c r="KDY24" s="287"/>
      <c r="KDZ24" s="287"/>
      <c r="KEA24" s="287"/>
      <c r="KEB24" s="287"/>
      <c r="KEC24" s="632"/>
      <c r="KED24" s="287"/>
      <c r="KEE24" s="633"/>
      <c r="KEF24" s="287"/>
      <c r="KEG24" s="287"/>
      <c r="KEH24" s="287"/>
      <c r="KEI24" s="287"/>
      <c r="KEJ24" s="287"/>
      <c r="KEK24" s="287"/>
      <c r="KEL24" s="287"/>
      <c r="KEM24" s="287"/>
      <c r="KEN24" s="287"/>
      <c r="KEO24" s="287"/>
      <c r="KEP24" s="287"/>
      <c r="KEQ24" s="287"/>
      <c r="KER24" s="287"/>
      <c r="KES24" s="632"/>
      <c r="KET24" s="287"/>
      <c r="KEU24" s="633"/>
      <c r="KEV24" s="287"/>
      <c r="KEW24" s="287"/>
      <c r="KEX24" s="287"/>
      <c r="KEY24" s="287"/>
      <c r="KEZ24" s="287"/>
      <c r="KFA24" s="287"/>
      <c r="KFB24" s="287"/>
      <c r="KFC24" s="287"/>
      <c r="KFD24" s="287"/>
      <c r="KFE24" s="287"/>
      <c r="KFF24" s="287"/>
      <c r="KFG24" s="287"/>
      <c r="KFH24" s="287"/>
      <c r="KFI24" s="632"/>
      <c r="KFJ24" s="287"/>
      <c r="KFK24" s="633"/>
      <c r="KFL24" s="287"/>
      <c r="KFM24" s="287"/>
      <c r="KFN24" s="287"/>
      <c r="KFO24" s="287"/>
      <c r="KFP24" s="287"/>
      <c r="KFQ24" s="287"/>
      <c r="KFR24" s="287"/>
      <c r="KFS24" s="287"/>
      <c r="KFT24" s="287"/>
      <c r="KFU24" s="287"/>
      <c r="KFV24" s="287"/>
      <c r="KFW24" s="287"/>
      <c r="KFX24" s="287"/>
      <c r="KFY24" s="632"/>
      <c r="KFZ24" s="287"/>
      <c r="KGA24" s="633"/>
      <c r="KGB24" s="287"/>
      <c r="KGC24" s="287"/>
      <c r="KGD24" s="287"/>
      <c r="KGE24" s="287"/>
      <c r="KGF24" s="287"/>
      <c r="KGG24" s="287"/>
      <c r="KGH24" s="287"/>
      <c r="KGI24" s="287"/>
      <c r="KGJ24" s="287"/>
      <c r="KGK24" s="287"/>
      <c r="KGL24" s="287"/>
      <c r="KGM24" s="287"/>
      <c r="KGN24" s="287"/>
      <c r="KGO24" s="632"/>
      <c r="KGP24" s="287"/>
      <c r="KGQ24" s="633"/>
      <c r="KGR24" s="287"/>
      <c r="KGS24" s="287"/>
      <c r="KGT24" s="287"/>
      <c r="KGU24" s="287"/>
      <c r="KGV24" s="287"/>
      <c r="KGW24" s="287"/>
      <c r="KGX24" s="287"/>
      <c r="KGY24" s="287"/>
      <c r="KGZ24" s="287"/>
      <c r="KHA24" s="287"/>
      <c r="KHB24" s="287"/>
      <c r="KHC24" s="287"/>
      <c r="KHD24" s="287"/>
      <c r="KHE24" s="632"/>
      <c r="KHF24" s="287"/>
      <c r="KHG24" s="633"/>
      <c r="KHH24" s="287"/>
      <c r="KHI24" s="287"/>
      <c r="KHJ24" s="287"/>
      <c r="KHK24" s="287"/>
      <c r="KHL24" s="287"/>
      <c r="KHM24" s="287"/>
      <c r="KHN24" s="287"/>
      <c r="KHO24" s="287"/>
      <c r="KHP24" s="287"/>
      <c r="KHQ24" s="287"/>
      <c r="KHR24" s="287"/>
      <c r="KHS24" s="287"/>
      <c r="KHT24" s="287"/>
      <c r="KHU24" s="632"/>
      <c r="KHV24" s="287"/>
      <c r="KHW24" s="633"/>
      <c r="KHX24" s="287"/>
      <c r="KHY24" s="287"/>
      <c r="KHZ24" s="287"/>
      <c r="KIA24" s="287"/>
      <c r="KIB24" s="287"/>
      <c r="KIC24" s="287"/>
      <c r="KID24" s="287"/>
      <c r="KIE24" s="287"/>
      <c r="KIF24" s="287"/>
      <c r="KIG24" s="287"/>
      <c r="KIH24" s="287"/>
      <c r="KII24" s="287"/>
      <c r="KIJ24" s="287"/>
      <c r="KIK24" s="632"/>
      <c r="KIL24" s="287"/>
      <c r="KIM24" s="633"/>
      <c r="KIN24" s="287"/>
      <c r="KIO24" s="287"/>
      <c r="KIP24" s="287"/>
      <c r="KIQ24" s="287"/>
      <c r="KIR24" s="287"/>
      <c r="KIS24" s="287"/>
      <c r="KIT24" s="287"/>
      <c r="KIU24" s="287"/>
      <c r="KIV24" s="287"/>
      <c r="KIW24" s="287"/>
      <c r="KIX24" s="287"/>
      <c r="KIY24" s="287"/>
      <c r="KIZ24" s="287"/>
      <c r="KJA24" s="632"/>
      <c r="KJB24" s="287"/>
      <c r="KJC24" s="633"/>
      <c r="KJD24" s="287"/>
      <c r="KJE24" s="287"/>
      <c r="KJF24" s="287"/>
      <c r="KJG24" s="287"/>
      <c r="KJH24" s="287"/>
      <c r="KJI24" s="287"/>
      <c r="KJJ24" s="287"/>
      <c r="KJK24" s="287"/>
      <c r="KJL24" s="287"/>
      <c r="KJM24" s="287"/>
      <c r="KJN24" s="287"/>
      <c r="KJO24" s="287"/>
      <c r="KJP24" s="287"/>
      <c r="KJQ24" s="632"/>
      <c r="KJR24" s="287"/>
      <c r="KJS24" s="633"/>
      <c r="KJT24" s="287"/>
      <c r="KJU24" s="287"/>
      <c r="KJV24" s="287"/>
      <c r="KJW24" s="287"/>
      <c r="KJX24" s="287"/>
      <c r="KJY24" s="287"/>
      <c r="KJZ24" s="287"/>
      <c r="KKA24" s="287"/>
      <c r="KKB24" s="287"/>
      <c r="KKC24" s="287"/>
      <c r="KKD24" s="287"/>
      <c r="KKE24" s="287"/>
      <c r="KKF24" s="287"/>
      <c r="KKG24" s="632"/>
      <c r="KKH24" s="287"/>
      <c r="KKI24" s="633"/>
      <c r="KKJ24" s="287"/>
      <c r="KKK24" s="287"/>
      <c r="KKL24" s="287"/>
      <c r="KKM24" s="287"/>
      <c r="KKN24" s="287"/>
      <c r="KKO24" s="287"/>
      <c r="KKP24" s="287"/>
      <c r="KKQ24" s="287"/>
      <c r="KKR24" s="287"/>
      <c r="KKS24" s="287"/>
      <c r="KKT24" s="287"/>
      <c r="KKU24" s="287"/>
      <c r="KKV24" s="287"/>
      <c r="KKW24" s="632"/>
      <c r="KKX24" s="287"/>
      <c r="KKY24" s="633"/>
      <c r="KKZ24" s="287"/>
      <c r="KLA24" s="287"/>
      <c r="KLB24" s="287"/>
      <c r="KLC24" s="287"/>
      <c r="KLD24" s="287"/>
      <c r="KLE24" s="287"/>
      <c r="KLF24" s="287"/>
      <c r="KLG24" s="287"/>
      <c r="KLH24" s="287"/>
      <c r="KLI24" s="287"/>
      <c r="KLJ24" s="287"/>
      <c r="KLK24" s="287"/>
      <c r="KLL24" s="287"/>
      <c r="KLM24" s="632"/>
      <c r="KLN24" s="287"/>
      <c r="KLO24" s="633"/>
      <c r="KLP24" s="287"/>
      <c r="KLQ24" s="287"/>
      <c r="KLR24" s="287"/>
      <c r="KLS24" s="287"/>
      <c r="KLT24" s="287"/>
      <c r="KLU24" s="287"/>
      <c r="KLV24" s="287"/>
      <c r="KLW24" s="287"/>
      <c r="KLX24" s="287"/>
      <c r="KLY24" s="287"/>
      <c r="KLZ24" s="287"/>
      <c r="KMA24" s="287"/>
      <c r="KMB24" s="287"/>
      <c r="KMC24" s="632"/>
      <c r="KMD24" s="287"/>
      <c r="KME24" s="633"/>
      <c r="KMF24" s="287"/>
      <c r="KMG24" s="287"/>
      <c r="KMH24" s="287"/>
      <c r="KMI24" s="287"/>
      <c r="KMJ24" s="287"/>
      <c r="KMK24" s="287"/>
      <c r="KML24" s="287"/>
      <c r="KMM24" s="287"/>
      <c r="KMN24" s="287"/>
      <c r="KMO24" s="287"/>
      <c r="KMP24" s="287"/>
      <c r="KMQ24" s="287"/>
      <c r="KMR24" s="287"/>
      <c r="KMS24" s="632"/>
      <c r="KMT24" s="287"/>
      <c r="KMU24" s="633"/>
      <c r="KMV24" s="287"/>
      <c r="KMW24" s="287"/>
      <c r="KMX24" s="287"/>
      <c r="KMY24" s="287"/>
      <c r="KMZ24" s="287"/>
      <c r="KNA24" s="287"/>
      <c r="KNB24" s="287"/>
      <c r="KNC24" s="287"/>
      <c r="KND24" s="287"/>
      <c r="KNE24" s="287"/>
      <c r="KNF24" s="287"/>
      <c r="KNG24" s="287"/>
      <c r="KNH24" s="287"/>
      <c r="KNI24" s="632"/>
      <c r="KNJ24" s="287"/>
      <c r="KNK24" s="633"/>
      <c r="KNL24" s="287"/>
      <c r="KNM24" s="287"/>
      <c r="KNN24" s="287"/>
      <c r="KNO24" s="287"/>
      <c r="KNP24" s="287"/>
      <c r="KNQ24" s="287"/>
      <c r="KNR24" s="287"/>
      <c r="KNS24" s="287"/>
      <c r="KNT24" s="287"/>
      <c r="KNU24" s="287"/>
      <c r="KNV24" s="287"/>
      <c r="KNW24" s="287"/>
      <c r="KNX24" s="287"/>
      <c r="KNY24" s="632"/>
      <c r="KNZ24" s="287"/>
      <c r="KOA24" s="633"/>
      <c r="KOB24" s="287"/>
      <c r="KOC24" s="287"/>
      <c r="KOD24" s="287"/>
      <c r="KOE24" s="287"/>
      <c r="KOF24" s="287"/>
      <c r="KOG24" s="287"/>
      <c r="KOH24" s="287"/>
      <c r="KOI24" s="287"/>
      <c r="KOJ24" s="287"/>
      <c r="KOK24" s="287"/>
      <c r="KOL24" s="287"/>
      <c r="KOM24" s="287"/>
      <c r="KON24" s="287"/>
      <c r="KOO24" s="632"/>
      <c r="KOP24" s="287"/>
      <c r="KOQ24" s="633"/>
      <c r="KOR24" s="287"/>
      <c r="KOS24" s="287"/>
      <c r="KOT24" s="287"/>
      <c r="KOU24" s="287"/>
      <c r="KOV24" s="287"/>
      <c r="KOW24" s="287"/>
      <c r="KOX24" s="287"/>
      <c r="KOY24" s="287"/>
      <c r="KOZ24" s="287"/>
      <c r="KPA24" s="287"/>
      <c r="KPB24" s="287"/>
      <c r="KPC24" s="287"/>
      <c r="KPD24" s="287"/>
      <c r="KPE24" s="632"/>
      <c r="KPF24" s="287"/>
      <c r="KPG24" s="633"/>
      <c r="KPH24" s="287"/>
      <c r="KPI24" s="287"/>
      <c r="KPJ24" s="287"/>
      <c r="KPK24" s="287"/>
      <c r="KPL24" s="287"/>
      <c r="KPM24" s="287"/>
      <c r="KPN24" s="287"/>
      <c r="KPO24" s="287"/>
      <c r="KPP24" s="287"/>
      <c r="KPQ24" s="287"/>
      <c r="KPR24" s="287"/>
      <c r="KPS24" s="287"/>
      <c r="KPT24" s="287"/>
      <c r="KPU24" s="632"/>
      <c r="KPV24" s="287"/>
      <c r="KPW24" s="633"/>
      <c r="KPX24" s="287"/>
      <c r="KPY24" s="287"/>
      <c r="KPZ24" s="287"/>
      <c r="KQA24" s="287"/>
      <c r="KQB24" s="287"/>
      <c r="KQC24" s="287"/>
      <c r="KQD24" s="287"/>
      <c r="KQE24" s="287"/>
      <c r="KQF24" s="287"/>
      <c r="KQG24" s="287"/>
      <c r="KQH24" s="287"/>
      <c r="KQI24" s="287"/>
      <c r="KQJ24" s="287"/>
      <c r="KQK24" s="632"/>
      <c r="KQL24" s="287"/>
      <c r="KQM24" s="633"/>
      <c r="KQN24" s="287"/>
      <c r="KQO24" s="287"/>
      <c r="KQP24" s="287"/>
      <c r="KQQ24" s="287"/>
      <c r="KQR24" s="287"/>
      <c r="KQS24" s="287"/>
      <c r="KQT24" s="287"/>
      <c r="KQU24" s="287"/>
      <c r="KQV24" s="287"/>
      <c r="KQW24" s="287"/>
      <c r="KQX24" s="287"/>
      <c r="KQY24" s="287"/>
      <c r="KQZ24" s="287"/>
      <c r="KRA24" s="632"/>
      <c r="KRB24" s="287"/>
      <c r="KRC24" s="633"/>
      <c r="KRD24" s="287"/>
      <c r="KRE24" s="287"/>
      <c r="KRF24" s="287"/>
      <c r="KRG24" s="287"/>
      <c r="KRH24" s="287"/>
      <c r="KRI24" s="287"/>
      <c r="KRJ24" s="287"/>
      <c r="KRK24" s="287"/>
      <c r="KRL24" s="287"/>
      <c r="KRM24" s="287"/>
      <c r="KRN24" s="287"/>
      <c r="KRO24" s="287"/>
      <c r="KRP24" s="287"/>
      <c r="KRQ24" s="632"/>
      <c r="KRR24" s="287"/>
      <c r="KRS24" s="633"/>
      <c r="KRT24" s="287"/>
      <c r="KRU24" s="287"/>
      <c r="KRV24" s="287"/>
      <c r="KRW24" s="287"/>
      <c r="KRX24" s="287"/>
      <c r="KRY24" s="287"/>
      <c r="KRZ24" s="287"/>
      <c r="KSA24" s="287"/>
      <c r="KSB24" s="287"/>
      <c r="KSC24" s="287"/>
      <c r="KSD24" s="287"/>
      <c r="KSE24" s="287"/>
      <c r="KSF24" s="287"/>
      <c r="KSG24" s="632"/>
      <c r="KSH24" s="287"/>
      <c r="KSI24" s="633"/>
      <c r="KSJ24" s="287"/>
      <c r="KSK24" s="287"/>
      <c r="KSL24" s="287"/>
      <c r="KSM24" s="287"/>
      <c r="KSN24" s="287"/>
      <c r="KSO24" s="287"/>
      <c r="KSP24" s="287"/>
      <c r="KSQ24" s="287"/>
      <c r="KSR24" s="287"/>
      <c r="KSS24" s="287"/>
      <c r="KST24" s="287"/>
      <c r="KSU24" s="287"/>
      <c r="KSV24" s="287"/>
      <c r="KSW24" s="632"/>
      <c r="KSX24" s="287"/>
      <c r="KSY24" s="633"/>
      <c r="KSZ24" s="287"/>
      <c r="KTA24" s="287"/>
      <c r="KTB24" s="287"/>
      <c r="KTC24" s="287"/>
      <c r="KTD24" s="287"/>
      <c r="KTE24" s="287"/>
      <c r="KTF24" s="287"/>
      <c r="KTG24" s="287"/>
      <c r="KTH24" s="287"/>
      <c r="KTI24" s="287"/>
      <c r="KTJ24" s="287"/>
      <c r="KTK24" s="287"/>
      <c r="KTL24" s="287"/>
      <c r="KTM24" s="632"/>
      <c r="KTN24" s="287"/>
      <c r="KTO24" s="633"/>
      <c r="KTP24" s="287"/>
      <c r="KTQ24" s="287"/>
      <c r="KTR24" s="287"/>
      <c r="KTS24" s="287"/>
      <c r="KTT24" s="287"/>
      <c r="KTU24" s="287"/>
      <c r="KTV24" s="287"/>
      <c r="KTW24" s="287"/>
      <c r="KTX24" s="287"/>
      <c r="KTY24" s="287"/>
      <c r="KTZ24" s="287"/>
      <c r="KUA24" s="287"/>
      <c r="KUB24" s="287"/>
      <c r="KUC24" s="632"/>
      <c r="KUD24" s="287"/>
      <c r="KUE24" s="633"/>
      <c r="KUF24" s="287"/>
      <c r="KUG24" s="287"/>
      <c r="KUH24" s="287"/>
      <c r="KUI24" s="287"/>
      <c r="KUJ24" s="287"/>
      <c r="KUK24" s="287"/>
      <c r="KUL24" s="287"/>
      <c r="KUM24" s="287"/>
      <c r="KUN24" s="287"/>
      <c r="KUO24" s="287"/>
      <c r="KUP24" s="287"/>
      <c r="KUQ24" s="287"/>
      <c r="KUR24" s="287"/>
      <c r="KUS24" s="632"/>
      <c r="KUT24" s="287"/>
      <c r="KUU24" s="633"/>
      <c r="KUV24" s="287"/>
      <c r="KUW24" s="287"/>
      <c r="KUX24" s="287"/>
      <c r="KUY24" s="287"/>
      <c r="KUZ24" s="287"/>
      <c r="KVA24" s="287"/>
      <c r="KVB24" s="287"/>
      <c r="KVC24" s="287"/>
      <c r="KVD24" s="287"/>
      <c r="KVE24" s="287"/>
      <c r="KVF24" s="287"/>
      <c r="KVG24" s="287"/>
      <c r="KVH24" s="287"/>
      <c r="KVI24" s="632"/>
      <c r="KVJ24" s="287"/>
      <c r="KVK24" s="633"/>
      <c r="KVL24" s="287"/>
      <c r="KVM24" s="287"/>
      <c r="KVN24" s="287"/>
      <c r="KVO24" s="287"/>
      <c r="KVP24" s="287"/>
      <c r="KVQ24" s="287"/>
      <c r="KVR24" s="287"/>
      <c r="KVS24" s="287"/>
      <c r="KVT24" s="287"/>
      <c r="KVU24" s="287"/>
      <c r="KVV24" s="287"/>
      <c r="KVW24" s="287"/>
      <c r="KVX24" s="287"/>
      <c r="KVY24" s="632"/>
      <c r="KVZ24" s="287"/>
      <c r="KWA24" s="633"/>
      <c r="KWB24" s="287"/>
      <c r="KWC24" s="287"/>
      <c r="KWD24" s="287"/>
      <c r="KWE24" s="287"/>
      <c r="KWF24" s="287"/>
      <c r="KWG24" s="287"/>
      <c r="KWH24" s="287"/>
      <c r="KWI24" s="287"/>
      <c r="KWJ24" s="287"/>
      <c r="KWK24" s="287"/>
      <c r="KWL24" s="287"/>
      <c r="KWM24" s="287"/>
      <c r="KWN24" s="287"/>
      <c r="KWO24" s="632"/>
      <c r="KWP24" s="287"/>
      <c r="KWQ24" s="633"/>
      <c r="KWR24" s="287"/>
      <c r="KWS24" s="287"/>
      <c r="KWT24" s="287"/>
      <c r="KWU24" s="287"/>
      <c r="KWV24" s="287"/>
      <c r="KWW24" s="287"/>
      <c r="KWX24" s="287"/>
      <c r="KWY24" s="287"/>
      <c r="KWZ24" s="287"/>
      <c r="KXA24" s="287"/>
      <c r="KXB24" s="287"/>
      <c r="KXC24" s="287"/>
      <c r="KXD24" s="287"/>
      <c r="KXE24" s="632"/>
      <c r="KXF24" s="287"/>
      <c r="KXG24" s="633"/>
      <c r="KXH24" s="287"/>
      <c r="KXI24" s="287"/>
      <c r="KXJ24" s="287"/>
      <c r="KXK24" s="287"/>
      <c r="KXL24" s="287"/>
      <c r="KXM24" s="287"/>
      <c r="KXN24" s="287"/>
      <c r="KXO24" s="287"/>
      <c r="KXP24" s="287"/>
      <c r="KXQ24" s="287"/>
      <c r="KXR24" s="287"/>
      <c r="KXS24" s="287"/>
      <c r="KXT24" s="287"/>
      <c r="KXU24" s="632"/>
      <c r="KXV24" s="287"/>
      <c r="KXW24" s="633"/>
      <c r="KXX24" s="287"/>
      <c r="KXY24" s="287"/>
      <c r="KXZ24" s="287"/>
      <c r="KYA24" s="287"/>
      <c r="KYB24" s="287"/>
      <c r="KYC24" s="287"/>
      <c r="KYD24" s="287"/>
      <c r="KYE24" s="287"/>
      <c r="KYF24" s="287"/>
      <c r="KYG24" s="287"/>
      <c r="KYH24" s="287"/>
      <c r="KYI24" s="287"/>
      <c r="KYJ24" s="287"/>
      <c r="KYK24" s="632"/>
      <c r="KYL24" s="287"/>
      <c r="KYM24" s="633"/>
      <c r="KYN24" s="287"/>
      <c r="KYO24" s="287"/>
      <c r="KYP24" s="287"/>
      <c r="KYQ24" s="287"/>
      <c r="KYR24" s="287"/>
      <c r="KYS24" s="287"/>
      <c r="KYT24" s="287"/>
      <c r="KYU24" s="287"/>
      <c r="KYV24" s="287"/>
      <c r="KYW24" s="287"/>
      <c r="KYX24" s="287"/>
      <c r="KYY24" s="287"/>
      <c r="KYZ24" s="287"/>
      <c r="KZA24" s="632"/>
      <c r="KZB24" s="287"/>
      <c r="KZC24" s="633"/>
      <c r="KZD24" s="287"/>
      <c r="KZE24" s="287"/>
      <c r="KZF24" s="287"/>
      <c r="KZG24" s="287"/>
      <c r="KZH24" s="287"/>
      <c r="KZI24" s="287"/>
      <c r="KZJ24" s="287"/>
      <c r="KZK24" s="287"/>
      <c r="KZL24" s="287"/>
      <c r="KZM24" s="287"/>
      <c r="KZN24" s="287"/>
      <c r="KZO24" s="287"/>
      <c r="KZP24" s="287"/>
      <c r="KZQ24" s="632"/>
      <c r="KZR24" s="287"/>
      <c r="KZS24" s="633"/>
      <c r="KZT24" s="287"/>
      <c r="KZU24" s="287"/>
      <c r="KZV24" s="287"/>
      <c r="KZW24" s="287"/>
      <c r="KZX24" s="287"/>
      <c r="KZY24" s="287"/>
      <c r="KZZ24" s="287"/>
      <c r="LAA24" s="287"/>
      <c r="LAB24" s="287"/>
      <c r="LAC24" s="287"/>
      <c r="LAD24" s="287"/>
      <c r="LAE24" s="287"/>
      <c r="LAF24" s="287"/>
      <c r="LAG24" s="632"/>
      <c r="LAH24" s="287"/>
      <c r="LAI24" s="633"/>
      <c r="LAJ24" s="287"/>
      <c r="LAK24" s="287"/>
      <c r="LAL24" s="287"/>
      <c r="LAM24" s="287"/>
      <c r="LAN24" s="287"/>
      <c r="LAO24" s="287"/>
      <c r="LAP24" s="287"/>
      <c r="LAQ24" s="287"/>
      <c r="LAR24" s="287"/>
      <c r="LAS24" s="287"/>
      <c r="LAT24" s="287"/>
      <c r="LAU24" s="287"/>
      <c r="LAV24" s="287"/>
      <c r="LAW24" s="632"/>
      <c r="LAX24" s="287"/>
      <c r="LAY24" s="633"/>
      <c r="LAZ24" s="287"/>
      <c r="LBA24" s="287"/>
      <c r="LBB24" s="287"/>
      <c r="LBC24" s="287"/>
      <c r="LBD24" s="287"/>
      <c r="LBE24" s="287"/>
      <c r="LBF24" s="287"/>
      <c r="LBG24" s="287"/>
      <c r="LBH24" s="287"/>
      <c r="LBI24" s="287"/>
      <c r="LBJ24" s="287"/>
      <c r="LBK24" s="287"/>
      <c r="LBL24" s="287"/>
      <c r="LBM24" s="632"/>
      <c r="LBN24" s="287"/>
      <c r="LBO24" s="633"/>
      <c r="LBP24" s="287"/>
      <c r="LBQ24" s="287"/>
      <c r="LBR24" s="287"/>
      <c r="LBS24" s="287"/>
      <c r="LBT24" s="287"/>
      <c r="LBU24" s="287"/>
      <c r="LBV24" s="287"/>
      <c r="LBW24" s="287"/>
      <c r="LBX24" s="287"/>
      <c r="LBY24" s="287"/>
      <c r="LBZ24" s="287"/>
      <c r="LCA24" s="287"/>
      <c r="LCB24" s="287"/>
      <c r="LCC24" s="632"/>
      <c r="LCD24" s="287"/>
      <c r="LCE24" s="633"/>
      <c r="LCF24" s="287"/>
      <c r="LCG24" s="287"/>
      <c r="LCH24" s="287"/>
      <c r="LCI24" s="287"/>
      <c r="LCJ24" s="287"/>
      <c r="LCK24" s="287"/>
      <c r="LCL24" s="287"/>
      <c r="LCM24" s="287"/>
      <c r="LCN24" s="287"/>
      <c r="LCO24" s="287"/>
      <c r="LCP24" s="287"/>
      <c r="LCQ24" s="287"/>
      <c r="LCR24" s="287"/>
      <c r="LCS24" s="632"/>
      <c r="LCT24" s="287"/>
      <c r="LCU24" s="633"/>
      <c r="LCV24" s="287"/>
      <c r="LCW24" s="287"/>
      <c r="LCX24" s="287"/>
      <c r="LCY24" s="287"/>
      <c r="LCZ24" s="287"/>
      <c r="LDA24" s="287"/>
      <c r="LDB24" s="287"/>
      <c r="LDC24" s="287"/>
      <c r="LDD24" s="287"/>
      <c r="LDE24" s="287"/>
      <c r="LDF24" s="287"/>
      <c r="LDG24" s="287"/>
      <c r="LDH24" s="287"/>
      <c r="LDI24" s="632"/>
      <c r="LDJ24" s="287"/>
      <c r="LDK24" s="633"/>
      <c r="LDL24" s="287"/>
      <c r="LDM24" s="287"/>
      <c r="LDN24" s="287"/>
      <c r="LDO24" s="287"/>
      <c r="LDP24" s="287"/>
      <c r="LDQ24" s="287"/>
      <c r="LDR24" s="287"/>
      <c r="LDS24" s="287"/>
      <c r="LDT24" s="287"/>
      <c r="LDU24" s="287"/>
      <c r="LDV24" s="287"/>
      <c r="LDW24" s="287"/>
      <c r="LDX24" s="287"/>
      <c r="LDY24" s="632"/>
      <c r="LDZ24" s="287"/>
      <c r="LEA24" s="633"/>
      <c r="LEB24" s="287"/>
      <c r="LEC24" s="287"/>
      <c r="LED24" s="287"/>
      <c r="LEE24" s="287"/>
      <c r="LEF24" s="287"/>
      <c r="LEG24" s="287"/>
      <c r="LEH24" s="287"/>
      <c r="LEI24" s="287"/>
      <c r="LEJ24" s="287"/>
      <c r="LEK24" s="287"/>
      <c r="LEL24" s="287"/>
      <c r="LEM24" s="287"/>
      <c r="LEN24" s="287"/>
      <c r="LEO24" s="632"/>
      <c r="LEP24" s="287"/>
      <c r="LEQ24" s="633"/>
      <c r="LER24" s="287"/>
      <c r="LES24" s="287"/>
      <c r="LET24" s="287"/>
      <c r="LEU24" s="287"/>
      <c r="LEV24" s="287"/>
      <c r="LEW24" s="287"/>
      <c r="LEX24" s="287"/>
      <c r="LEY24" s="287"/>
      <c r="LEZ24" s="287"/>
      <c r="LFA24" s="287"/>
      <c r="LFB24" s="287"/>
      <c r="LFC24" s="287"/>
      <c r="LFD24" s="287"/>
      <c r="LFE24" s="632"/>
      <c r="LFF24" s="287"/>
      <c r="LFG24" s="633"/>
      <c r="LFH24" s="287"/>
      <c r="LFI24" s="287"/>
      <c r="LFJ24" s="287"/>
      <c r="LFK24" s="287"/>
      <c r="LFL24" s="287"/>
      <c r="LFM24" s="287"/>
      <c r="LFN24" s="287"/>
      <c r="LFO24" s="287"/>
      <c r="LFP24" s="287"/>
      <c r="LFQ24" s="287"/>
      <c r="LFR24" s="287"/>
      <c r="LFS24" s="287"/>
      <c r="LFT24" s="287"/>
      <c r="LFU24" s="632"/>
      <c r="LFV24" s="287"/>
      <c r="LFW24" s="633"/>
      <c r="LFX24" s="287"/>
      <c r="LFY24" s="287"/>
      <c r="LFZ24" s="287"/>
      <c r="LGA24" s="287"/>
      <c r="LGB24" s="287"/>
      <c r="LGC24" s="287"/>
      <c r="LGD24" s="287"/>
      <c r="LGE24" s="287"/>
      <c r="LGF24" s="287"/>
      <c r="LGG24" s="287"/>
      <c r="LGH24" s="287"/>
      <c r="LGI24" s="287"/>
      <c r="LGJ24" s="287"/>
      <c r="LGK24" s="632"/>
      <c r="LGL24" s="287"/>
      <c r="LGM24" s="633"/>
      <c r="LGN24" s="287"/>
      <c r="LGO24" s="287"/>
      <c r="LGP24" s="287"/>
      <c r="LGQ24" s="287"/>
      <c r="LGR24" s="287"/>
      <c r="LGS24" s="287"/>
      <c r="LGT24" s="287"/>
      <c r="LGU24" s="287"/>
      <c r="LGV24" s="287"/>
      <c r="LGW24" s="287"/>
      <c r="LGX24" s="287"/>
      <c r="LGY24" s="287"/>
      <c r="LGZ24" s="287"/>
      <c r="LHA24" s="632"/>
      <c r="LHB24" s="287"/>
      <c r="LHC24" s="633"/>
      <c r="LHD24" s="287"/>
      <c r="LHE24" s="287"/>
      <c r="LHF24" s="287"/>
      <c r="LHG24" s="287"/>
      <c r="LHH24" s="287"/>
      <c r="LHI24" s="287"/>
      <c r="LHJ24" s="287"/>
      <c r="LHK24" s="287"/>
      <c r="LHL24" s="287"/>
      <c r="LHM24" s="287"/>
      <c r="LHN24" s="287"/>
      <c r="LHO24" s="287"/>
      <c r="LHP24" s="287"/>
      <c r="LHQ24" s="632"/>
      <c r="LHR24" s="287"/>
      <c r="LHS24" s="633"/>
      <c r="LHT24" s="287"/>
      <c r="LHU24" s="287"/>
      <c r="LHV24" s="287"/>
      <c r="LHW24" s="287"/>
      <c r="LHX24" s="287"/>
      <c r="LHY24" s="287"/>
      <c r="LHZ24" s="287"/>
      <c r="LIA24" s="287"/>
      <c r="LIB24" s="287"/>
      <c r="LIC24" s="287"/>
      <c r="LID24" s="287"/>
      <c r="LIE24" s="287"/>
      <c r="LIF24" s="287"/>
      <c r="LIG24" s="632"/>
      <c r="LIH24" s="287"/>
      <c r="LII24" s="633"/>
      <c r="LIJ24" s="287"/>
      <c r="LIK24" s="287"/>
      <c r="LIL24" s="287"/>
      <c r="LIM24" s="287"/>
      <c r="LIN24" s="287"/>
      <c r="LIO24" s="287"/>
      <c r="LIP24" s="287"/>
      <c r="LIQ24" s="287"/>
      <c r="LIR24" s="287"/>
      <c r="LIS24" s="287"/>
      <c r="LIT24" s="287"/>
      <c r="LIU24" s="287"/>
      <c r="LIV24" s="287"/>
      <c r="LIW24" s="632"/>
      <c r="LIX24" s="287"/>
      <c r="LIY24" s="633"/>
      <c r="LIZ24" s="287"/>
      <c r="LJA24" s="287"/>
      <c r="LJB24" s="287"/>
      <c r="LJC24" s="287"/>
      <c r="LJD24" s="287"/>
      <c r="LJE24" s="287"/>
      <c r="LJF24" s="287"/>
      <c r="LJG24" s="287"/>
      <c r="LJH24" s="287"/>
      <c r="LJI24" s="287"/>
      <c r="LJJ24" s="287"/>
      <c r="LJK24" s="287"/>
      <c r="LJL24" s="287"/>
      <c r="LJM24" s="632"/>
      <c r="LJN24" s="287"/>
      <c r="LJO24" s="633"/>
      <c r="LJP24" s="287"/>
      <c r="LJQ24" s="287"/>
      <c r="LJR24" s="287"/>
      <c r="LJS24" s="287"/>
      <c r="LJT24" s="287"/>
      <c r="LJU24" s="287"/>
      <c r="LJV24" s="287"/>
      <c r="LJW24" s="287"/>
      <c r="LJX24" s="287"/>
      <c r="LJY24" s="287"/>
      <c r="LJZ24" s="287"/>
      <c r="LKA24" s="287"/>
      <c r="LKB24" s="287"/>
      <c r="LKC24" s="632"/>
      <c r="LKD24" s="287"/>
      <c r="LKE24" s="633"/>
      <c r="LKF24" s="287"/>
      <c r="LKG24" s="287"/>
      <c r="LKH24" s="287"/>
      <c r="LKI24" s="287"/>
      <c r="LKJ24" s="287"/>
      <c r="LKK24" s="287"/>
      <c r="LKL24" s="287"/>
      <c r="LKM24" s="287"/>
      <c r="LKN24" s="287"/>
      <c r="LKO24" s="287"/>
      <c r="LKP24" s="287"/>
      <c r="LKQ24" s="287"/>
      <c r="LKR24" s="287"/>
      <c r="LKS24" s="632"/>
      <c r="LKT24" s="287"/>
      <c r="LKU24" s="633"/>
      <c r="LKV24" s="287"/>
      <c r="LKW24" s="287"/>
      <c r="LKX24" s="287"/>
      <c r="LKY24" s="287"/>
      <c r="LKZ24" s="287"/>
      <c r="LLA24" s="287"/>
      <c r="LLB24" s="287"/>
      <c r="LLC24" s="287"/>
      <c r="LLD24" s="287"/>
      <c r="LLE24" s="287"/>
      <c r="LLF24" s="287"/>
      <c r="LLG24" s="287"/>
      <c r="LLH24" s="287"/>
      <c r="LLI24" s="632"/>
      <c r="LLJ24" s="287"/>
      <c r="LLK24" s="633"/>
      <c r="LLL24" s="287"/>
      <c r="LLM24" s="287"/>
      <c r="LLN24" s="287"/>
      <c r="LLO24" s="287"/>
      <c r="LLP24" s="287"/>
      <c r="LLQ24" s="287"/>
      <c r="LLR24" s="287"/>
      <c r="LLS24" s="287"/>
      <c r="LLT24" s="287"/>
      <c r="LLU24" s="287"/>
      <c r="LLV24" s="287"/>
      <c r="LLW24" s="287"/>
      <c r="LLX24" s="287"/>
      <c r="LLY24" s="632"/>
      <c r="LLZ24" s="287"/>
      <c r="LMA24" s="633"/>
      <c r="LMB24" s="287"/>
      <c r="LMC24" s="287"/>
      <c r="LMD24" s="287"/>
      <c r="LME24" s="287"/>
      <c r="LMF24" s="287"/>
      <c r="LMG24" s="287"/>
      <c r="LMH24" s="287"/>
      <c r="LMI24" s="287"/>
      <c r="LMJ24" s="287"/>
      <c r="LMK24" s="287"/>
      <c r="LML24" s="287"/>
      <c r="LMM24" s="287"/>
      <c r="LMN24" s="287"/>
      <c r="LMO24" s="632"/>
      <c r="LMP24" s="287"/>
      <c r="LMQ24" s="633"/>
      <c r="LMR24" s="287"/>
      <c r="LMS24" s="287"/>
      <c r="LMT24" s="287"/>
      <c r="LMU24" s="287"/>
      <c r="LMV24" s="287"/>
      <c r="LMW24" s="287"/>
      <c r="LMX24" s="287"/>
      <c r="LMY24" s="287"/>
      <c r="LMZ24" s="287"/>
      <c r="LNA24" s="287"/>
      <c r="LNB24" s="287"/>
      <c r="LNC24" s="287"/>
      <c r="LND24" s="287"/>
      <c r="LNE24" s="632"/>
      <c r="LNF24" s="287"/>
      <c r="LNG24" s="633"/>
      <c r="LNH24" s="287"/>
      <c r="LNI24" s="287"/>
      <c r="LNJ24" s="287"/>
      <c r="LNK24" s="287"/>
      <c r="LNL24" s="287"/>
      <c r="LNM24" s="287"/>
      <c r="LNN24" s="287"/>
      <c r="LNO24" s="287"/>
      <c r="LNP24" s="287"/>
      <c r="LNQ24" s="287"/>
      <c r="LNR24" s="287"/>
      <c r="LNS24" s="287"/>
      <c r="LNT24" s="287"/>
      <c r="LNU24" s="632"/>
      <c r="LNV24" s="287"/>
      <c r="LNW24" s="633"/>
      <c r="LNX24" s="287"/>
      <c r="LNY24" s="287"/>
      <c r="LNZ24" s="287"/>
      <c r="LOA24" s="287"/>
      <c r="LOB24" s="287"/>
      <c r="LOC24" s="287"/>
      <c r="LOD24" s="287"/>
      <c r="LOE24" s="287"/>
      <c r="LOF24" s="287"/>
      <c r="LOG24" s="287"/>
      <c r="LOH24" s="287"/>
      <c r="LOI24" s="287"/>
      <c r="LOJ24" s="287"/>
      <c r="LOK24" s="632"/>
      <c r="LOL24" s="287"/>
      <c r="LOM24" s="633"/>
      <c r="LON24" s="287"/>
      <c r="LOO24" s="287"/>
      <c r="LOP24" s="287"/>
      <c r="LOQ24" s="287"/>
      <c r="LOR24" s="287"/>
      <c r="LOS24" s="287"/>
      <c r="LOT24" s="287"/>
      <c r="LOU24" s="287"/>
      <c r="LOV24" s="287"/>
      <c r="LOW24" s="287"/>
      <c r="LOX24" s="287"/>
      <c r="LOY24" s="287"/>
      <c r="LOZ24" s="287"/>
      <c r="LPA24" s="632"/>
      <c r="LPB24" s="287"/>
      <c r="LPC24" s="633"/>
      <c r="LPD24" s="287"/>
      <c r="LPE24" s="287"/>
      <c r="LPF24" s="287"/>
      <c r="LPG24" s="287"/>
      <c r="LPH24" s="287"/>
      <c r="LPI24" s="287"/>
      <c r="LPJ24" s="287"/>
      <c r="LPK24" s="287"/>
      <c r="LPL24" s="287"/>
      <c r="LPM24" s="287"/>
      <c r="LPN24" s="287"/>
      <c r="LPO24" s="287"/>
      <c r="LPP24" s="287"/>
      <c r="LPQ24" s="632"/>
      <c r="LPR24" s="287"/>
      <c r="LPS24" s="633"/>
      <c r="LPT24" s="287"/>
      <c r="LPU24" s="287"/>
      <c r="LPV24" s="287"/>
      <c r="LPW24" s="287"/>
      <c r="LPX24" s="287"/>
      <c r="LPY24" s="287"/>
      <c r="LPZ24" s="287"/>
      <c r="LQA24" s="287"/>
      <c r="LQB24" s="287"/>
      <c r="LQC24" s="287"/>
      <c r="LQD24" s="287"/>
      <c r="LQE24" s="287"/>
      <c r="LQF24" s="287"/>
      <c r="LQG24" s="632"/>
      <c r="LQH24" s="287"/>
      <c r="LQI24" s="633"/>
      <c r="LQJ24" s="287"/>
      <c r="LQK24" s="287"/>
      <c r="LQL24" s="287"/>
      <c r="LQM24" s="287"/>
      <c r="LQN24" s="287"/>
      <c r="LQO24" s="287"/>
      <c r="LQP24" s="287"/>
      <c r="LQQ24" s="287"/>
      <c r="LQR24" s="287"/>
      <c r="LQS24" s="287"/>
      <c r="LQT24" s="287"/>
      <c r="LQU24" s="287"/>
      <c r="LQV24" s="287"/>
      <c r="LQW24" s="632"/>
      <c r="LQX24" s="287"/>
      <c r="LQY24" s="633"/>
      <c r="LQZ24" s="287"/>
      <c r="LRA24" s="287"/>
      <c r="LRB24" s="287"/>
      <c r="LRC24" s="287"/>
      <c r="LRD24" s="287"/>
      <c r="LRE24" s="287"/>
      <c r="LRF24" s="287"/>
      <c r="LRG24" s="287"/>
      <c r="LRH24" s="287"/>
      <c r="LRI24" s="287"/>
      <c r="LRJ24" s="287"/>
      <c r="LRK24" s="287"/>
      <c r="LRL24" s="287"/>
      <c r="LRM24" s="632"/>
      <c r="LRN24" s="287"/>
      <c r="LRO24" s="633"/>
      <c r="LRP24" s="287"/>
      <c r="LRQ24" s="287"/>
      <c r="LRR24" s="287"/>
      <c r="LRS24" s="287"/>
      <c r="LRT24" s="287"/>
      <c r="LRU24" s="287"/>
      <c r="LRV24" s="287"/>
      <c r="LRW24" s="287"/>
      <c r="LRX24" s="287"/>
      <c r="LRY24" s="287"/>
      <c r="LRZ24" s="287"/>
      <c r="LSA24" s="287"/>
      <c r="LSB24" s="287"/>
      <c r="LSC24" s="632"/>
      <c r="LSD24" s="287"/>
      <c r="LSE24" s="633"/>
      <c r="LSF24" s="287"/>
      <c r="LSG24" s="287"/>
      <c r="LSH24" s="287"/>
      <c r="LSI24" s="287"/>
      <c r="LSJ24" s="287"/>
      <c r="LSK24" s="287"/>
      <c r="LSL24" s="287"/>
      <c r="LSM24" s="287"/>
      <c r="LSN24" s="287"/>
      <c r="LSO24" s="287"/>
      <c r="LSP24" s="287"/>
      <c r="LSQ24" s="287"/>
      <c r="LSR24" s="287"/>
      <c r="LSS24" s="632"/>
      <c r="LST24" s="287"/>
      <c r="LSU24" s="633"/>
      <c r="LSV24" s="287"/>
      <c r="LSW24" s="287"/>
      <c r="LSX24" s="287"/>
      <c r="LSY24" s="287"/>
      <c r="LSZ24" s="287"/>
      <c r="LTA24" s="287"/>
      <c r="LTB24" s="287"/>
      <c r="LTC24" s="287"/>
      <c r="LTD24" s="287"/>
      <c r="LTE24" s="287"/>
      <c r="LTF24" s="287"/>
      <c r="LTG24" s="287"/>
      <c r="LTH24" s="287"/>
      <c r="LTI24" s="632"/>
      <c r="LTJ24" s="287"/>
      <c r="LTK24" s="633"/>
      <c r="LTL24" s="287"/>
      <c r="LTM24" s="287"/>
      <c r="LTN24" s="287"/>
      <c r="LTO24" s="287"/>
      <c r="LTP24" s="287"/>
      <c r="LTQ24" s="287"/>
      <c r="LTR24" s="287"/>
      <c r="LTS24" s="287"/>
      <c r="LTT24" s="287"/>
      <c r="LTU24" s="287"/>
      <c r="LTV24" s="287"/>
      <c r="LTW24" s="287"/>
      <c r="LTX24" s="287"/>
      <c r="LTY24" s="632"/>
      <c r="LTZ24" s="287"/>
      <c r="LUA24" s="633"/>
      <c r="LUB24" s="287"/>
      <c r="LUC24" s="287"/>
      <c r="LUD24" s="287"/>
      <c r="LUE24" s="287"/>
      <c r="LUF24" s="287"/>
      <c r="LUG24" s="287"/>
      <c r="LUH24" s="287"/>
      <c r="LUI24" s="287"/>
      <c r="LUJ24" s="287"/>
      <c r="LUK24" s="287"/>
      <c r="LUL24" s="287"/>
      <c r="LUM24" s="287"/>
      <c r="LUN24" s="287"/>
      <c r="LUO24" s="632"/>
      <c r="LUP24" s="287"/>
      <c r="LUQ24" s="633"/>
      <c r="LUR24" s="287"/>
      <c r="LUS24" s="287"/>
      <c r="LUT24" s="287"/>
      <c r="LUU24" s="287"/>
      <c r="LUV24" s="287"/>
      <c r="LUW24" s="287"/>
      <c r="LUX24" s="287"/>
      <c r="LUY24" s="287"/>
      <c r="LUZ24" s="287"/>
      <c r="LVA24" s="287"/>
      <c r="LVB24" s="287"/>
      <c r="LVC24" s="287"/>
      <c r="LVD24" s="287"/>
      <c r="LVE24" s="632"/>
      <c r="LVF24" s="287"/>
      <c r="LVG24" s="633"/>
      <c r="LVH24" s="287"/>
      <c r="LVI24" s="287"/>
      <c r="LVJ24" s="287"/>
      <c r="LVK24" s="287"/>
      <c r="LVL24" s="287"/>
      <c r="LVM24" s="287"/>
      <c r="LVN24" s="287"/>
      <c r="LVO24" s="287"/>
      <c r="LVP24" s="287"/>
      <c r="LVQ24" s="287"/>
      <c r="LVR24" s="287"/>
      <c r="LVS24" s="287"/>
      <c r="LVT24" s="287"/>
      <c r="LVU24" s="632"/>
      <c r="LVV24" s="287"/>
      <c r="LVW24" s="633"/>
      <c r="LVX24" s="287"/>
      <c r="LVY24" s="287"/>
      <c r="LVZ24" s="287"/>
      <c r="LWA24" s="287"/>
      <c r="LWB24" s="287"/>
      <c r="LWC24" s="287"/>
      <c r="LWD24" s="287"/>
      <c r="LWE24" s="287"/>
      <c r="LWF24" s="287"/>
      <c r="LWG24" s="287"/>
      <c r="LWH24" s="287"/>
      <c r="LWI24" s="287"/>
      <c r="LWJ24" s="287"/>
      <c r="LWK24" s="632"/>
      <c r="LWL24" s="287"/>
      <c r="LWM24" s="633"/>
      <c r="LWN24" s="287"/>
      <c r="LWO24" s="287"/>
      <c r="LWP24" s="287"/>
      <c r="LWQ24" s="287"/>
      <c r="LWR24" s="287"/>
      <c r="LWS24" s="287"/>
      <c r="LWT24" s="287"/>
      <c r="LWU24" s="287"/>
      <c r="LWV24" s="287"/>
      <c r="LWW24" s="287"/>
      <c r="LWX24" s="287"/>
      <c r="LWY24" s="287"/>
      <c r="LWZ24" s="287"/>
      <c r="LXA24" s="632"/>
      <c r="LXB24" s="287"/>
      <c r="LXC24" s="633"/>
      <c r="LXD24" s="287"/>
      <c r="LXE24" s="287"/>
      <c r="LXF24" s="287"/>
      <c r="LXG24" s="287"/>
      <c r="LXH24" s="287"/>
      <c r="LXI24" s="287"/>
      <c r="LXJ24" s="287"/>
      <c r="LXK24" s="287"/>
      <c r="LXL24" s="287"/>
      <c r="LXM24" s="287"/>
      <c r="LXN24" s="287"/>
      <c r="LXO24" s="287"/>
      <c r="LXP24" s="287"/>
      <c r="LXQ24" s="632"/>
      <c r="LXR24" s="287"/>
      <c r="LXS24" s="633"/>
      <c r="LXT24" s="287"/>
      <c r="LXU24" s="287"/>
      <c r="LXV24" s="287"/>
      <c r="LXW24" s="287"/>
      <c r="LXX24" s="287"/>
      <c r="LXY24" s="287"/>
      <c r="LXZ24" s="287"/>
      <c r="LYA24" s="287"/>
      <c r="LYB24" s="287"/>
      <c r="LYC24" s="287"/>
      <c r="LYD24" s="287"/>
      <c r="LYE24" s="287"/>
      <c r="LYF24" s="287"/>
      <c r="LYG24" s="632"/>
      <c r="LYH24" s="287"/>
      <c r="LYI24" s="633"/>
      <c r="LYJ24" s="287"/>
      <c r="LYK24" s="287"/>
      <c r="LYL24" s="287"/>
      <c r="LYM24" s="287"/>
      <c r="LYN24" s="287"/>
      <c r="LYO24" s="287"/>
      <c r="LYP24" s="287"/>
      <c r="LYQ24" s="287"/>
      <c r="LYR24" s="287"/>
      <c r="LYS24" s="287"/>
      <c r="LYT24" s="287"/>
      <c r="LYU24" s="287"/>
      <c r="LYV24" s="287"/>
      <c r="LYW24" s="632"/>
      <c r="LYX24" s="287"/>
      <c r="LYY24" s="633"/>
      <c r="LYZ24" s="287"/>
      <c r="LZA24" s="287"/>
      <c r="LZB24" s="287"/>
      <c r="LZC24" s="287"/>
      <c r="LZD24" s="287"/>
      <c r="LZE24" s="287"/>
      <c r="LZF24" s="287"/>
      <c r="LZG24" s="287"/>
      <c r="LZH24" s="287"/>
      <c r="LZI24" s="287"/>
      <c r="LZJ24" s="287"/>
      <c r="LZK24" s="287"/>
      <c r="LZL24" s="287"/>
      <c r="LZM24" s="632"/>
      <c r="LZN24" s="287"/>
      <c r="LZO24" s="633"/>
      <c r="LZP24" s="287"/>
      <c r="LZQ24" s="287"/>
      <c r="LZR24" s="287"/>
      <c r="LZS24" s="287"/>
      <c r="LZT24" s="287"/>
      <c r="LZU24" s="287"/>
      <c r="LZV24" s="287"/>
      <c r="LZW24" s="287"/>
      <c r="LZX24" s="287"/>
      <c r="LZY24" s="287"/>
      <c r="LZZ24" s="287"/>
      <c r="MAA24" s="287"/>
      <c r="MAB24" s="287"/>
      <c r="MAC24" s="632"/>
      <c r="MAD24" s="287"/>
      <c r="MAE24" s="633"/>
      <c r="MAF24" s="287"/>
      <c r="MAG24" s="287"/>
      <c r="MAH24" s="287"/>
      <c r="MAI24" s="287"/>
      <c r="MAJ24" s="287"/>
      <c r="MAK24" s="287"/>
      <c r="MAL24" s="287"/>
      <c r="MAM24" s="287"/>
      <c r="MAN24" s="287"/>
      <c r="MAO24" s="287"/>
      <c r="MAP24" s="287"/>
      <c r="MAQ24" s="287"/>
      <c r="MAR24" s="287"/>
      <c r="MAS24" s="632"/>
      <c r="MAT24" s="287"/>
      <c r="MAU24" s="633"/>
      <c r="MAV24" s="287"/>
      <c r="MAW24" s="287"/>
      <c r="MAX24" s="287"/>
      <c r="MAY24" s="287"/>
      <c r="MAZ24" s="287"/>
      <c r="MBA24" s="287"/>
      <c r="MBB24" s="287"/>
      <c r="MBC24" s="287"/>
      <c r="MBD24" s="287"/>
      <c r="MBE24" s="287"/>
      <c r="MBF24" s="287"/>
      <c r="MBG24" s="287"/>
      <c r="MBH24" s="287"/>
      <c r="MBI24" s="632"/>
      <c r="MBJ24" s="287"/>
      <c r="MBK24" s="633"/>
      <c r="MBL24" s="287"/>
      <c r="MBM24" s="287"/>
      <c r="MBN24" s="287"/>
      <c r="MBO24" s="287"/>
      <c r="MBP24" s="287"/>
      <c r="MBQ24" s="287"/>
      <c r="MBR24" s="287"/>
      <c r="MBS24" s="287"/>
      <c r="MBT24" s="287"/>
      <c r="MBU24" s="287"/>
      <c r="MBV24" s="287"/>
      <c r="MBW24" s="287"/>
      <c r="MBX24" s="287"/>
      <c r="MBY24" s="632"/>
      <c r="MBZ24" s="287"/>
      <c r="MCA24" s="633"/>
      <c r="MCB24" s="287"/>
      <c r="MCC24" s="287"/>
      <c r="MCD24" s="287"/>
      <c r="MCE24" s="287"/>
      <c r="MCF24" s="287"/>
      <c r="MCG24" s="287"/>
      <c r="MCH24" s="287"/>
      <c r="MCI24" s="287"/>
      <c r="MCJ24" s="287"/>
      <c r="MCK24" s="287"/>
      <c r="MCL24" s="287"/>
      <c r="MCM24" s="287"/>
      <c r="MCN24" s="287"/>
      <c r="MCO24" s="632"/>
      <c r="MCP24" s="287"/>
      <c r="MCQ24" s="633"/>
      <c r="MCR24" s="287"/>
      <c r="MCS24" s="287"/>
      <c r="MCT24" s="287"/>
      <c r="MCU24" s="287"/>
      <c r="MCV24" s="287"/>
      <c r="MCW24" s="287"/>
      <c r="MCX24" s="287"/>
      <c r="MCY24" s="287"/>
      <c r="MCZ24" s="287"/>
      <c r="MDA24" s="287"/>
      <c r="MDB24" s="287"/>
      <c r="MDC24" s="287"/>
      <c r="MDD24" s="287"/>
      <c r="MDE24" s="632"/>
      <c r="MDF24" s="287"/>
      <c r="MDG24" s="633"/>
      <c r="MDH24" s="287"/>
      <c r="MDI24" s="287"/>
      <c r="MDJ24" s="287"/>
      <c r="MDK24" s="287"/>
      <c r="MDL24" s="287"/>
      <c r="MDM24" s="287"/>
      <c r="MDN24" s="287"/>
      <c r="MDO24" s="287"/>
      <c r="MDP24" s="287"/>
      <c r="MDQ24" s="287"/>
      <c r="MDR24" s="287"/>
      <c r="MDS24" s="287"/>
      <c r="MDT24" s="287"/>
      <c r="MDU24" s="632"/>
      <c r="MDV24" s="287"/>
      <c r="MDW24" s="633"/>
      <c r="MDX24" s="287"/>
      <c r="MDY24" s="287"/>
      <c r="MDZ24" s="287"/>
      <c r="MEA24" s="287"/>
      <c r="MEB24" s="287"/>
      <c r="MEC24" s="287"/>
      <c r="MED24" s="287"/>
      <c r="MEE24" s="287"/>
      <c r="MEF24" s="287"/>
      <c r="MEG24" s="287"/>
      <c r="MEH24" s="287"/>
      <c r="MEI24" s="287"/>
      <c r="MEJ24" s="287"/>
      <c r="MEK24" s="632"/>
      <c r="MEL24" s="287"/>
      <c r="MEM24" s="633"/>
      <c r="MEN24" s="287"/>
      <c r="MEO24" s="287"/>
      <c r="MEP24" s="287"/>
      <c r="MEQ24" s="287"/>
      <c r="MER24" s="287"/>
      <c r="MES24" s="287"/>
      <c r="MET24" s="287"/>
      <c r="MEU24" s="287"/>
      <c r="MEV24" s="287"/>
      <c r="MEW24" s="287"/>
      <c r="MEX24" s="287"/>
      <c r="MEY24" s="287"/>
      <c r="MEZ24" s="287"/>
      <c r="MFA24" s="632"/>
      <c r="MFB24" s="287"/>
      <c r="MFC24" s="633"/>
      <c r="MFD24" s="287"/>
      <c r="MFE24" s="287"/>
      <c r="MFF24" s="287"/>
      <c r="MFG24" s="287"/>
      <c r="MFH24" s="287"/>
      <c r="MFI24" s="287"/>
      <c r="MFJ24" s="287"/>
      <c r="MFK24" s="287"/>
      <c r="MFL24" s="287"/>
      <c r="MFM24" s="287"/>
      <c r="MFN24" s="287"/>
      <c r="MFO24" s="287"/>
      <c r="MFP24" s="287"/>
      <c r="MFQ24" s="632"/>
      <c r="MFR24" s="287"/>
      <c r="MFS24" s="633"/>
      <c r="MFT24" s="287"/>
      <c r="MFU24" s="287"/>
      <c r="MFV24" s="287"/>
      <c r="MFW24" s="287"/>
      <c r="MFX24" s="287"/>
      <c r="MFY24" s="287"/>
      <c r="MFZ24" s="287"/>
      <c r="MGA24" s="287"/>
      <c r="MGB24" s="287"/>
      <c r="MGC24" s="287"/>
      <c r="MGD24" s="287"/>
      <c r="MGE24" s="287"/>
      <c r="MGF24" s="287"/>
      <c r="MGG24" s="632"/>
      <c r="MGH24" s="287"/>
      <c r="MGI24" s="633"/>
      <c r="MGJ24" s="287"/>
      <c r="MGK24" s="287"/>
      <c r="MGL24" s="287"/>
      <c r="MGM24" s="287"/>
      <c r="MGN24" s="287"/>
      <c r="MGO24" s="287"/>
      <c r="MGP24" s="287"/>
      <c r="MGQ24" s="287"/>
      <c r="MGR24" s="287"/>
      <c r="MGS24" s="287"/>
      <c r="MGT24" s="287"/>
      <c r="MGU24" s="287"/>
      <c r="MGV24" s="287"/>
      <c r="MGW24" s="632"/>
      <c r="MGX24" s="287"/>
      <c r="MGY24" s="633"/>
      <c r="MGZ24" s="287"/>
      <c r="MHA24" s="287"/>
      <c r="MHB24" s="287"/>
      <c r="MHC24" s="287"/>
      <c r="MHD24" s="287"/>
      <c r="MHE24" s="287"/>
      <c r="MHF24" s="287"/>
      <c r="MHG24" s="287"/>
      <c r="MHH24" s="287"/>
      <c r="MHI24" s="287"/>
      <c r="MHJ24" s="287"/>
      <c r="MHK24" s="287"/>
      <c r="MHL24" s="287"/>
      <c r="MHM24" s="632"/>
      <c r="MHN24" s="287"/>
      <c r="MHO24" s="633"/>
      <c r="MHP24" s="287"/>
      <c r="MHQ24" s="287"/>
      <c r="MHR24" s="287"/>
      <c r="MHS24" s="287"/>
      <c r="MHT24" s="287"/>
      <c r="MHU24" s="287"/>
      <c r="MHV24" s="287"/>
      <c r="MHW24" s="287"/>
      <c r="MHX24" s="287"/>
      <c r="MHY24" s="287"/>
      <c r="MHZ24" s="287"/>
      <c r="MIA24" s="287"/>
      <c r="MIB24" s="287"/>
      <c r="MIC24" s="632"/>
      <c r="MID24" s="287"/>
      <c r="MIE24" s="633"/>
      <c r="MIF24" s="287"/>
      <c r="MIG24" s="287"/>
      <c r="MIH24" s="287"/>
      <c r="MII24" s="287"/>
      <c r="MIJ24" s="287"/>
      <c r="MIK24" s="287"/>
      <c r="MIL24" s="287"/>
      <c r="MIM24" s="287"/>
      <c r="MIN24" s="287"/>
      <c r="MIO24" s="287"/>
      <c r="MIP24" s="287"/>
      <c r="MIQ24" s="287"/>
      <c r="MIR24" s="287"/>
      <c r="MIS24" s="632"/>
      <c r="MIT24" s="287"/>
      <c r="MIU24" s="633"/>
      <c r="MIV24" s="287"/>
      <c r="MIW24" s="287"/>
      <c r="MIX24" s="287"/>
      <c r="MIY24" s="287"/>
      <c r="MIZ24" s="287"/>
      <c r="MJA24" s="287"/>
      <c r="MJB24" s="287"/>
      <c r="MJC24" s="287"/>
      <c r="MJD24" s="287"/>
      <c r="MJE24" s="287"/>
      <c r="MJF24" s="287"/>
      <c r="MJG24" s="287"/>
      <c r="MJH24" s="287"/>
      <c r="MJI24" s="632"/>
      <c r="MJJ24" s="287"/>
      <c r="MJK24" s="633"/>
      <c r="MJL24" s="287"/>
      <c r="MJM24" s="287"/>
      <c r="MJN24" s="287"/>
      <c r="MJO24" s="287"/>
      <c r="MJP24" s="287"/>
      <c r="MJQ24" s="287"/>
      <c r="MJR24" s="287"/>
      <c r="MJS24" s="287"/>
      <c r="MJT24" s="287"/>
      <c r="MJU24" s="287"/>
      <c r="MJV24" s="287"/>
      <c r="MJW24" s="287"/>
      <c r="MJX24" s="287"/>
      <c r="MJY24" s="632"/>
      <c r="MJZ24" s="287"/>
      <c r="MKA24" s="633"/>
      <c r="MKB24" s="287"/>
      <c r="MKC24" s="287"/>
      <c r="MKD24" s="287"/>
      <c r="MKE24" s="287"/>
      <c r="MKF24" s="287"/>
      <c r="MKG24" s="287"/>
      <c r="MKH24" s="287"/>
      <c r="MKI24" s="287"/>
      <c r="MKJ24" s="287"/>
      <c r="MKK24" s="287"/>
      <c r="MKL24" s="287"/>
      <c r="MKM24" s="287"/>
      <c r="MKN24" s="287"/>
      <c r="MKO24" s="632"/>
      <c r="MKP24" s="287"/>
      <c r="MKQ24" s="633"/>
      <c r="MKR24" s="287"/>
      <c r="MKS24" s="287"/>
      <c r="MKT24" s="287"/>
      <c r="MKU24" s="287"/>
      <c r="MKV24" s="287"/>
      <c r="MKW24" s="287"/>
      <c r="MKX24" s="287"/>
      <c r="MKY24" s="287"/>
      <c r="MKZ24" s="287"/>
      <c r="MLA24" s="287"/>
      <c r="MLB24" s="287"/>
      <c r="MLC24" s="287"/>
      <c r="MLD24" s="287"/>
      <c r="MLE24" s="632"/>
      <c r="MLF24" s="287"/>
      <c r="MLG24" s="633"/>
      <c r="MLH24" s="287"/>
      <c r="MLI24" s="287"/>
      <c r="MLJ24" s="287"/>
      <c r="MLK24" s="287"/>
      <c r="MLL24" s="287"/>
      <c r="MLM24" s="287"/>
      <c r="MLN24" s="287"/>
      <c r="MLO24" s="287"/>
      <c r="MLP24" s="287"/>
      <c r="MLQ24" s="287"/>
      <c r="MLR24" s="287"/>
      <c r="MLS24" s="287"/>
      <c r="MLT24" s="287"/>
      <c r="MLU24" s="632"/>
      <c r="MLV24" s="287"/>
      <c r="MLW24" s="633"/>
      <c r="MLX24" s="287"/>
      <c r="MLY24" s="287"/>
      <c r="MLZ24" s="287"/>
      <c r="MMA24" s="287"/>
      <c r="MMB24" s="287"/>
      <c r="MMC24" s="287"/>
      <c r="MMD24" s="287"/>
      <c r="MME24" s="287"/>
      <c r="MMF24" s="287"/>
      <c r="MMG24" s="287"/>
      <c r="MMH24" s="287"/>
      <c r="MMI24" s="287"/>
      <c r="MMJ24" s="287"/>
      <c r="MMK24" s="632"/>
      <c r="MML24" s="287"/>
      <c r="MMM24" s="633"/>
      <c r="MMN24" s="287"/>
      <c r="MMO24" s="287"/>
      <c r="MMP24" s="287"/>
      <c r="MMQ24" s="287"/>
      <c r="MMR24" s="287"/>
      <c r="MMS24" s="287"/>
      <c r="MMT24" s="287"/>
      <c r="MMU24" s="287"/>
      <c r="MMV24" s="287"/>
      <c r="MMW24" s="287"/>
      <c r="MMX24" s="287"/>
      <c r="MMY24" s="287"/>
      <c r="MMZ24" s="287"/>
      <c r="MNA24" s="632"/>
      <c r="MNB24" s="287"/>
      <c r="MNC24" s="633"/>
      <c r="MND24" s="287"/>
      <c r="MNE24" s="287"/>
      <c r="MNF24" s="287"/>
      <c r="MNG24" s="287"/>
      <c r="MNH24" s="287"/>
      <c r="MNI24" s="287"/>
      <c r="MNJ24" s="287"/>
      <c r="MNK24" s="287"/>
      <c r="MNL24" s="287"/>
      <c r="MNM24" s="287"/>
      <c r="MNN24" s="287"/>
      <c r="MNO24" s="287"/>
      <c r="MNP24" s="287"/>
      <c r="MNQ24" s="632"/>
      <c r="MNR24" s="287"/>
      <c r="MNS24" s="633"/>
      <c r="MNT24" s="287"/>
      <c r="MNU24" s="287"/>
      <c r="MNV24" s="287"/>
      <c r="MNW24" s="287"/>
      <c r="MNX24" s="287"/>
      <c r="MNY24" s="287"/>
      <c r="MNZ24" s="287"/>
      <c r="MOA24" s="287"/>
      <c r="MOB24" s="287"/>
      <c r="MOC24" s="287"/>
      <c r="MOD24" s="287"/>
      <c r="MOE24" s="287"/>
      <c r="MOF24" s="287"/>
      <c r="MOG24" s="632"/>
      <c r="MOH24" s="287"/>
      <c r="MOI24" s="633"/>
      <c r="MOJ24" s="287"/>
      <c r="MOK24" s="287"/>
      <c r="MOL24" s="287"/>
      <c r="MOM24" s="287"/>
      <c r="MON24" s="287"/>
      <c r="MOO24" s="287"/>
      <c r="MOP24" s="287"/>
      <c r="MOQ24" s="287"/>
      <c r="MOR24" s="287"/>
      <c r="MOS24" s="287"/>
      <c r="MOT24" s="287"/>
      <c r="MOU24" s="287"/>
      <c r="MOV24" s="287"/>
      <c r="MOW24" s="632"/>
      <c r="MOX24" s="287"/>
      <c r="MOY24" s="633"/>
      <c r="MOZ24" s="287"/>
      <c r="MPA24" s="287"/>
      <c r="MPB24" s="287"/>
      <c r="MPC24" s="287"/>
      <c r="MPD24" s="287"/>
      <c r="MPE24" s="287"/>
      <c r="MPF24" s="287"/>
      <c r="MPG24" s="287"/>
      <c r="MPH24" s="287"/>
      <c r="MPI24" s="287"/>
      <c r="MPJ24" s="287"/>
      <c r="MPK24" s="287"/>
      <c r="MPL24" s="287"/>
      <c r="MPM24" s="632"/>
      <c r="MPN24" s="287"/>
      <c r="MPO24" s="633"/>
      <c r="MPP24" s="287"/>
      <c r="MPQ24" s="287"/>
      <c r="MPR24" s="287"/>
      <c r="MPS24" s="287"/>
      <c r="MPT24" s="287"/>
      <c r="MPU24" s="287"/>
      <c r="MPV24" s="287"/>
      <c r="MPW24" s="287"/>
      <c r="MPX24" s="287"/>
      <c r="MPY24" s="287"/>
      <c r="MPZ24" s="287"/>
      <c r="MQA24" s="287"/>
      <c r="MQB24" s="287"/>
      <c r="MQC24" s="632"/>
      <c r="MQD24" s="287"/>
      <c r="MQE24" s="633"/>
      <c r="MQF24" s="287"/>
      <c r="MQG24" s="287"/>
      <c r="MQH24" s="287"/>
      <c r="MQI24" s="287"/>
      <c r="MQJ24" s="287"/>
      <c r="MQK24" s="287"/>
      <c r="MQL24" s="287"/>
      <c r="MQM24" s="287"/>
      <c r="MQN24" s="287"/>
      <c r="MQO24" s="287"/>
      <c r="MQP24" s="287"/>
      <c r="MQQ24" s="287"/>
      <c r="MQR24" s="287"/>
      <c r="MQS24" s="632"/>
      <c r="MQT24" s="287"/>
      <c r="MQU24" s="633"/>
      <c r="MQV24" s="287"/>
      <c r="MQW24" s="287"/>
      <c r="MQX24" s="287"/>
      <c r="MQY24" s="287"/>
      <c r="MQZ24" s="287"/>
      <c r="MRA24" s="287"/>
      <c r="MRB24" s="287"/>
      <c r="MRC24" s="287"/>
      <c r="MRD24" s="287"/>
      <c r="MRE24" s="287"/>
      <c r="MRF24" s="287"/>
      <c r="MRG24" s="287"/>
      <c r="MRH24" s="287"/>
      <c r="MRI24" s="632"/>
      <c r="MRJ24" s="287"/>
      <c r="MRK24" s="633"/>
      <c r="MRL24" s="287"/>
      <c r="MRM24" s="287"/>
      <c r="MRN24" s="287"/>
      <c r="MRO24" s="287"/>
      <c r="MRP24" s="287"/>
      <c r="MRQ24" s="287"/>
      <c r="MRR24" s="287"/>
      <c r="MRS24" s="287"/>
      <c r="MRT24" s="287"/>
      <c r="MRU24" s="287"/>
      <c r="MRV24" s="287"/>
      <c r="MRW24" s="287"/>
      <c r="MRX24" s="287"/>
      <c r="MRY24" s="632"/>
      <c r="MRZ24" s="287"/>
      <c r="MSA24" s="633"/>
      <c r="MSB24" s="287"/>
      <c r="MSC24" s="287"/>
      <c r="MSD24" s="287"/>
      <c r="MSE24" s="287"/>
      <c r="MSF24" s="287"/>
      <c r="MSG24" s="287"/>
      <c r="MSH24" s="287"/>
      <c r="MSI24" s="287"/>
      <c r="MSJ24" s="287"/>
      <c r="MSK24" s="287"/>
      <c r="MSL24" s="287"/>
      <c r="MSM24" s="287"/>
      <c r="MSN24" s="287"/>
      <c r="MSO24" s="632"/>
      <c r="MSP24" s="287"/>
      <c r="MSQ24" s="633"/>
      <c r="MSR24" s="287"/>
      <c r="MSS24" s="287"/>
      <c r="MST24" s="287"/>
      <c r="MSU24" s="287"/>
      <c r="MSV24" s="287"/>
      <c r="MSW24" s="287"/>
      <c r="MSX24" s="287"/>
      <c r="MSY24" s="287"/>
      <c r="MSZ24" s="287"/>
      <c r="MTA24" s="287"/>
      <c r="MTB24" s="287"/>
      <c r="MTC24" s="287"/>
      <c r="MTD24" s="287"/>
      <c r="MTE24" s="632"/>
      <c r="MTF24" s="287"/>
      <c r="MTG24" s="633"/>
      <c r="MTH24" s="287"/>
      <c r="MTI24" s="287"/>
      <c r="MTJ24" s="287"/>
      <c r="MTK24" s="287"/>
      <c r="MTL24" s="287"/>
      <c r="MTM24" s="287"/>
      <c r="MTN24" s="287"/>
      <c r="MTO24" s="287"/>
      <c r="MTP24" s="287"/>
      <c r="MTQ24" s="287"/>
      <c r="MTR24" s="287"/>
      <c r="MTS24" s="287"/>
      <c r="MTT24" s="287"/>
      <c r="MTU24" s="632"/>
      <c r="MTV24" s="287"/>
      <c r="MTW24" s="633"/>
      <c r="MTX24" s="287"/>
      <c r="MTY24" s="287"/>
      <c r="MTZ24" s="287"/>
      <c r="MUA24" s="287"/>
      <c r="MUB24" s="287"/>
      <c r="MUC24" s="287"/>
      <c r="MUD24" s="287"/>
      <c r="MUE24" s="287"/>
      <c r="MUF24" s="287"/>
      <c r="MUG24" s="287"/>
      <c r="MUH24" s="287"/>
      <c r="MUI24" s="287"/>
      <c r="MUJ24" s="287"/>
      <c r="MUK24" s="632"/>
      <c r="MUL24" s="287"/>
      <c r="MUM24" s="633"/>
      <c r="MUN24" s="287"/>
      <c r="MUO24" s="287"/>
      <c r="MUP24" s="287"/>
      <c r="MUQ24" s="287"/>
      <c r="MUR24" s="287"/>
      <c r="MUS24" s="287"/>
      <c r="MUT24" s="287"/>
      <c r="MUU24" s="287"/>
      <c r="MUV24" s="287"/>
      <c r="MUW24" s="287"/>
      <c r="MUX24" s="287"/>
      <c r="MUY24" s="287"/>
      <c r="MUZ24" s="287"/>
      <c r="MVA24" s="632"/>
      <c r="MVB24" s="287"/>
      <c r="MVC24" s="633"/>
      <c r="MVD24" s="287"/>
      <c r="MVE24" s="287"/>
      <c r="MVF24" s="287"/>
      <c r="MVG24" s="287"/>
      <c r="MVH24" s="287"/>
      <c r="MVI24" s="287"/>
      <c r="MVJ24" s="287"/>
      <c r="MVK24" s="287"/>
      <c r="MVL24" s="287"/>
      <c r="MVM24" s="287"/>
      <c r="MVN24" s="287"/>
      <c r="MVO24" s="287"/>
      <c r="MVP24" s="287"/>
      <c r="MVQ24" s="632"/>
      <c r="MVR24" s="287"/>
      <c r="MVS24" s="633"/>
      <c r="MVT24" s="287"/>
      <c r="MVU24" s="287"/>
      <c r="MVV24" s="287"/>
      <c r="MVW24" s="287"/>
      <c r="MVX24" s="287"/>
      <c r="MVY24" s="287"/>
      <c r="MVZ24" s="287"/>
      <c r="MWA24" s="287"/>
      <c r="MWB24" s="287"/>
      <c r="MWC24" s="287"/>
      <c r="MWD24" s="287"/>
      <c r="MWE24" s="287"/>
      <c r="MWF24" s="287"/>
      <c r="MWG24" s="632"/>
      <c r="MWH24" s="287"/>
      <c r="MWI24" s="633"/>
      <c r="MWJ24" s="287"/>
      <c r="MWK24" s="287"/>
      <c r="MWL24" s="287"/>
      <c r="MWM24" s="287"/>
      <c r="MWN24" s="287"/>
      <c r="MWO24" s="287"/>
      <c r="MWP24" s="287"/>
      <c r="MWQ24" s="287"/>
      <c r="MWR24" s="287"/>
      <c r="MWS24" s="287"/>
      <c r="MWT24" s="287"/>
      <c r="MWU24" s="287"/>
      <c r="MWV24" s="287"/>
      <c r="MWW24" s="632"/>
      <c r="MWX24" s="287"/>
      <c r="MWY24" s="633"/>
      <c r="MWZ24" s="287"/>
      <c r="MXA24" s="287"/>
      <c r="MXB24" s="287"/>
      <c r="MXC24" s="287"/>
      <c r="MXD24" s="287"/>
      <c r="MXE24" s="287"/>
      <c r="MXF24" s="287"/>
      <c r="MXG24" s="287"/>
      <c r="MXH24" s="287"/>
      <c r="MXI24" s="287"/>
      <c r="MXJ24" s="287"/>
      <c r="MXK24" s="287"/>
      <c r="MXL24" s="287"/>
      <c r="MXM24" s="632"/>
      <c r="MXN24" s="287"/>
      <c r="MXO24" s="633"/>
      <c r="MXP24" s="287"/>
      <c r="MXQ24" s="287"/>
      <c r="MXR24" s="287"/>
      <c r="MXS24" s="287"/>
      <c r="MXT24" s="287"/>
      <c r="MXU24" s="287"/>
      <c r="MXV24" s="287"/>
      <c r="MXW24" s="287"/>
      <c r="MXX24" s="287"/>
      <c r="MXY24" s="287"/>
      <c r="MXZ24" s="287"/>
      <c r="MYA24" s="287"/>
      <c r="MYB24" s="287"/>
      <c r="MYC24" s="632"/>
      <c r="MYD24" s="287"/>
      <c r="MYE24" s="633"/>
      <c r="MYF24" s="287"/>
      <c r="MYG24" s="287"/>
      <c r="MYH24" s="287"/>
      <c r="MYI24" s="287"/>
      <c r="MYJ24" s="287"/>
      <c r="MYK24" s="287"/>
      <c r="MYL24" s="287"/>
      <c r="MYM24" s="287"/>
      <c r="MYN24" s="287"/>
      <c r="MYO24" s="287"/>
      <c r="MYP24" s="287"/>
      <c r="MYQ24" s="287"/>
      <c r="MYR24" s="287"/>
      <c r="MYS24" s="632"/>
      <c r="MYT24" s="287"/>
      <c r="MYU24" s="633"/>
      <c r="MYV24" s="287"/>
      <c r="MYW24" s="287"/>
      <c r="MYX24" s="287"/>
      <c r="MYY24" s="287"/>
      <c r="MYZ24" s="287"/>
      <c r="MZA24" s="287"/>
      <c r="MZB24" s="287"/>
      <c r="MZC24" s="287"/>
      <c r="MZD24" s="287"/>
      <c r="MZE24" s="287"/>
      <c r="MZF24" s="287"/>
      <c r="MZG24" s="287"/>
      <c r="MZH24" s="287"/>
      <c r="MZI24" s="632"/>
      <c r="MZJ24" s="287"/>
      <c r="MZK24" s="633"/>
      <c r="MZL24" s="287"/>
      <c r="MZM24" s="287"/>
      <c r="MZN24" s="287"/>
      <c r="MZO24" s="287"/>
      <c r="MZP24" s="287"/>
      <c r="MZQ24" s="287"/>
      <c r="MZR24" s="287"/>
      <c r="MZS24" s="287"/>
      <c r="MZT24" s="287"/>
      <c r="MZU24" s="287"/>
      <c r="MZV24" s="287"/>
      <c r="MZW24" s="287"/>
      <c r="MZX24" s="287"/>
      <c r="MZY24" s="632"/>
      <c r="MZZ24" s="287"/>
      <c r="NAA24" s="633"/>
      <c r="NAB24" s="287"/>
      <c r="NAC24" s="287"/>
      <c r="NAD24" s="287"/>
      <c r="NAE24" s="287"/>
      <c r="NAF24" s="287"/>
      <c r="NAG24" s="287"/>
      <c r="NAH24" s="287"/>
      <c r="NAI24" s="287"/>
      <c r="NAJ24" s="287"/>
      <c r="NAK24" s="287"/>
      <c r="NAL24" s="287"/>
      <c r="NAM24" s="287"/>
      <c r="NAN24" s="287"/>
      <c r="NAO24" s="632"/>
      <c r="NAP24" s="287"/>
      <c r="NAQ24" s="633"/>
      <c r="NAR24" s="287"/>
      <c r="NAS24" s="287"/>
      <c r="NAT24" s="287"/>
      <c r="NAU24" s="287"/>
      <c r="NAV24" s="287"/>
      <c r="NAW24" s="287"/>
      <c r="NAX24" s="287"/>
      <c r="NAY24" s="287"/>
      <c r="NAZ24" s="287"/>
      <c r="NBA24" s="287"/>
      <c r="NBB24" s="287"/>
      <c r="NBC24" s="287"/>
      <c r="NBD24" s="287"/>
      <c r="NBE24" s="632"/>
      <c r="NBF24" s="287"/>
      <c r="NBG24" s="633"/>
      <c r="NBH24" s="287"/>
      <c r="NBI24" s="287"/>
      <c r="NBJ24" s="287"/>
      <c r="NBK24" s="287"/>
      <c r="NBL24" s="287"/>
      <c r="NBM24" s="287"/>
      <c r="NBN24" s="287"/>
      <c r="NBO24" s="287"/>
      <c r="NBP24" s="287"/>
      <c r="NBQ24" s="287"/>
      <c r="NBR24" s="287"/>
      <c r="NBS24" s="287"/>
      <c r="NBT24" s="287"/>
      <c r="NBU24" s="632"/>
      <c r="NBV24" s="287"/>
      <c r="NBW24" s="633"/>
      <c r="NBX24" s="287"/>
      <c r="NBY24" s="287"/>
      <c r="NBZ24" s="287"/>
      <c r="NCA24" s="287"/>
      <c r="NCB24" s="287"/>
      <c r="NCC24" s="287"/>
      <c r="NCD24" s="287"/>
      <c r="NCE24" s="287"/>
      <c r="NCF24" s="287"/>
      <c r="NCG24" s="287"/>
      <c r="NCH24" s="287"/>
      <c r="NCI24" s="287"/>
      <c r="NCJ24" s="287"/>
      <c r="NCK24" s="632"/>
      <c r="NCL24" s="287"/>
      <c r="NCM24" s="633"/>
      <c r="NCN24" s="287"/>
      <c r="NCO24" s="287"/>
      <c r="NCP24" s="287"/>
      <c r="NCQ24" s="287"/>
      <c r="NCR24" s="287"/>
      <c r="NCS24" s="287"/>
      <c r="NCT24" s="287"/>
      <c r="NCU24" s="287"/>
      <c r="NCV24" s="287"/>
      <c r="NCW24" s="287"/>
      <c r="NCX24" s="287"/>
      <c r="NCY24" s="287"/>
      <c r="NCZ24" s="287"/>
      <c r="NDA24" s="632"/>
      <c r="NDB24" s="287"/>
      <c r="NDC24" s="633"/>
      <c r="NDD24" s="287"/>
      <c r="NDE24" s="287"/>
      <c r="NDF24" s="287"/>
      <c r="NDG24" s="287"/>
      <c r="NDH24" s="287"/>
      <c r="NDI24" s="287"/>
      <c r="NDJ24" s="287"/>
      <c r="NDK24" s="287"/>
      <c r="NDL24" s="287"/>
      <c r="NDM24" s="287"/>
      <c r="NDN24" s="287"/>
      <c r="NDO24" s="287"/>
      <c r="NDP24" s="287"/>
      <c r="NDQ24" s="632"/>
      <c r="NDR24" s="287"/>
      <c r="NDS24" s="633"/>
      <c r="NDT24" s="287"/>
      <c r="NDU24" s="287"/>
      <c r="NDV24" s="287"/>
      <c r="NDW24" s="287"/>
      <c r="NDX24" s="287"/>
      <c r="NDY24" s="287"/>
      <c r="NDZ24" s="287"/>
      <c r="NEA24" s="287"/>
      <c r="NEB24" s="287"/>
      <c r="NEC24" s="287"/>
      <c r="NED24" s="287"/>
      <c r="NEE24" s="287"/>
      <c r="NEF24" s="287"/>
      <c r="NEG24" s="632"/>
      <c r="NEH24" s="287"/>
      <c r="NEI24" s="633"/>
      <c r="NEJ24" s="287"/>
      <c r="NEK24" s="287"/>
      <c r="NEL24" s="287"/>
      <c r="NEM24" s="287"/>
      <c r="NEN24" s="287"/>
      <c r="NEO24" s="287"/>
      <c r="NEP24" s="287"/>
      <c r="NEQ24" s="287"/>
      <c r="NER24" s="287"/>
      <c r="NES24" s="287"/>
      <c r="NET24" s="287"/>
      <c r="NEU24" s="287"/>
      <c r="NEV24" s="287"/>
      <c r="NEW24" s="632"/>
      <c r="NEX24" s="287"/>
      <c r="NEY24" s="633"/>
      <c r="NEZ24" s="287"/>
      <c r="NFA24" s="287"/>
      <c r="NFB24" s="287"/>
      <c r="NFC24" s="287"/>
      <c r="NFD24" s="287"/>
      <c r="NFE24" s="287"/>
      <c r="NFF24" s="287"/>
      <c r="NFG24" s="287"/>
      <c r="NFH24" s="287"/>
      <c r="NFI24" s="287"/>
      <c r="NFJ24" s="287"/>
      <c r="NFK24" s="287"/>
      <c r="NFL24" s="287"/>
      <c r="NFM24" s="632"/>
      <c r="NFN24" s="287"/>
      <c r="NFO24" s="633"/>
      <c r="NFP24" s="287"/>
      <c r="NFQ24" s="287"/>
      <c r="NFR24" s="287"/>
      <c r="NFS24" s="287"/>
      <c r="NFT24" s="287"/>
      <c r="NFU24" s="287"/>
      <c r="NFV24" s="287"/>
      <c r="NFW24" s="287"/>
      <c r="NFX24" s="287"/>
      <c r="NFY24" s="287"/>
      <c r="NFZ24" s="287"/>
      <c r="NGA24" s="287"/>
      <c r="NGB24" s="287"/>
      <c r="NGC24" s="632"/>
      <c r="NGD24" s="287"/>
      <c r="NGE24" s="633"/>
      <c r="NGF24" s="287"/>
      <c r="NGG24" s="287"/>
      <c r="NGH24" s="287"/>
      <c r="NGI24" s="287"/>
      <c r="NGJ24" s="287"/>
      <c r="NGK24" s="287"/>
      <c r="NGL24" s="287"/>
      <c r="NGM24" s="287"/>
      <c r="NGN24" s="287"/>
      <c r="NGO24" s="287"/>
      <c r="NGP24" s="287"/>
      <c r="NGQ24" s="287"/>
      <c r="NGR24" s="287"/>
      <c r="NGS24" s="632"/>
      <c r="NGT24" s="287"/>
      <c r="NGU24" s="633"/>
      <c r="NGV24" s="287"/>
      <c r="NGW24" s="287"/>
      <c r="NGX24" s="287"/>
      <c r="NGY24" s="287"/>
      <c r="NGZ24" s="287"/>
      <c r="NHA24" s="287"/>
      <c r="NHB24" s="287"/>
      <c r="NHC24" s="287"/>
      <c r="NHD24" s="287"/>
      <c r="NHE24" s="287"/>
      <c r="NHF24" s="287"/>
      <c r="NHG24" s="287"/>
      <c r="NHH24" s="287"/>
      <c r="NHI24" s="632"/>
      <c r="NHJ24" s="287"/>
      <c r="NHK24" s="633"/>
      <c r="NHL24" s="287"/>
      <c r="NHM24" s="287"/>
      <c r="NHN24" s="287"/>
      <c r="NHO24" s="287"/>
      <c r="NHP24" s="287"/>
      <c r="NHQ24" s="287"/>
      <c r="NHR24" s="287"/>
      <c r="NHS24" s="287"/>
      <c r="NHT24" s="287"/>
      <c r="NHU24" s="287"/>
      <c r="NHV24" s="287"/>
      <c r="NHW24" s="287"/>
      <c r="NHX24" s="287"/>
      <c r="NHY24" s="632"/>
      <c r="NHZ24" s="287"/>
      <c r="NIA24" s="633"/>
      <c r="NIB24" s="287"/>
      <c r="NIC24" s="287"/>
      <c r="NID24" s="287"/>
      <c r="NIE24" s="287"/>
      <c r="NIF24" s="287"/>
      <c r="NIG24" s="287"/>
      <c r="NIH24" s="287"/>
      <c r="NII24" s="287"/>
      <c r="NIJ24" s="287"/>
      <c r="NIK24" s="287"/>
      <c r="NIL24" s="287"/>
      <c r="NIM24" s="287"/>
      <c r="NIN24" s="287"/>
      <c r="NIO24" s="632"/>
      <c r="NIP24" s="287"/>
      <c r="NIQ24" s="633"/>
      <c r="NIR24" s="287"/>
      <c r="NIS24" s="287"/>
      <c r="NIT24" s="287"/>
      <c r="NIU24" s="287"/>
      <c r="NIV24" s="287"/>
      <c r="NIW24" s="287"/>
      <c r="NIX24" s="287"/>
      <c r="NIY24" s="287"/>
      <c r="NIZ24" s="287"/>
      <c r="NJA24" s="287"/>
      <c r="NJB24" s="287"/>
      <c r="NJC24" s="287"/>
      <c r="NJD24" s="287"/>
      <c r="NJE24" s="632"/>
      <c r="NJF24" s="287"/>
      <c r="NJG24" s="633"/>
      <c r="NJH24" s="287"/>
      <c r="NJI24" s="287"/>
      <c r="NJJ24" s="287"/>
      <c r="NJK24" s="287"/>
      <c r="NJL24" s="287"/>
      <c r="NJM24" s="287"/>
      <c r="NJN24" s="287"/>
      <c r="NJO24" s="287"/>
      <c r="NJP24" s="287"/>
      <c r="NJQ24" s="287"/>
      <c r="NJR24" s="287"/>
      <c r="NJS24" s="287"/>
      <c r="NJT24" s="287"/>
      <c r="NJU24" s="632"/>
      <c r="NJV24" s="287"/>
      <c r="NJW24" s="633"/>
      <c r="NJX24" s="287"/>
      <c r="NJY24" s="287"/>
      <c r="NJZ24" s="287"/>
      <c r="NKA24" s="287"/>
      <c r="NKB24" s="287"/>
      <c r="NKC24" s="287"/>
      <c r="NKD24" s="287"/>
      <c r="NKE24" s="287"/>
      <c r="NKF24" s="287"/>
      <c r="NKG24" s="287"/>
      <c r="NKH24" s="287"/>
      <c r="NKI24" s="287"/>
      <c r="NKJ24" s="287"/>
      <c r="NKK24" s="632"/>
      <c r="NKL24" s="287"/>
      <c r="NKM24" s="633"/>
      <c r="NKN24" s="287"/>
      <c r="NKO24" s="287"/>
      <c r="NKP24" s="287"/>
      <c r="NKQ24" s="287"/>
      <c r="NKR24" s="287"/>
      <c r="NKS24" s="287"/>
      <c r="NKT24" s="287"/>
      <c r="NKU24" s="287"/>
      <c r="NKV24" s="287"/>
      <c r="NKW24" s="287"/>
      <c r="NKX24" s="287"/>
      <c r="NKY24" s="287"/>
      <c r="NKZ24" s="287"/>
      <c r="NLA24" s="632"/>
      <c r="NLB24" s="287"/>
      <c r="NLC24" s="633"/>
      <c r="NLD24" s="287"/>
      <c r="NLE24" s="287"/>
      <c r="NLF24" s="287"/>
      <c r="NLG24" s="287"/>
      <c r="NLH24" s="287"/>
      <c r="NLI24" s="287"/>
      <c r="NLJ24" s="287"/>
      <c r="NLK24" s="287"/>
      <c r="NLL24" s="287"/>
      <c r="NLM24" s="287"/>
      <c r="NLN24" s="287"/>
      <c r="NLO24" s="287"/>
      <c r="NLP24" s="287"/>
      <c r="NLQ24" s="632"/>
      <c r="NLR24" s="287"/>
      <c r="NLS24" s="633"/>
      <c r="NLT24" s="287"/>
      <c r="NLU24" s="287"/>
      <c r="NLV24" s="287"/>
      <c r="NLW24" s="287"/>
      <c r="NLX24" s="287"/>
      <c r="NLY24" s="287"/>
      <c r="NLZ24" s="287"/>
      <c r="NMA24" s="287"/>
      <c r="NMB24" s="287"/>
      <c r="NMC24" s="287"/>
      <c r="NMD24" s="287"/>
      <c r="NME24" s="287"/>
      <c r="NMF24" s="287"/>
      <c r="NMG24" s="632"/>
      <c r="NMH24" s="287"/>
      <c r="NMI24" s="633"/>
      <c r="NMJ24" s="287"/>
      <c r="NMK24" s="287"/>
      <c r="NML24" s="287"/>
      <c r="NMM24" s="287"/>
      <c r="NMN24" s="287"/>
      <c r="NMO24" s="287"/>
      <c r="NMP24" s="287"/>
      <c r="NMQ24" s="287"/>
      <c r="NMR24" s="287"/>
      <c r="NMS24" s="287"/>
      <c r="NMT24" s="287"/>
      <c r="NMU24" s="287"/>
      <c r="NMV24" s="287"/>
      <c r="NMW24" s="632"/>
      <c r="NMX24" s="287"/>
      <c r="NMY24" s="633"/>
      <c r="NMZ24" s="287"/>
      <c r="NNA24" s="287"/>
      <c r="NNB24" s="287"/>
      <c r="NNC24" s="287"/>
      <c r="NND24" s="287"/>
      <c r="NNE24" s="287"/>
      <c r="NNF24" s="287"/>
      <c r="NNG24" s="287"/>
      <c r="NNH24" s="287"/>
      <c r="NNI24" s="287"/>
      <c r="NNJ24" s="287"/>
      <c r="NNK24" s="287"/>
      <c r="NNL24" s="287"/>
      <c r="NNM24" s="632"/>
      <c r="NNN24" s="287"/>
      <c r="NNO24" s="633"/>
      <c r="NNP24" s="287"/>
      <c r="NNQ24" s="287"/>
      <c r="NNR24" s="287"/>
      <c r="NNS24" s="287"/>
      <c r="NNT24" s="287"/>
      <c r="NNU24" s="287"/>
      <c r="NNV24" s="287"/>
      <c r="NNW24" s="287"/>
      <c r="NNX24" s="287"/>
      <c r="NNY24" s="287"/>
      <c r="NNZ24" s="287"/>
      <c r="NOA24" s="287"/>
      <c r="NOB24" s="287"/>
      <c r="NOC24" s="632"/>
      <c r="NOD24" s="287"/>
      <c r="NOE24" s="633"/>
      <c r="NOF24" s="287"/>
      <c r="NOG24" s="287"/>
      <c r="NOH24" s="287"/>
      <c r="NOI24" s="287"/>
      <c r="NOJ24" s="287"/>
      <c r="NOK24" s="287"/>
      <c r="NOL24" s="287"/>
      <c r="NOM24" s="287"/>
      <c r="NON24" s="287"/>
      <c r="NOO24" s="287"/>
      <c r="NOP24" s="287"/>
      <c r="NOQ24" s="287"/>
      <c r="NOR24" s="287"/>
      <c r="NOS24" s="632"/>
      <c r="NOT24" s="287"/>
      <c r="NOU24" s="633"/>
      <c r="NOV24" s="287"/>
      <c r="NOW24" s="287"/>
      <c r="NOX24" s="287"/>
      <c r="NOY24" s="287"/>
      <c r="NOZ24" s="287"/>
      <c r="NPA24" s="287"/>
      <c r="NPB24" s="287"/>
      <c r="NPC24" s="287"/>
      <c r="NPD24" s="287"/>
      <c r="NPE24" s="287"/>
      <c r="NPF24" s="287"/>
      <c r="NPG24" s="287"/>
      <c r="NPH24" s="287"/>
      <c r="NPI24" s="632"/>
      <c r="NPJ24" s="287"/>
      <c r="NPK24" s="633"/>
      <c r="NPL24" s="287"/>
      <c r="NPM24" s="287"/>
      <c r="NPN24" s="287"/>
      <c r="NPO24" s="287"/>
      <c r="NPP24" s="287"/>
      <c r="NPQ24" s="287"/>
      <c r="NPR24" s="287"/>
      <c r="NPS24" s="287"/>
      <c r="NPT24" s="287"/>
      <c r="NPU24" s="287"/>
      <c r="NPV24" s="287"/>
      <c r="NPW24" s="287"/>
      <c r="NPX24" s="287"/>
      <c r="NPY24" s="632"/>
      <c r="NPZ24" s="287"/>
      <c r="NQA24" s="633"/>
      <c r="NQB24" s="287"/>
      <c r="NQC24" s="287"/>
      <c r="NQD24" s="287"/>
      <c r="NQE24" s="287"/>
      <c r="NQF24" s="287"/>
      <c r="NQG24" s="287"/>
      <c r="NQH24" s="287"/>
      <c r="NQI24" s="287"/>
      <c r="NQJ24" s="287"/>
      <c r="NQK24" s="287"/>
      <c r="NQL24" s="287"/>
      <c r="NQM24" s="287"/>
      <c r="NQN24" s="287"/>
      <c r="NQO24" s="632"/>
      <c r="NQP24" s="287"/>
      <c r="NQQ24" s="633"/>
      <c r="NQR24" s="287"/>
      <c r="NQS24" s="287"/>
      <c r="NQT24" s="287"/>
      <c r="NQU24" s="287"/>
      <c r="NQV24" s="287"/>
      <c r="NQW24" s="287"/>
      <c r="NQX24" s="287"/>
      <c r="NQY24" s="287"/>
      <c r="NQZ24" s="287"/>
      <c r="NRA24" s="287"/>
      <c r="NRB24" s="287"/>
      <c r="NRC24" s="287"/>
      <c r="NRD24" s="287"/>
      <c r="NRE24" s="632"/>
      <c r="NRF24" s="287"/>
      <c r="NRG24" s="633"/>
      <c r="NRH24" s="287"/>
      <c r="NRI24" s="287"/>
      <c r="NRJ24" s="287"/>
      <c r="NRK24" s="287"/>
      <c r="NRL24" s="287"/>
      <c r="NRM24" s="287"/>
      <c r="NRN24" s="287"/>
      <c r="NRO24" s="287"/>
      <c r="NRP24" s="287"/>
      <c r="NRQ24" s="287"/>
      <c r="NRR24" s="287"/>
      <c r="NRS24" s="287"/>
      <c r="NRT24" s="287"/>
      <c r="NRU24" s="632"/>
      <c r="NRV24" s="287"/>
      <c r="NRW24" s="633"/>
      <c r="NRX24" s="287"/>
      <c r="NRY24" s="287"/>
      <c r="NRZ24" s="287"/>
      <c r="NSA24" s="287"/>
      <c r="NSB24" s="287"/>
      <c r="NSC24" s="287"/>
      <c r="NSD24" s="287"/>
      <c r="NSE24" s="287"/>
      <c r="NSF24" s="287"/>
      <c r="NSG24" s="287"/>
      <c r="NSH24" s="287"/>
      <c r="NSI24" s="287"/>
      <c r="NSJ24" s="287"/>
      <c r="NSK24" s="632"/>
      <c r="NSL24" s="287"/>
      <c r="NSM24" s="633"/>
      <c r="NSN24" s="287"/>
      <c r="NSO24" s="287"/>
      <c r="NSP24" s="287"/>
      <c r="NSQ24" s="287"/>
      <c r="NSR24" s="287"/>
      <c r="NSS24" s="287"/>
      <c r="NST24" s="287"/>
      <c r="NSU24" s="287"/>
      <c r="NSV24" s="287"/>
      <c r="NSW24" s="287"/>
      <c r="NSX24" s="287"/>
      <c r="NSY24" s="287"/>
      <c r="NSZ24" s="287"/>
      <c r="NTA24" s="632"/>
      <c r="NTB24" s="287"/>
      <c r="NTC24" s="633"/>
      <c r="NTD24" s="287"/>
      <c r="NTE24" s="287"/>
      <c r="NTF24" s="287"/>
      <c r="NTG24" s="287"/>
      <c r="NTH24" s="287"/>
      <c r="NTI24" s="287"/>
      <c r="NTJ24" s="287"/>
      <c r="NTK24" s="287"/>
      <c r="NTL24" s="287"/>
      <c r="NTM24" s="287"/>
      <c r="NTN24" s="287"/>
      <c r="NTO24" s="287"/>
      <c r="NTP24" s="287"/>
      <c r="NTQ24" s="632"/>
      <c r="NTR24" s="287"/>
      <c r="NTS24" s="633"/>
      <c r="NTT24" s="287"/>
      <c r="NTU24" s="287"/>
      <c r="NTV24" s="287"/>
      <c r="NTW24" s="287"/>
      <c r="NTX24" s="287"/>
      <c r="NTY24" s="287"/>
      <c r="NTZ24" s="287"/>
      <c r="NUA24" s="287"/>
      <c r="NUB24" s="287"/>
      <c r="NUC24" s="287"/>
      <c r="NUD24" s="287"/>
      <c r="NUE24" s="287"/>
      <c r="NUF24" s="287"/>
      <c r="NUG24" s="632"/>
      <c r="NUH24" s="287"/>
      <c r="NUI24" s="633"/>
      <c r="NUJ24" s="287"/>
      <c r="NUK24" s="287"/>
      <c r="NUL24" s="287"/>
      <c r="NUM24" s="287"/>
      <c r="NUN24" s="287"/>
      <c r="NUO24" s="287"/>
      <c r="NUP24" s="287"/>
      <c r="NUQ24" s="287"/>
      <c r="NUR24" s="287"/>
      <c r="NUS24" s="287"/>
      <c r="NUT24" s="287"/>
      <c r="NUU24" s="287"/>
      <c r="NUV24" s="287"/>
      <c r="NUW24" s="632"/>
      <c r="NUX24" s="287"/>
      <c r="NUY24" s="633"/>
      <c r="NUZ24" s="287"/>
      <c r="NVA24" s="287"/>
      <c r="NVB24" s="287"/>
      <c r="NVC24" s="287"/>
      <c r="NVD24" s="287"/>
      <c r="NVE24" s="287"/>
      <c r="NVF24" s="287"/>
      <c r="NVG24" s="287"/>
      <c r="NVH24" s="287"/>
      <c r="NVI24" s="287"/>
      <c r="NVJ24" s="287"/>
      <c r="NVK24" s="287"/>
      <c r="NVL24" s="287"/>
      <c r="NVM24" s="632"/>
      <c r="NVN24" s="287"/>
      <c r="NVO24" s="633"/>
      <c r="NVP24" s="287"/>
      <c r="NVQ24" s="287"/>
      <c r="NVR24" s="287"/>
      <c r="NVS24" s="287"/>
      <c r="NVT24" s="287"/>
      <c r="NVU24" s="287"/>
      <c r="NVV24" s="287"/>
      <c r="NVW24" s="287"/>
      <c r="NVX24" s="287"/>
      <c r="NVY24" s="287"/>
      <c r="NVZ24" s="287"/>
      <c r="NWA24" s="287"/>
      <c r="NWB24" s="287"/>
      <c r="NWC24" s="632"/>
      <c r="NWD24" s="287"/>
      <c r="NWE24" s="633"/>
      <c r="NWF24" s="287"/>
      <c r="NWG24" s="287"/>
      <c r="NWH24" s="287"/>
      <c r="NWI24" s="287"/>
      <c r="NWJ24" s="287"/>
      <c r="NWK24" s="287"/>
      <c r="NWL24" s="287"/>
      <c r="NWM24" s="287"/>
      <c r="NWN24" s="287"/>
      <c r="NWO24" s="287"/>
      <c r="NWP24" s="287"/>
      <c r="NWQ24" s="287"/>
      <c r="NWR24" s="287"/>
      <c r="NWS24" s="632"/>
      <c r="NWT24" s="287"/>
      <c r="NWU24" s="633"/>
      <c r="NWV24" s="287"/>
      <c r="NWW24" s="287"/>
      <c r="NWX24" s="287"/>
      <c r="NWY24" s="287"/>
      <c r="NWZ24" s="287"/>
      <c r="NXA24" s="287"/>
      <c r="NXB24" s="287"/>
      <c r="NXC24" s="287"/>
      <c r="NXD24" s="287"/>
      <c r="NXE24" s="287"/>
      <c r="NXF24" s="287"/>
      <c r="NXG24" s="287"/>
      <c r="NXH24" s="287"/>
      <c r="NXI24" s="632"/>
      <c r="NXJ24" s="287"/>
      <c r="NXK24" s="633"/>
      <c r="NXL24" s="287"/>
      <c r="NXM24" s="287"/>
      <c r="NXN24" s="287"/>
      <c r="NXO24" s="287"/>
      <c r="NXP24" s="287"/>
      <c r="NXQ24" s="287"/>
      <c r="NXR24" s="287"/>
      <c r="NXS24" s="287"/>
      <c r="NXT24" s="287"/>
      <c r="NXU24" s="287"/>
      <c r="NXV24" s="287"/>
      <c r="NXW24" s="287"/>
      <c r="NXX24" s="287"/>
      <c r="NXY24" s="632"/>
      <c r="NXZ24" s="287"/>
      <c r="NYA24" s="633"/>
      <c r="NYB24" s="287"/>
      <c r="NYC24" s="287"/>
      <c r="NYD24" s="287"/>
      <c r="NYE24" s="287"/>
      <c r="NYF24" s="287"/>
      <c r="NYG24" s="287"/>
      <c r="NYH24" s="287"/>
      <c r="NYI24" s="287"/>
      <c r="NYJ24" s="287"/>
      <c r="NYK24" s="287"/>
      <c r="NYL24" s="287"/>
      <c r="NYM24" s="287"/>
      <c r="NYN24" s="287"/>
      <c r="NYO24" s="632"/>
      <c r="NYP24" s="287"/>
      <c r="NYQ24" s="633"/>
      <c r="NYR24" s="287"/>
      <c r="NYS24" s="287"/>
      <c r="NYT24" s="287"/>
      <c r="NYU24" s="287"/>
      <c r="NYV24" s="287"/>
      <c r="NYW24" s="287"/>
      <c r="NYX24" s="287"/>
      <c r="NYY24" s="287"/>
      <c r="NYZ24" s="287"/>
      <c r="NZA24" s="287"/>
      <c r="NZB24" s="287"/>
      <c r="NZC24" s="287"/>
      <c r="NZD24" s="287"/>
      <c r="NZE24" s="632"/>
      <c r="NZF24" s="287"/>
      <c r="NZG24" s="633"/>
      <c r="NZH24" s="287"/>
      <c r="NZI24" s="287"/>
      <c r="NZJ24" s="287"/>
      <c r="NZK24" s="287"/>
      <c r="NZL24" s="287"/>
      <c r="NZM24" s="287"/>
      <c r="NZN24" s="287"/>
      <c r="NZO24" s="287"/>
      <c r="NZP24" s="287"/>
      <c r="NZQ24" s="287"/>
      <c r="NZR24" s="287"/>
      <c r="NZS24" s="287"/>
      <c r="NZT24" s="287"/>
      <c r="NZU24" s="632"/>
      <c r="NZV24" s="287"/>
      <c r="NZW24" s="633"/>
      <c r="NZX24" s="287"/>
      <c r="NZY24" s="287"/>
      <c r="NZZ24" s="287"/>
      <c r="OAA24" s="287"/>
      <c r="OAB24" s="287"/>
      <c r="OAC24" s="287"/>
      <c r="OAD24" s="287"/>
      <c r="OAE24" s="287"/>
      <c r="OAF24" s="287"/>
      <c r="OAG24" s="287"/>
      <c r="OAH24" s="287"/>
      <c r="OAI24" s="287"/>
      <c r="OAJ24" s="287"/>
      <c r="OAK24" s="632"/>
      <c r="OAL24" s="287"/>
      <c r="OAM24" s="633"/>
      <c r="OAN24" s="287"/>
      <c r="OAO24" s="287"/>
      <c r="OAP24" s="287"/>
      <c r="OAQ24" s="287"/>
      <c r="OAR24" s="287"/>
      <c r="OAS24" s="287"/>
      <c r="OAT24" s="287"/>
      <c r="OAU24" s="287"/>
      <c r="OAV24" s="287"/>
      <c r="OAW24" s="287"/>
      <c r="OAX24" s="287"/>
      <c r="OAY24" s="287"/>
      <c r="OAZ24" s="287"/>
      <c r="OBA24" s="632"/>
      <c r="OBB24" s="287"/>
      <c r="OBC24" s="633"/>
      <c r="OBD24" s="287"/>
      <c r="OBE24" s="287"/>
      <c r="OBF24" s="287"/>
      <c r="OBG24" s="287"/>
      <c r="OBH24" s="287"/>
      <c r="OBI24" s="287"/>
      <c r="OBJ24" s="287"/>
      <c r="OBK24" s="287"/>
      <c r="OBL24" s="287"/>
      <c r="OBM24" s="287"/>
      <c r="OBN24" s="287"/>
      <c r="OBO24" s="287"/>
      <c r="OBP24" s="287"/>
      <c r="OBQ24" s="632"/>
      <c r="OBR24" s="287"/>
      <c r="OBS24" s="633"/>
      <c r="OBT24" s="287"/>
      <c r="OBU24" s="287"/>
      <c r="OBV24" s="287"/>
      <c r="OBW24" s="287"/>
      <c r="OBX24" s="287"/>
      <c r="OBY24" s="287"/>
      <c r="OBZ24" s="287"/>
      <c r="OCA24" s="287"/>
      <c r="OCB24" s="287"/>
      <c r="OCC24" s="287"/>
      <c r="OCD24" s="287"/>
      <c r="OCE24" s="287"/>
      <c r="OCF24" s="287"/>
      <c r="OCG24" s="632"/>
      <c r="OCH24" s="287"/>
      <c r="OCI24" s="633"/>
      <c r="OCJ24" s="287"/>
      <c r="OCK24" s="287"/>
      <c r="OCL24" s="287"/>
      <c r="OCM24" s="287"/>
      <c r="OCN24" s="287"/>
      <c r="OCO24" s="287"/>
      <c r="OCP24" s="287"/>
      <c r="OCQ24" s="287"/>
      <c r="OCR24" s="287"/>
      <c r="OCS24" s="287"/>
      <c r="OCT24" s="287"/>
      <c r="OCU24" s="287"/>
      <c r="OCV24" s="287"/>
      <c r="OCW24" s="632"/>
      <c r="OCX24" s="287"/>
      <c r="OCY24" s="633"/>
      <c r="OCZ24" s="287"/>
      <c r="ODA24" s="287"/>
      <c r="ODB24" s="287"/>
      <c r="ODC24" s="287"/>
      <c r="ODD24" s="287"/>
      <c r="ODE24" s="287"/>
      <c r="ODF24" s="287"/>
      <c r="ODG24" s="287"/>
      <c r="ODH24" s="287"/>
      <c r="ODI24" s="287"/>
      <c r="ODJ24" s="287"/>
      <c r="ODK24" s="287"/>
      <c r="ODL24" s="287"/>
      <c r="ODM24" s="632"/>
      <c r="ODN24" s="287"/>
      <c r="ODO24" s="633"/>
      <c r="ODP24" s="287"/>
      <c r="ODQ24" s="287"/>
      <c r="ODR24" s="287"/>
      <c r="ODS24" s="287"/>
      <c r="ODT24" s="287"/>
      <c r="ODU24" s="287"/>
      <c r="ODV24" s="287"/>
      <c r="ODW24" s="287"/>
      <c r="ODX24" s="287"/>
      <c r="ODY24" s="287"/>
      <c r="ODZ24" s="287"/>
      <c r="OEA24" s="287"/>
      <c r="OEB24" s="287"/>
      <c r="OEC24" s="632"/>
      <c r="OED24" s="287"/>
      <c r="OEE24" s="633"/>
      <c r="OEF24" s="287"/>
      <c r="OEG24" s="287"/>
      <c r="OEH24" s="287"/>
      <c r="OEI24" s="287"/>
      <c r="OEJ24" s="287"/>
      <c r="OEK24" s="287"/>
      <c r="OEL24" s="287"/>
      <c r="OEM24" s="287"/>
      <c r="OEN24" s="287"/>
      <c r="OEO24" s="287"/>
      <c r="OEP24" s="287"/>
      <c r="OEQ24" s="287"/>
      <c r="OER24" s="287"/>
      <c r="OES24" s="632"/>
      <c r="OET24" s="287"/>
      <c r="OEU24" s="633"/>
      <c r="OEV24" s="287"/>
      <c r="OEW24" s="287"/>
      <c r="OEX24" s="287"/>
      <c r="OEY24" s="287"/>
      <c r="OEZ24" s="287"/>
      <c r="OFA24" s="287"/>
      <c r="OFB24" s="287"/>
      <c r="OFC24" s="287"/>
      <c r="OFD24" s="287"/>
      <c r="OFE24" s="287"/>
      <c r="OFF24" s="287"/>
      <c r="OFG24" s="287"/>
      <c r="OFH24" s="287"/>
      <c r="OFI24" s="632"/>
      <c r="OFJ24" s="287"/>
      <c r="OFK24" s="633"/>
      <c r="OFL24" s="287"/>
      <c r="OFM24" s="287"/>
      <c r="OFN24" s="287"/>
      <c r="OFO24" s="287"/>
      <c r="OFP24" s="287"/>
      <c r="OFQ24" s="287"/>
      <c r="OFR24" s="287"/>
      <c r="OFS24" s="287"/>
      <c r="OFT24" s="287"/>
      <c r="OFU24" s="287"/>
      <c r="OFV24" s="287"/>
      <c r="OFW24" s="287"/>
      <c r="OFX24" s="287"/>
      <c r="OFY24" s="632"/>
      <c r="OFZ24" s="287"/>
      <c r="OGA24" s="633"/>
      <c r="OGB24" s="287"/>
      <c r="OGC24" s="287"/>
      <c r="OGD24" s="287"/>
      <c r="OGE24" s="287"/>
      <c r="OGF24" s="287"/>
      <c r="OGG24" s="287"/>
      <c r="OGH24" s="287"/>
      <c r="OGI24" s="287"/>
      <c r="OGJ24" s="287"/>
      <c r="OGK24" s="287"/>
      <c r="OGL24" s="287"/>
      <c r="OGM24" s="287"/>
      <c r="OGN24" s="287"/>
      <c r="OGO24" s="632"/>
      <c r="OGP24" s="287"/>
      <c r="OGQ24" s="633"/>
      <c r="OGR24" s="287"/>
      <c r="OGS24" s="287"/>
      <c r="OGT24" s="287"/>
      <c r="OGU24" s="287"/>
      <c r="OGV24" s="287"/>
      <c r="OGW24" s="287"/>
      <c r="OGX24" s="287"/>
      <c r="OGY24" s="287"/>
      <c r="OGZ24" s="287"/>
      <c r="OHA24" s="287"/>
      <c r="OHB24" s="287"/>
      <c r="OHC24" s="287"/>
      <c r="OHD24" s="287"/>
      <c r="OHE24" s="632"/>
      <c r="OHF24" s="287"/>
      <c r="OHG24" s="633"/>
      <c r="OHH24" s="287"/>
      <c r="OHI24" s="287"/>
      <c r="OHJ24" s="287"/>
      <c r="OHK24" s="287"/>
      <c r="OHL24" s="287"/>
      <c r="OHM24" s="287"/>
      <c r="OHN24" s="287"/>
      <c r="OHO24" s="287"/>
      <c r="OHP24" s="287"/>
      <c r="OHQ24" s="287"/>
      <c r="OHR24" s="287"/>
      <c r="OHS24" s="287"/>
      <c r="OHT24" s="287"/>
      <c r="OHU24" s="632"/>
      <c r="OHV24" s="287"/>
      <c r="OHW24" s="633"/>
      <c r="OHX24" s="287"/>
      <c r="OHY24" s="287"/>
      <c r="OHZ24" s="287"/>
      <c r="OIA24" s="287"/>
      <c r="OIB24" s="287"/>
      <c r="OIC24" s="287"/>
      <c r="OID24" s="287"/>
      <c r="OIE24" s="287"/>
      <c r="OIF24" s="287"/>
      <c r="OIG24" s="287"/>
      <c r="OIH24" s="287"/>
      <c r="OII24" s="287"/>
      <c r="OIJ24" s="287"/>
      <c r="OIK24" s="632"/>
      <c r="OIL24" s="287"/>
      <c r="OIM24" s="633"/>
      <c r="OIN24" s="287"/>
      <c r="OIO24" s="287"/>
      <c r="OIP24" s="287"/>
      <c r="OIQ24" s="287"/>
      <c r="OIR24" s="287"/>
      <c r="OIS24" s="287"/>
      <c r="OIT24" s="287"/>
      <c r="OIU24" s="287"/>
      <c r="OIV24" s="287"/>
      <c r="OIW24" s="287"/>
      <c r="OIX24" s="287"/>
      <c r="OIY24" s="287"/>
      <c r="OIZ24" s="287"/>
      <c r="OJA24" s="632"/>
      <c r="OJB24" s="287"/>
      <c r="OJC24" s="633"/>
      <c r="OJD24" s="287"/>
      <c r="OJE24" s="287"/>
      <c r="OJF24" s="287"/>
      <c r="OJG24" s="287"/>
      <c r="OJH24" s="287"/>
      <c r="OJI24" s="287"/>
      <c r="OJJ24" s="287"/>
      <c r="OJK24" s="287"/>
      <c r="OJL24" s="287"/>
      <c r="OJM24" s="287"/>
      <c r="OJN24" s="287"/>
      <c r="OJO24" s="287"/>
      <c r="OJP24" s="287"/>
      <c r="OJQ24" s="632"/>
      <c r="OJR24" s="287"/>
      <c r="OJS24" s="633"/>
      <c r="OJT24" s="287"/>
      <c r="OJU24" s="287"/>
      <c r="OJV24" s="287"/>
      <c r="OJW24" s="287"/>
      <c r="OJX24" s="287"/>
      <c r="OJY24" s="287"/>
      <c r="OJZ24" s="287"/>
      <c r="OKA24" s="287"/>
      <c r="OKB24" s="287"/>
      <c r="OKC24" s="287"/>
      <c r="OKD24" s="287"/>
      <c r="OKE24" s="287"/>
      <c r="OKF24" s="287"/>
      <c r="OKG24" s="632"/>
      <c r="OKH24" s="287"/>
      <c r="OKI24" s="633"/>
      <c r="OKJ24" s="287"/>
      <c r="OKK24" s="287"/>
      <c r="OKL24" s="287"/>
      <c r="OKM24" s="287"/>
      <c r="OKN24" s="287"/>
      <c r="OKO24" s="287"/>
      <c r="OKP24" s="287"/>
      <c r="OKQ24" s="287"/>
      <c r="OKR24" s="287"/>
      <c r="OKS24" s="287"/>
      <c r="OKT24" s="287"/>
      <c r="OKU24" s="287"/>
      <c r="OKV24" s="287"/>
      <c r="OKW24" s="632"/>
      <c r="OKX24" s="287"/>
      <c r="OKY24" s="633"/>
      <c r="OKZ24" s="287"/>
      <c r="OLA24" s="287"/>
      <c r="OLB24" s="287"/>
      <c r="OLC24" s="287"/>
      <c r="OLD24" s="287"/>
      <c r="OLE24" s="287"/>
      <c r="OLF24" s="287"/>
      <c r="OLG24" s="287"/>
      <c r="OLH24" s="287"/>
      <c r="OLI24" s="287"/>
      <c r="OLJ24" s="287"/>
      <c r="OLK24" s="287"/>
      <c r="OLL24" s="287"/>
      <c r="OLM24" s="632"/>
      <c r="OLN24" s="287"/>
      <c r="OLO24" s="633"/>
      <c r="OLP24" s="287"/>
      <c r="OLQ24" s="287"/>
      <c r="OLR24" s="287"/>
      <c r="OLS24" s="287"/>
      <c r="OLT24" s="287"/>
      <c r="OLU24" s="287"/>
      <c r="OLV24" s="287"/>
      <c r="OLW24" s="287"/>
      <c r="OLX24" s="287"/>
      <c r="OLY24" s="287"/>
      <c r="OLZ24" s="287"/>
      <c r="OMA24" s="287"/>
      <c r="OMB24" s="287"/>
      <c r="OMC24" s="632"/>
      <c r="OMD24" s="287"/>
      <c r="OME24" s="633"/>
      <c r="OMF24" s="287"/>
      <c r="OMG24" s="287"/>
      <c r="OMH24" s="287"/>
      <c r="OMI24" s="287"/>
      <c r="OMJ24" s="287"/>
      <c r="OMK24" s="287"/>
      <c r="OML24" s="287"/>
      <c r="OMM24" s="287"/>
      <c r="OMN24" s="287"/>
      <c r="OMO24" s="287"/>
      <c r="OMP24" s="287"/>
      <c r="OMQ24" s="287"/>
      <c r="OMR24" s="287"/>
      <c r="OMS24" s="632"/>
      <c r="OMT24" s="287"/>
      <c r="OMU24" s="633"/>
      <c r="OMV24" s="287"/>
      <c r="OMW24" s="287"/>
      <c r="OMX24" s="287"/>
      <c r="OMY24" s="287"/>
      <c r="OMZ24" s="287"/>
      <c r="ONA24" s="287"/>
      <c r="ONB24" s="287"/>
      <c r="ONC24" s="287"/>
      <c r="OND24" s="287"/>
      <c r="ONE24" s="287"/>
      <c r="ONF24" s="287"/>
      <c r="ONG24" s="287"/>
      <c r="ONH24" s="287"/>
      <c r="ONI24" s="632"/>
      <c r="ONJ24" s="287"/>
      <c r="ONK24" s="633"/>
      <c r="ONL24" s="287"/>
      <c r="ONM24" s="287"/>
      <c r="ONN24" s="287"/>
      <c r="ONO24" s="287"/>
      <c r="ONP24" s="287"/>
      <c r="ONQ24" s="287"/>
      <c r="ONR24" s="287"/>
      <c r="ONS24" s="287"/>
      <c r="ONT24" s="287"/>
      <c r="ONU24" s="287"/>
      <c r="ONV24" s="287"/>
      <c r="ONW24" s="287"/>
      <c r="ONX24" s="287"/>
      <c r="ONY24" s="632"/>
      <c r="ONZ24" s="287"/>
      <c r="OOA24" s="633"/>
      <c r="OOB24" s="287"/>
      <c r="OOC24" s="287"/>
      <c r="OOD24" s="287"/>
      <c r="OOE24" s="287"/>
      <c r="OOF24" s="287"/>
      <c r="OOG24" s="287"/>
      <c r="OOH24" s="287"/>
      <c r="OOI24" s="287"/>
      <c r="OOJ24" s="287"/>
      <c r="OOK24" s="287"/>
      <c r="OOL24" s="287"/>
      <c r="OOM24" s="287"/>
      <c r="OON24" s="287"/>
      <c r="OOO24" s="632"/>
      <c r="OOP24" s="287"/>
      <c r="OOQ24" s="633"/>
      <c r="OOR24" s="287"/>
      <c r="OOS24" s="287"/>
      <c r="OOT24" s="287"/>
      <c r="OOU24" s="287"/>
      <c r="OOV24" s="287"/>
      <c r="OOW24" s="287"/>
      <c r="OOX24" s="287"/>
      <c r="OOY24" s="287"/>
      <c r="OOZ24" s="287"/>
      <c r="OPA24" s="287"/>
      <c r="OPB24" s="287"/>
      <c r="OPC24" s="287"/>
      <c r="OPD24" s="287"/>
      <c r="OPE24" s="632"/>
      <c r="OPF24" s="287"/>
      <c r="OPG24" s="633"/>
      <c r="OPH24" s="287"/>
      <c r="OPI24" s="287"/>
      <c r="OPJ24" s="287"/>
      <c r="OPK24" s="287"/>
      <c r="OPL24" s="287"/>
      <c r="OPM24" s="287"/>
      <c r="OPN24" s="287"/>
      <c r="OPO24" s="287"/>
      <c r="OPP24" s="287"/>
      <c r="OPQ24" s="287"/>
      <c r="OPR24" s="287"/>
      <c r="OPS24" s="287"/>
      <c r="OPT24" s="287"/>
      <c r="OPU24" s="632"/>
      <c r="OPV24" s="287"/>
      <c r="OPW24" s="633"/>
      <c r="OPX24" s="287"/>
      <c r="OPY24" s="287"/>
      <c r="OPZ24" s="287"/>
      <c r="OQA24" s="287"/>
      <c r="OQB24" s="287"/>
      <c r="OQC24" s="287"/>
      <c r="OQD24" s="287"/>
      <c r="OQE24" s="287"/>
      <c r="OQF24" s="287"/>
      <c r="OQG24" s="287"/>
      <c r="OQH24" s="287"/>
      <c r="OQI24" s="287"/>
      <c r="OQJ24" s="287"/>
      <c r="OQK24" s="632"/>
      <c r="OQL24" s="287"/>
      <c r="OQM24" s="633"/>
      <c r="OQN24" s="287"/>
      <c r="OQO24" s="287"/>
      <c r="OQP24" s="287"/>
      <c r="OQQ24" s="287"/>
      <c r="OQR24" s="287"/>
      <c r="OQS24" s="287"/>
      <c r="OQT24" s="287"/>
      <c r="OQU24" s="287"/>
      <c r="OQV24" s="287"/>
      <c r="OQW24" s="287"/>
      <c r="OQX24" s="287"/>
      <c r="OQY24" s="287"/>
      <c r="OQZ24" s="287"/>
      <c r="ORA24" s="632"/>
      <c r="ORB24" s="287"/>
      <c r="ORC24" s="633"/>
      <c r="ORD24" s="287"/>
      <c r="ORE24" s="287"/>
      <c r="ORF24" s="287"/>
      <c r="ORG24" s="287"/>
      <c r="ORH24" s="287"/>
      <c r="ORI24" s="287"/>
      <c r="ORJ24" s="287"/>
      <c r="ORK24" s="287"/>
      <c r="ORL24" s="287"/>
      <c r="ORM24" s="287"/>
      <c r="ORN24" s="287"/>
      <c r="ORO24" s="287"/>
      <c r="ORP24" s="287"/>
      <c r="ORQ24" s="632"/>
      <c r="ORR24" s="287"/>
      <c r="ORS24" s="633"/>
      <c r="ORT24" s="287"/>
      <c r="ORU24" s="287"/>
      <c r="ORV24" s="287"/>
      <c r="ORW24" s="287"/>
      <c r="ORX24" s="287"/>
      <c r="ORY24" s="287"/>
      <c r="ORZ24" s="287"/>
      <c r="OSA24" s="287"/>
      <c r="OSB24" s="287"/>
      <c r="OSC24" s="287"/>
      <c r="OSD24" s="287"/>
      <c r="OSE24" s="287"/>
      <c r="OSF24" s="287"/>
      <c r="OSG24" s="632"/>
      <c r="OSH24" s="287"/>
      <c r="OSI24" s="633"/>
      <c r="OSJ24" s="287"/>
      <c r="OSK24" s="287"/>
      <c r="OSL24" s="287"/>
      <c r="OSM24" s="287"/>
      <c r="OSN24" s="287"/>
      <c r="OSO24" s="287"/>
      <c r="OSP24" s="287"/>
      <c r="OSQ24" s="287"/>
      <c r="OSR24" s="287"/>
      <c r="OSS24" s="287"/>
      <c r="OST24" s="287"/>
      <c r="OSU24" s="287"/>
      <c r="OSV24" s="287"/>
      <c r="OSW24" s="632"/>
      <c r="OSX24" s="287"/>
      <c r="OSY24" s="633"/>
      <c r="OSZ24" s="287"/>
      <c r="OTA24" s="287"/>
      <c r="OTB24" s="287"/>
      <c r="OTC24" s="287"/>
      <c r="OTD24" s="287"/>
      <c r="OTE24" s="287"/>
      <c r="OTF24" s="287"/>
      <c r="OTG24" s="287"/>
      <c r="OTH24" s="287"/>
      <c r="OTI24" s="287"/>
      <c r="OTJ24" s="287"/>
      <c r="OTK24" s="287"/>
      <c r="OTL24" s="287"/>
      <c r="OTM24" s="632"/>
      <c r="OTN24" s="287"/>
      <c r="OTO24" s="633"/>
      <c r="OTP24" s="287"/>
      <c r="OTQ24" s="287"/>
      <c r="OTR24" s="287"/>
      <c r="OTS24" s="287"/>
      <c r="OTT24" s="287"/>
      <c r="OTU24" s="287"/>
      <c r="OTV24" s="287"/>
      <c r="OTW24" s="287"/>
      <c r="OTX24" s="287"/>
      <c r="OTY24" s="287"/>
      <c r="OTZ24" s="287"/>
      <c r="OUA24" s="287"/>
      <c r="OUB24" s="287"/>
      <c r="OUC24" s="632"/>
      <c r="OUD24" s="287"/>
      <c r="OUE24" s="633"/>
      <c r="OUF24" s="287"/>
      <c r="OUG24" s="287"/>
      <c r="OUH24" s="287"/>
      <c r="OUI24" s="287"/>
      <c r="OUJ24" s="287"/>
      <c r="OUK24" s="287"/>
      <c r="OUL24" s="287"/>
      <c r="OUM24" s="287"/>
      <c r="OUN24" s="287"/>
      <c r="OUO24" s="287"/>
      <c r="OUP24" s="287"/>
      <c r="OUQ24" s="287"/>
      <c r="OUR24" s="287"/>
      <c r="OUS24" s="632"/>
      <c r="OUT24" s="287"/>
      <c r="OUU24" s="633"/>
      <c r="OUV24" s="287"/>
      <c r="OUW24" s="287"/>
      <c r="OUX24" s="287"/>
      <c r="OUY24" s="287"/>
      <c r="OUZ24" s="287"/>
      <c r="OVA24" s="287"/>
      <c r="OVB24" s="287"/>
      <c r="OVC24" s="287"/>
      <c r="OVD24" s="287"/>
      <c r="OVE24" s="287"/>
      <c r="OVF24" s="287"/>
      <c r="OVG24" s="287"/>
      <c r="OVH24" s="287"/>
      <c r="OVI24" s="632"/>
      <c r="OVJ24" s="287"/>
      <c r="OVK24" s="633"/>
      <c r="OVL24" s="287"/>
      <c r="OVM24" s="287"/>
      <c r="OVN24" s="287"/>
      <c r="OVO24" s="287"/>
      <c r="OVP24" s="287"/>
      <c r="OVQ24" s="287"/>
      <c r="OVR24" s="287"/>
      <c r="OVS24" s="287"/>
      <c r="OVT24" s="287"/>
      <c r="OVU24" s="287"/>
      <c r="OVV24" s="287"/>
      <c r="OVW24" s="287"/>
      <c r="OVX24" s="287"/>
      <c r="OVY24" s="632"/>
      <c r="OVZ24" s="287"/>
      <c r="OWA24" s="633"/>
      <c r="OWB24" s="287"/>
      <c r="OWC24" s="287"/>
      <c r="OWD24" s="287"/>
      <c r="OWE24" s="287"/>
      <c r="OWF24" s="287"/>
      <c r="OWG24" s="287"/>
      <c r="OWH24" s="287"/>
      <c r="OWI24" s="287"/>
      <c r="OWJ24" s="287"/>
      <c r="OWK24" s="287"/>
      <c r="OWL24" s="287"/>
      <c r="OWM24" s="287"/>
      <c r="OWN24" s="287"/>
      <c r="OWO24" s="632"/>
      <c r="OWP24" s="287"/>
      <c r="OWQ24" s="633"/>
      <c r="OWR24" s="287"/>
      <c r="OWS24" s="287"/>
      <c r="OWT24" s="287"/>
      <c r="OWU24" s="287"/>
      <c r="OWV24" s="287"/>
      <c r="OWW24" s="287"/>
      <c r="OWX24" s="287"/>
      <c r="OWY24" s="287"/>
      <c r="OWZ24" s="287"/>
      <c r="OXA24" s="287"/>
      <c r="OXB24" s="287"/>
      <c r="OXC24" s="287"/>
      <c r="OXD24" s="287"/>
      <c r="OXE24" s="632"/>
      <c r="OXF24" s="287"/>
      <c r="OXG24" s="633"/>
      <c r="OXH24" s="287"/>
      <c r="OXI24" s="287"/>
      <c r="OXJ24" s="287"/>
      <c r="OXK24" s="287"/>
      <c r="OXL24" s="287"/>
      <c r="OXM24" s="287"/>
      <c r="OXN24" s="287"/>
      <c r="OXO24" s="287"/>
      <c r="OXP24" s="287"/>
      <c r="OXQ24" s="287"/>
      <c r="OXR24" s="287"/>
      <c r="OXS24" s="287"/>
      <c r="OXT24" s="287"/>
      <c r="OXU24" s="632"/>
      <c r="OXV24" s="287"/>
      <c r="OXW24" s="633"/>
      <c r="OXX24" s="287"/>
      <c r="OXY24" s="287"/>
      <c r="OXZ24" s="287"/>
      <c r="OYA24" s="287"/>
      <c r="OYB24" s="287"/>
      <c r="OYC24" s="287"/>
      <c r="OYD24" s="287"/>
      <c r="OYE24" s="287"/>
      <c r="OYF24" s="287"/>
      <c r="OYG24" s="287"/>
      <c r="OYH24" s="287"/>
      <c r="OYI24" s="287"/>
      <c r="OYJ24" s="287"/>
      <c r="OYK24" s="632"/>
      <c r="OYL24" s="287"/>
      <c r="OYM24" s="633"/>
      <c r="OYN24" s="287"/>
      <c r="OYO24" s="287"/>
      <c r="OYP24" s="287"/>
      <c r="OYQ24" s="287"/>
      <c r="OYR24" s="287"/>
      <c r="OYS24" s="287"/>
      <c r="OYT24" s="287"/>
      <c r="OYU24" s="287"/>
      <c r="OYV24" s="287"/>
      <c r="OYW24" s="287"/>
      <c r="OYX24" s="287"/>
      <c r="OYY24" s="287"/>
      <c r="OYZ24" s="287"/>
      <c r="OZA24" s="632"/>
      <c r="OZB24" s="287"/>
      <c r="OZC24" s="633"/>
      <c r="OZD24" s="287"/>
      <c r="OZE24" s="287"/>
      <c r="OZF24" s="287"/>
      <c r="OZG24" s="287"/>
      <c r="OZH24" s="287"/>
      <c r="OZI24" s="287"/>
      <c r="OZJ24" s="287"/>
      <c r="OZK24" s="287"/>
      <c r="OZL24" s="287"/>
      <c r="OZM24" s="287"/>
      <c r="OZN24" s="287"/>
      <c r="OZO24" s="287"/>
      <c r="OZP24" s="287"/>
      <c r="OZQ24" s="632"/>
      <c r="OZR24" s="287"/>
      <c r="OZS24" s="633"/>
      <c r="OZT24" s="287"/>
      <c r="OZU24" s="287"/>
      <c r="OZV24" s="287"/>
      <c r="OZW24" s="287"/>
      <c r="OZX24" s="287"/>
      <c r="OZY24" s="287"/>
      <c r="OZZ24" s="287"/>
      <c r="PAA24" s="287"/>
      <c r="PAB24" s="287"/>
      <c r="PAC24" s="287"/>
      <c r="PAD24" s="287"/>
      <c r="PAE24" s="287"/>
      <c r="PAF24" s="287"/>
      <c r="PAG24" s="632"/>
      <c r="PAH24" s="287"/>
      <c r="PAI24" s="633"/>
      <c r="PAJ24" s="287"/>
      <c r="PAK24" s="287"/>
      <c r="PAL24" s="287"/>
      <c r="PAM24" s="287"/>
      <c r="PAN24" s="287"/>
      <c r="PAO24" s="287"/>
      <c r="PAP24" s="287"/>
      <c r="PAQ24" s="287"/>
      <c r="PAR24" s="287"/>
      <c r="PAS24" s="287"/>
      <c r="PAT24" s="287"/>
      <c r="PAU24" s="287"/>
      <c r="PAV24" s="287"/>
      <c r="PAW24" s="632"/>
      <c r="PAX24" s="287"/>
      <c r="PAY24" s="633"/>
      <c r="PAZ24" s="287"/>
      <c r="PBA24" s="287"/>
      <c r="PBB24" s="287"/>
      <c r="PBC24" s="287"/>
      <c r="PBD24" s="287"/>
      <c r="PBE24" s="287"/>
      <c r="PBF24" s="287"/>
      <c r="PBG24" s="287"/>
      <c r="PBH24" s="287"/>
      <c r="PBI24" s="287"/>
      <c r="PBJ24" s="287"/>
      <c r="PBK24" s="287"/>
      <c r="PBL24" s="287"/>
      <c r="PBM24" s="632"/>
      <c r="PBN24" s="287"/>
      <c r="PBO24" s="633"/>
      <c r="PBP24" s="287"/>
      <c r="PBQ24" s="287"/>
      <c r="PBR24" s="287"/>
      <c r="PBS24" s="287"/>
      <c r="PBT24" s="287"/>
      <c r="PBU24" s="287"/>
      <c r="PBV24" s="287"/>
      <c r="PBW24" s="287"/>
      <c r="PBX24" s="287"/>
      <c r="PBY24" s="287"/>
      <c r="PBZ24" s="287"/>
      <c r="PCA24" s="287"/>
      <c r="PCB24" s="287"/>
      <c r="PCC24" s="632"/>
      <c r="PCD24" s="287"/>
      <c r="PCE24" s="633"/>
      <c r="PCF24" s="287"/>
      <c r="PCG24" s="287"/>
      <c r="PCH24" s="287"/>
      <c r="PCI24" s="287"/>
      <c r="PCJ24" s="287"/>
      <c r="PCK24" s="287"/>
      <c r="PCL24" s="287"/>
      <c r="PCM24" s="287"/>
      <c r="PCN24" s="287"/>
      <c r="PCO24" s="287"/>
      <c r="PCP24" s="287"/>
      <c r="PCQ24" s="287"/>
      <c r="PCR24" s="287"/>
      <c r="PCS24" s="632"/>
      <c r="PCT24" s="287"/>
      <c r="PCU24" s="633"/>
      <c r="PCV24" s="287"/>
      <c r="PCW24" s="287"/>
      <c r="PCX24" s="287"/>
      <c r="PCY24" s="287"/>
      <c r="PCZ24" s="287"/>
      <c r="PDA24" s="287"/>
      <c r="PDB24" s="287"/>
      <c r="PDC24" s="287"/>
      <c r="PDD24" s="287"/>
      <c r="PDE24" s="287"/>
      <c r="PDF24" s="287"/>
      <c r="PDG24" s="287"/>
      <c r="PDH24" s="287"/>
      <c r="PDI24" s="632"/>
      <c r="PDJ24" s="287"/>
      <c r="PDK24" s="633"/>
      <c r="PDL24" s="287"/>
      <c r="PDM24" s="287"/>
      <c r="PDN24" s="287"/>
      <c r="PDO24" s="287"/>
      <c r="PDP24" s="287"/>
      <c r="PDQ24" s="287"/>
      <c r="PDR24" s="287"/>
      <c r="PDS24" s="287"/>
      <c r="PDT24" s="287"/>
      <c r="PDU24" s="287"/>
      <c r="PDV24" s="287"/>
      <c r="PDW24" s="287"/>
      <c r="PDX24" s="287"/>
      <c r="PDY24" s="632"/>
      <c r="PDZ24" s="287"/>
      <c r="PEA24" s="633"/>
      <c r="PEB24" s="287"/>
      <c r="PEC24" s="287"/>
      <c r="PED24" s="287"/>
      <c r="PEE24" s="287"/>
      <c r="PEF24" s="287"/>
      <c r="PEG24" s="287"/>
      <c r="PEH24" s="287"/>
      <c r="PEI24" s="287"/>
      <c r="PEJ24" s="287"/>
      <c r="PEK24" s="287"/>
      <c r="PEL24" s="287"/>
      <c r="PEM24" s="287"/>
      <c r="PEN24" s="287"/>
      <c r="PEO24" s="632"/>
      <c r="PEP24" s="287"/>
      <c r="PEQ24" s="633"/>
      <c r="PER24" s="287"/>
      <c r="PES24" s="287"/>
      <c r="PET24" s="287"/>
      <c r="PEU24" s="287"/>
      <c r="PEV24" s="287"/>
      <c r="PEW24" s="287"/>
      <c r="PEX24" s="287"/>
      <c r="PEY24" s="287"/>
      <c r="PEZ24" s="287"/>
      <c r="PFA24" s="287"/>
      <c r="PFB24" s="287"/>
      <c r="PFC24" s="287"/>
      <c r="PFD24" s="287"/>
      <c r="PFE24" s="632"/>
      <c r="PFF24" s="287"/>
      <c r="PFG24" s="633"/>
      <c r="PFH24" s="287"/>
      <c r="PFI24" s="287"/>
      <c r="PFJ24" s="287"/>
      <c r="PFK24" s="287"/>
      <c r="PFL24" s="287"/>
      <c r="PFM24" s="287"/>
      <c r="PFN24" s="287"/>
      <c r="PFO24" s="287"/>
      <c r="PFP24" s="287"/>
      <c r="PFQ24" s="287"/>
      <c r="PFR24" s="287"/>
      <c r="PFS24" s="287"/>
      <c r="PFT24" s="287"/>
      <c r="PFU24" s="632"/>
      <c r="PFV24" s="287"/>
      <c r="PFW24" s="633"/>
      <c r="PFX24" s="287"/>
      <c r="PFY24" s="287"/>
      <c r="PFZ24" s="287"/>
      <c r="PGA24" s="287"/>
      <c r="PGB24" s="287"/>
      <c r="PGC24" s="287"/>
      <c r="PGD24" s="287"/>
      <c r="PGE24" s="287"/>
      <c r="PGF24" s="287"/>
      <c r="PGG24" s="287"/>
      <c r="PGH24" s="287"/>
      <c r="PGI24" s="287"/>
      <c r="PGJ24" s="287"/>
      <c r="PGK24" s="632"/>
      <c r="PGL24" s="287"/>
      <c r="PGM24" s="633"/>
      <c r="PGN24" s="287"/>
      <c r="PGO24" s="287"/>
      <c r="PGP24" s="287"/>
      <c r="PGQ24" s="287"/>
      <c r="PGR24" s="287"/>
      <c r="PGS24" s="287"/>
      <c r="PGT24" s="287"/>
      <c r="PGU24" s="287"/>
      <c r="PGV24" s="287"/>
      <c r="PGW24" s="287"/>
      <c r="PGX24" s="287"/>
      <c r="PGY24" s="287"/>
      <c r="PGZ24" s="287"/>
      <c r="PHA24" s="632"/>
      <c r="PHB24" s="287"/>
      <c r="PHC24" s="633"/>
      <c r="PHD24" s="287"/>
      <c r="PHE24" s="287"/>
      <c r="PHF24" s="287"/>
      <c r="PHG24" s="287"/>
      <c r="PHH24" s="287"/>
      <c r="PHI24" s="287"/>
      <c r="PHJ24" s="287"/>
      <c r="PHK24" s="287"/>
      <c r="PHL24" s="287"/>
      <c r="PHM24" s="287"/>
      <c r="PHN24" s="287"/>
      <c r="PHO24" s="287"/>
      <c r="PHP24" s="287"/>
      <c r="PHQ24" s="632"/>
      <c r="PHR24" s="287"/>
      <c r="PHS24" s="633"/>
      <c r="PHT24" s="287"/>
      <c r="PHU24" s="287"/>
      <c r="PHV24" s="287"/>
      <c r="PHW24" s="287"/>
      <c r="PHX24" s="287"/>
      <c r="PHY24" s="287"/>
      <c r="PHZ24" s="287"/>
      <c r="PIA24" s="287"/>
      <c r="PIB24" s="287"/>
      <c r="PIC24" s="287"/>
      <c r="PID24" s="287"/>
      <c r="PIE24" s="287"/>
      <c r="PIF24" s="287"/>
      <c r="PIG24" s="632"/>
      <c r="PIH24" s="287"/>
      <c r="PII24" s="633"/>
      <c r="PIJ24" s="287"/>
      <c r="PIK24" s="287"/>
      <c r="PIL24" s="287"/>
      <c r="PIM24" s="287"/>
      <c r="PIN24" s="287"/>
      <c r="PIO24" s="287"/>
      <c r="PIP24" s="287"/>
      <c r="PIQ24" s="287"/>
      <c r="PIR24" s="287"/>
      <c r="PIS24" s="287"/>
      <c r="PIT24" s="287"/>
      <c r="PIU24" s="287"/>
      <c r="PIV24" s="287"/>
      <c r="PIW24" s="632"/>
      <c r="PIX24" s="287"/>
      <c r="PIY24" s="633"/>
      <c r="PIZ24" s="287"/>
      <c r="PJA24" s="287"/>
      <c r="PJB24" s="287"/>
      <c r="PJC24" s="287"/>
      <c r="PJD24" s="287"/>
      <c r="PJE24" s="287"/>
      <c r="PJF24" s="287"/>
      <c r="PJG24" s="287"/>
      <c r="PJH24" s="287"/>
      <c r="PJI24" s="287"/>
      <c r="PJJ24" s="287"/>
      <c r="PJK24" s="287"/>
      <c r="PJL24" s="287"/>
      <c r="PJM24" s="632"/>
      <c r="PJN24" s="287"/>
      <c r="PJO24" s="633"/>
      <c r="PJP24" s="287"/>
      <c r="PJQ24" s="287"/>
      <c r="PJR24" s="287"/>
      <c r="PJS24" s="287"/>
      <c r="PJT24" s="287"/>
      <c r="PJU24" s="287"/>
      <c r="PJV24" s="287"/>
      <c r="PJW24" s="287"/>
      <c r="PJX24" s="287"/>
      <c r="PJY24" s="287"/>
      <c r="PJZ24" s="287"/>
      <c r="PKA24" s="287"/>
      <c r="PKB24" s="287"/>
      <c r="PKC24" s="632"/>
      <c r="PKD24" s="287"/>
      <c r="PKE24" s="633"/>
      <c r="PKF24" s="287"/>
      <c r="PKG24" s="287"/>
      <c r="PKH24" s="287"/>
      <c r="PKI24" s="287"/>
      <c r="PKJ24" s="287"/>
      <c r="PKK24" s="287"/>
      <c r="PKL24" s="287"/>
      <c r="PKM24" s="287"/>
      <c r="PKN24" s="287"/>
      <c r="PKO24" s="287"/>
      <c r="PKP24" s="287"/>
      <c r="PKQ24" s="287"/>
      <c r="PKR24" s="287"/>
      <c r="PKS24" s="632"/>
      <c r="PKT24" s="287"/>
      <c r="PKU24" s="633"/>
      <c r="PKV24" s="287"/>
      <c r="PKW24" s="287"/>
      <c r="PKX24" s="287"/>
      <c r="PKY24" s="287"/>
      <c r="PKZ24" s="287"/>
      <c r="PLA24" s="287"/>
      <c r="PLB24" s="287"/>
      <c r="PLC24" s="287"/>
      <c r="PLD24" s="287"/>
      <c r="PLE24" s="287"/>
      <c r="PLF24" s="287"/>
      <c r="PLG24" s="287"/>
      <c r="PLH24" s="287"/>
      <c r="PLI24" s="632"/>
      <c r="PLJ24" s="287"/>
      <c r="PLK24" s="633"/>
      <c r="PLL24" s="287"/>
      <c r="PLM24" s="287"/>
      <c r="PLN24" s="287"/>
      <c r="PLO24" s="287"/>
      <c r="PLP24" s="287"/>
      <c r="PLQ24" s="287"/>
      <c r="PLR24" s="287"/>
      <c r="PLS24" s="287"/>
      <c r="PLT24" s="287"/>
      <c r="PLU24" s="287"/>
      <c r="PLV24" s="287"/>
      <c r="PLW24" s="287"/>
      <c r="PLX24" s="287"/>
      <c r="PLY24" s="632"/>
      <c r="PLZ24" s="287"/>
      <c r="PMA24" s="633"/>
      <c r="PMB24" s="287"/>
      <c r="PMC24" s="287"/>
      <c r="PMD24" s="287"/>
      <c r="PME24" s="287"/>
      <c r="PMF24" s="287"/>
      <c r="PMG24" s="287"/>
      <c r="PMH24" s="287"/>
      <c r="PMI24" s="287"/>
      <c r="PMJ24" s="287"/>
      <c r="PMK24" s="287"/>
      <c r="PML24" s="287"/>
      <c r="PMM24" s="287"/>
      <c r="PMN24" s="287"/>
      <c r="PMO24" s="632"/>
      <c r="PMP24" s="287"/>
      <c r="PMQ24" s="633"/>
      <c r="PMR24" s="287"/>
      <c r="PMS24" s="287"/>
      <c r="PMT24" s="287"/>
      <c r="PMU24" s="287"/>
      <c r="PMV24" s="287"/>
      <c r="PMW24" s="287"/>
      <c r="PMX24" s="287"/>
      <c r="PMY24" s="287"/>
      <c r="PMZ24" s="287"/>
      <c r="PNA24" s="287"/>
      <c r="PNB24" s="287"/>
      <c r="PNC24" s="287"/>
      <c r="PND24" s="287"/>
      <c r="PNE24" s="632"/>
      <c r="PNF24" s="287"/>
      <c r="PNG24" s="633"/>
      <c r="PNH24" s="287"/>
      <c r="PNI24" s="287"/>
      <c r="PNJ24" s="287"/>
      <c r="PNK24" s="287"/>
      <c r="PNL24" s="287"/>
      <c r="PNM24" s="287"/>
      <c r="PNN24" s="287"/>
      <c r="PNO24" s="287"/>
      <c r="PNP24" s="287"/>
      <c r="PNQ24" s="287"/>
      <c r="PNR24" s="287"/>
      <c r="PNS24" s="287"/>
      <c r="PNT24" s="287"/>
      <c r="PNU24" s="632"/>
      <c r="PNV24" s="287"/>
      <c r="PNW24" s="633"/>
      <c r="PNX24" s="287"/>
      <c r="PNY24" s="287"/>
      <c r="PNZ24" s="287"/>
      <c r="POA24" s="287"/>
      <c r="POB24" s="287"/>
      <c r="POC24" s="287"/>
      <c r="POD24" s="287"/>
      <c r="POE24" s="287"/>
      <c r="POF24" s="287"/>
      <c r="POG24" s="287"/>
      <c r="POH24" s="287"/>
      <c r="POI24" s="287"/>
      <c r="POJ24" s="287"/>
      <c r="POK24" s="632"/>
      <c r="POL24" s="287"/>
      <c r="POM24" s="633"/>
      <c r="PON24" s="287"/>
      <c r="POO24" s="287"/>
      <c r="POP24" s="287"/>
      <c r="POQ24" s="287"/>
      <c r="POR24" s="287"/>
      <c r="POS24" s="287"/>
      <c r="POT24" s="287"/>
      <c r="POU24" s="287"/>
      <c r="POV24" s="287"/>
      <c r="POW24" s="287"/>
      <c r="POX24" s="287"/>
      <c r="POY24" s="287"/>
      <c r="POZ24" s="287"/>
      <c r="PPA24" s="632"/>
      <c r="PPB24" s="287"/>
      <c r="PPC24" s="633"/>
      <c r="PPD24" s="287"/>
      <c r="PPE24" s="287"/>
      <c r="PPF24" s="287"/>
      <c r="PPG24" s="287"/>
      <c r="PPH24" s="287"/>
      <c r="PPI24" s="287"/>
      <c r="PPJ24" s="287"/>
      <c r="PPK24" s="287"/>
      <c r="PPL24" s="287"/>
      <c r="PPM24" s="287"/>
      <c r="PPN24" s="287"/>
      <c r="PPO24" s="287"/>
      <c r="PPP24" s="287"/>
      <c r="PPQ24" s="632"/>
      <c r="PPR24" s="287"/>
      <c r="PPS24" s="633"/>
      <c r="PPT24" s="287"/>
      <c r="PPU24" s="287"/>
      <c r="PPV24" s="287"/>
      <c r="PPW24" s="287"/>
      <c r="PPX24" s="287"/>
      <c r="PPY24" s="287"/>
      <c r="PPZ24" s="287"/>
      <c r="PQA24" s="287"/>
      <c r="PQB24" s="287"/>
      <c r="PQC24" s="287"/>
      <c r="PQD24" s="287"/>
      <c r="PQE24" s="287"/>
      <c r="PQF24" s="287"/>
      <c r="PQG24" s="632"/>
      <c r="PQH24" s="287"/>
      <c r="PQI24" s="633"/>
      <c r="PQJ24" s="287"/>
      <c r="PQK24" s="287"/>
      <c r="PQL24" s="287"/>
      <c r="PQM24" s="287"/>
      <c r="PQN24" s="287"/>
      <c r="PQO24" s="287"/>
      <c r="PQP24" s="287"/>
      <c r="PQQ24" s="287"/>
      <c r="PQR24" s="287"/>
      <c r="PQS24" s="287"/>
      <c r="PQT24" s="287"/>
      <c r="PQU24" s="287"/>
      <c r="PQV24" s="287"/>
      <c r="PQW24" s="632"/>
      <c r="PQX24" s="287"/>
      <c r="PQY24" s="633"/>
      <c r="PQZ24" s="287"/>
      <c r="PRA24" s="287"/>
      <c r="PRB24" s="287"/>
      <c r="PRC24" s="287"/>
      <c r="PRD24" s="287"/>
      <c r="PRE24" s="287"/>
      <c r="PRF24" s="287"/>
      <c r="PRG24" s="287"/>
      <c r="PRH24" s="287"/>
      <c r="PRI24" s="287"/>
      <c r="PRJ24" s="287"/>
      <c r="PRK24" s="287"/>
      <c r="PRL24" s="287"/>
      <c r="PRM24" s="632"/>
      <c r="PRN24" s="287"/>
      <c r="PRO24" s="633"/>
      <c r="PRP24" s="287"/>
      <c r="PRQ24" s="287"/>
      <c r="PRR24" s="287"/>
      <c r="PRS24" s="287"/>
      <c r="PRT24" s="287"/>
      <c r="PRU24" s="287"/>
      <c r="PRV24" s="287"/>
      <c r="PRW24" s="287"/>
      <c r="PRX24" s="287"/>
      <c r="PRY24" s="287"/>
      <c r="PRZ24" s="287"/>
      <c r="PSA24" s="287"/>
      <c r="PSB24" s="287"/>
      <c r="PSC24" s="632"/>
      <c r="PSD24" s="287"/>
      <c r="PSE24" s="633"/>
      <c r="PSF24" s="287"/>
      <c r="PSG24" s="287"/>
      <c r="PSH24" s="287"/>
      <c r="PSI24" s="287"/>
      <c r="PSJ24" s="287"/>
      <c r="PSK24" s="287"/>
      <c r="PSL24" s="287"/>
      <c r="PSM24" s="287"/>
      <c r="PSN24" s="287"/>
      <c r="PSO24" s="287"/>
      <c r="PSP24" s="287"/>
      <c r="PSQ24" s="287"/>
      <c r="PSR24" s="287"/>
      <c r="PSS24" s="632"/>
      <c r="PST24" s="287"/>
      <c r="PSU24" s="633"/>
      <c r="PSV24" s="287"/>
      <c r="PSW24" s="287"/>
      <c r="PSX24" s="287"/>
      <c r="PSY24" s="287"/>
      <c r="PSZ24" s="287"/>
      <c r="PTA24" s="287"/>
      <c r="PTB24" s="287"/>
      <c r="PTC24" s="287"/>
      <c r="PTD24" s="287"/>
      <c r="PTE24" s="287"/>
      <c r="PTF24" s="287"/>
      <c r="PTG24" s="287"/>
      <c r="PTH24" s="287"/>
      <c r="PTI24" s="632"/>
      <c r="PTJ24" s="287"/>
      <c r="PTK24" s="633"/>
      <c r="PTL24" s="287"/>
      <c r="PTM24" s="287"/>
      <c r="PTN24" s="287"/>
      <c r="PTO24" s="287"/>
      <c r="PTP24" s="287"/>
      <c r="PTQ24" s="287"/>
      <c r="PTR24" s="287"/>
      <c r="PTS24" s="287"/>
      <c r="PTT24" s="287"/>
      <c r="PTU24" s="287"/>
      <c r="PTV24" s="287"/>
      <c r="PTW24" s="287"/>
      <c r="PTX24" s="287"/>
      <c r="PTY24" s="632"/>
      <c r="PTZ24" s="287"/>
      <c r="PUA24" s="633"/>
      <c r="PUB24" s="287"/>
      <c r="PUC24" s="287"/>
      <c r="PUD24" s="287"/>
      <c r="PUE24" s="287"/>
      <c r="PUF24" s="287"/>
      <c r="PUG24" s="287"/>
      <c r="PUH24" s="287"/>
      <c r="PUI24" s="287"/>
      <c r="PUJ24" s="287"/>
      <c r="PUK24" s="287"/>
      <c r="PUL24" s="287"/>
      <c r="PUM24" s="287"/>
      <c r="PUN24" s="287"/>
      <c r="PUO24" s="632"/>
      <c r="PUP24" s="287"/>
      <c r="PUQ24" s="633"/>
      <c r="PUR24" s="287"/>
      <c r="PUS24" s="287"/>
      <c r="PUT24" s="287"/>
      <c r="PUU24" s="287"/>
      <c r="PUV24" s="287"/>
      <c r="PUW24" s="287"/>
      <c r="PUX24" s="287"/>
      <c r="PUY24" s="287"/>
      <c r="PUZ24" s="287"/>
      <c r="PVA24" s="287"/>
      <c r="PVB24" s="287"/>
      <c r="PVC24" s="287"/>
      <c r="PVD24" s="287"/>
      <c r="PVE24" s="632"/>
      <c r="PVF24" s="287"/>
      <c r="PVG24" s="633"/>
      <c r="PVH24" s="287"/>
      <c r="PVI24" s="287"/>
      <c r="PVJ24" s="287"/>
      <c r="PVK24" s="287"/>
      <c r="PVL24" s="287"/>
      <c r="PVM24" s="287"/>
      <c r="PVN24" s="287"/>
      <c r="PVO24" s="287"/>
      <c r="PVP24" s="287"/>
      <c r="PVQ24" s="287"/>
      <c r="PVR24" s="287"/>
      <c r="PVS24" s="287"/>
      <c r="PVT24" s="287"/>
      <c r="PVU24" s="632"/>
      <c r="PVV24" s="287"/>
      <c r="PVW24" s="633"/>
      <c r="PVX24" s="287"/>
      <c r="PVY24" s="287"/>
      <c r="PVZ24" s="287"/>
      <c r="PWA24" s="287"/>
      <c r="PWB24" s="287"/>
      <c r="PWC24" s="287"/>
      <c r="PWD24" s="287"/>
      <c r="PWE24" s="287"/>
      <c r="PWF24" s="287"/>
      <c r="PWG24" s="287"/>
      <c r="PWH24" s="287"/>
      <c r="PWI24" s="287"/>
      <c r="PWJ24" s="287"/>
      <c r="PWK24" s="632"/>
      <c r="PWL24" s="287"/>
      <c r="PWM24" s="633"/>
      <c r="PWN24" s="287"/>
      <c r="PWO24" s="287"/>
      <c r="PWP24" s="287"/>
      <c r="PWQ24" s="287"/>
      <c r="PWR24" s="287"/>
      <c r="PWS24" s="287"/>
      <c r="PWT24" s="287"/>
      <c r="PWU24" s="287"/>
      <c r="PWV24" s="287"/>
      <c r="PWW24" s="287"/>
      <c r="PWX24" s="287"/>
      <c r="PWY24" s="287"/>
      <c r="PWZ24" s="287"/>
      <c r="PXA24" s="632"/>
      <c r="PXB24" s="287"/>
      <c r="PXC24" s="633"/>
      <c r="PXD24" s="287"/>
      <c r="PXE24" s="287"/>
      <c r="PXF24" s="287"/>
      <c r="PXG24" s="287"/>
      <c r="PXH24" s="287"/>
      <c r="PXI24" s="287"/>
      <c r="PXJ24" s="287"/>
      <c r="PXK24" s="287"/>
      <c r="PXL24" s="287"/>
      <c r="PXM24" s="287"/>
      <c r="PXN24" s="287"/>
      <c r="PXO24" s="287"/>
      <c r="PXP24" s="287"/>
      <c r="PXQ24" s="632"/>
      <c r="PXR24" s="287"/>
      <c r="PXS24" s="633"/>
      <c r="PXT24" s="287"/>
      <c r="PXU24" s="287"/>
      <c r="PXV24" s="287"/>
      <c r="PXW24" s="287"/>
      <c r="PXX24" s="287"/>
      <c r="PXY24" s="287"/>
      <c r="PXZ24" s="287"/>
      <c r="PYA24" s="287"/>
      <c r="PYB24" s="287"/>
      <c r="PYC24" s="287"/>
      <c r="PYD24" s="287"/>
      <c r="PYE24" s="287"/>
      <c r="PYF24" s="287"/>
      <c r="PYG24" s="632"/>
      <c r="PYH24" s="287"/>
      <c r="PYI24" s="633"/>
      <c r="PYJ24" s="287"/>
      <c r="PYK24" s="287"/>
      <c r="PYL24" s="287"/>
      <c r="PYM24" s="287"/>
      <c r="PYN24" s="287"/>
      <c r="PYO24" s="287"/>
      <c r="PYP24" s="287"/>
      <c r="PYQ24" s="287"/>
      <c r="PYR24" s="287"/>
      <c r="PYS24" s="287"/>
      <c r="PYT24" s="287"/>
      <c r="PYU24" s="287"/>
      <c r="PYV24" s="287"/>
      <c r="PYW24" s="632"/>
      <c r="PYX24" s="287"/>
      <c r="PYY24" s="633"/>
      <c r="PYZ24" s="287"/>
      <c r="PZA24" s="287"/>
      <c r="PZB24" s="287"/>
      <c r="PZC24" s="287"/>
      <c r="PZD24" s="287"/>
      <c r="PZE24" s="287"/>
      <c r="PZF24" s="287"/>
      <c r="PZG24" s="287"/>
      <c r="PZH24" s="287"/>
      <c r="PZI24" s="287"/>
      <c r="PZJ24" s="287"/>
      <c r="PZK24" s="287"/>
      <c r="PZL24" s="287"/>
      <c r="PZM24" s="632"/>
      <c r="PZN24" s="287"/>
      <c r="PZO24" s="633"/>
      <c r="PZP24" s="287"/>
      <c r="PZQ24" s="287"/>
      <c r="PZR24" s="287"/>
      <c r="PZS24" s="287"/>
      <c r="PZT24" s="287"/>
      <c r="PZU24" s="287"/>
      <c r="PZV24" s="287"/>
      <c r="PZW24" s="287"/>
      <c r="PZX24" s="287"/>
      <c r="PZY24" s="287"/>
      <c r="PZZ24" s="287"/>
      <c r="QAA24" s="287"/>
      <c r="QAB24" s="287"/>
      <c r="QAC24" s="632"/>
      <c r="QAD24" s="287"/>
      <c r="QAE24" s="633"/>
      <c r="QAF24" s="287"/>
      <c r="QAG24" s="287"/>
      <c r="QAH24" s="287"/>
      <c r="QAI24" s="287"/>
      <c r="QAJ24" s="287"/>
      <c r="QAK24" s="287"/>
      <c r="QAL24" s="287"/>
      <c r="QAM24" s="287"/>
      <c r="QAN24" s="287"/>
      <c r="QAO24" s="287"/>
      <c r="QAP24" s="287"/>
      <c r="QAQ24" s="287"/>
      <c r="QAR24" s="287"/>
      <c r="QAS24" s="632"/>
      <c r="QAT24" s="287"/>
      <c r="QAU24" s="633"/>
      <c r="QAV24" s="287"/>
      <c r="QAW24" s="287"/>
      <c r="QAX24" s="287"/>
      <c r="QAY24" s="287"/>
      <c r="QAZ24" s="287"/>
      <c r="QBA24" s="287"/>
      <c r="QBB24" s="287"/>
      <c r="QBC24" s="287"/>
      <c r="QBD24" s="287"/>
      <c r="QBE24" s="287"/>
      <c r="QBF24" s="287"/>
      <c r="QBG24" s="287"/>
      <c r="QBH24" s="287"/>
      <c r="QBI24" s="632"/>
      <c r="QBJ24" s="287"/>
      <c r="QBK24" s="633"/>
      <c r="QBL24" s="287"/>
      <c r="QBM24" s="287"/>
      <c r="QBN24" s="287"/>
      <c r="QBO24" s="287"/>
      <c r="QBP24" s="287"/>
      <c r="QBQ24" s="287"/>
      <c r="QBR24" s="287"/>
      <c r="QBS24" s="287"/>
      <c r="QBT24" s="287"/>
      <c r="QBU24" s="287"/>
      <c r="QBV24" s="287"/>
      <c r="QBW24" s="287"/>
      <c r="QBX24" s="287"/>
      <c r="QBY24" s="632"/>
      <c r="QBZ24" s="287"/>
      <c r="QCA24" s="633"/>
      <c r="QCB24" s="287"/>
      <c r="QCC24" s="287"/>
      <c r="QCD24" s="287"/>
      <c r="QCE24" s="287"/>
      <c r="QCF24" s="287"/>
      <c r="QCG24" s="287"/>
      <c r="QCH24" s="287"/>
      <c r="QCI24" s="287"/>
      <c r="QCJ24" s="287"/>
      <c r="QCK24" s="287"/>
      <c r="QCL24" s="287"/>
      <c r="QCM24" s="287"/>
      <c r="QCN24" s="287"/>
      <c r="QCO24" s="632"/>
      <c r="QCP24" s="287"/>
      <c r="QCQ24" s="633"/>
      <c r="QCR24" s="287"/>
      <c r="QCS24" s="287"/>
      <c r="QCT24" s="287"/>
      <c r="QCU24" s="287"/>
      <c r="QCV24" s="287"/>
      <c r="QCW24" s="287"/>
      <c r="QCX24" s="287"/>
      <c r="QCY24" s="287"/>
      <c r="QCZ24" s="287"/>
      <c r="QDA24" s="287"/>
      <c r="QDB24" s="287"/>
      <c r="QDC24" s="287"/>
      <c r="QDD24" s="287"/>
      <c r="QDE24" s="632"/>
      <c r="QDF24" s="287"/>
      <c r="QDG24" s="633"/>
      <c r="QDH24" s="287"/>
      <c r="QDI24" s="287"/>
      <c r="QDJ24" s="287"/>
      <c r="QDK24" s="287"/>
      <c r="QDL24" s="287"/>
      <c r="QDM24" s="287"/>
      <c r="QDN24" s="287"/>
      <c r="QDO24" s="287"/>
      <c r="QDP24" s="287"/>
      <c r="QDQ24" s="287"/>
      <c r="QDR24" s="287"/>
      <c r="QDS24" s="287"/>
      <c r="QDT24" s="287"/>
      <c r="QDU24" s="632"/>
      <c r="QDV24" s="287"/>
      <c r="QDW24" s="633"/>
      <c r="QDX24" s="287"/>
      <c r="QDY24" s="287"/>
      <c r="QDZ24" s="287"/>
      <c r="QEA24" s="287"/>
      <c r="QEB24" s="287"/>
      <c r="QEC24" s="287"/>
      <c r="QED24" s="287"/>
      <c r="QEE24" s="287"/>
      <c r="QEF24" s="287"/>
      <c r="QEG24" s="287"/>
      <c r="QEH24" s="287"/>
      <c r="QEI24" s="287"/>
      <c r="QEJ24" s="287"/>
      <c r="QEK24" s="632"/>
      <c r="QEL24" s="287"/>
      <c r="QEM24" s="633"/>
      <c r="QEN24" s="287"/>
      <c r="QEO24" s="287"/>
      <c r="QEP24" s="287"/>
      <c r="QEQ24" s="287"/>
      <c r="QER24" s="287"/>
      <c r="QES24" s="287"/>
      <c r="QET24" s="287"/>
      <c r="QEU24" s="287"/>
      <c r="QEV24" s="287"/>
      <c r="QEW24" s="287"/>
      <c r="QEX24" s="287"/>
      <c r="QEY24" s="287"/>
      <c r="QEZ24" s="287"/>
      <c r="QFA24" s="632"/>
      <c r="QFB24" s="287"/>
      <c r="QFC24" s="633"/>
      <c r="QFD24" s="287"/>
      <c r="QFE24" s="287"/>
      <c r="QFF24" s="287"/>
      <c r="QFG24" s="287"/>
      <c r="QFH24" s="287"/>
      <c r="QFI24" s="287"/>
      <c r="QFJ24" s="287"/>
      <c r="QFK24" s="287"/>
      <c r="QFL24" s="287"/>
      <c r="QFM24" s="287"/>
      <c r="QFN24" s="287"/>
      <c r="QFO24" s="287"/>
      <c r="QFP24" s="287"/>
      <c r="QFQ24" s="632"/>
      <c r="QFR24" s="287"/>
      <c r="QFS24" s="633"/>
      <c r="QFT24" s="287"/>
      <c r="QFU24" s="287"/>
      <c r="QFV24" s="287"/>
      <c r="QFW24" s="287"/>
      <c r="QFX24" s="287"/>
      <c r="QFY24" s="287"/>
      <c r="QFZ24" s="287"/>
      <c r="QGA24" s="287"/>
      <c r="QGB24" s="287"/>
      <c r="QGC24" s="287"/>
      <c r="QGD24" s="287"/>
      <c r="QGE24" s="287"/>
      <c r="QGF24" s="287"/>
      <c r="QGG24" s="632"/>
      <c r="QGH24" s="287"/>
      <c r="QGI24" s="633"/>
      <c r="QGJ24" s="287"/>
      <c r="QGK24" s="287"/>
      <c r="QGL24" s="287"/>
      <c r="QGM24" s="287"/>
      <c r="QGN24" s="287"/>
      <c r="QGO24" s="287"/>
      <c r="QGP24" s="287"/>
      <c r="QGQ24" s="287"/>
      <c r="QGR24" s="287"/>
      <c r="QGS24" s="287"/>
      <c r="QGT24" s="287"/>
      <c r="QGU24" s="287"/>
      <c r="QGV24" s="287"/>
      <c r="QGW24" s="632"/>
      <c r="QGX24" s="287"/>
      <c r="QGY24" s="633"/>
      <c r="QGZ24" s="287"/>
      <c r="QHA24" s="287"/>
      <c r="QHB24" s="287"/>
      <c r="QHC24" s="287"/>
      <c r="QHD24" s="287"/>
      <c r="QHE24" s="287"/>
      <c r="QHF24" s="287"/>
      <c r="QHG24" s="287"/>
      <c r="QHH24" s="287"/>
      <c r="QHI24" s="287"/>
      <c r="QHJ24" s="287"/>
      <c r="QHK24" s="287"/>
      <c r="QHL24" s="287"/>
      <c r="QHM24" s="632"/>
      <c r="QHN24" s="287"/>
      <c r="QHO24" s="633"/>
      <c r="QHP24" s="287"/>
      <c r="QHQ24" s="287"/>
      <c r="QHR24" s="287"/>
      <c r="QHS24" s="287"/>
      <c r="QHT24" s="287"/>
      <c r="QHU24" s="287"/>
      <c r="QHV24" s="287"/>
      <c r="QHW24" s="287"/>
      <c r="QHX24" s="287"/>
      <c r="QHY24" s="287"/>
      <c r="QHZ24" s="287"/>
      <c r="QIA24" s="287"/>
      <c r="QIB24" s="287"/>
      <c r="QIC24" s="632"/>
      <c r="QID24" s="287"/>
      <c r="QIE24" s="633"/>
      <c r="QIF24" s="287"/>
      <c r="QIG24" s="287"/>
      <c r="QIH24" s="287"/>
      <c r="QII24" s="287"/>
      <c r="QIJ24" s="287"/>
      <c r="QIK24" s="287"/>
      <c r="QIL24" s="287"/>
      <c r="QIM24" s="287"/>
      <c r="QIN24" s="287"/>
      <c r="QIO24" s="287"/>
      <c r="QIP24" s="287"/>
      <c r="QIQ24" s="287"/>
      <c r="QIR24" s="287"/>
      <c r="QIS24" s="632"/>
      <c r="QIT24" s="287"/>
      <c r="QIU24" s="633"/>
      <c r="QIV24" s="287"/>
      <c r="QIW24" s="287"/>
      <c r="QIX24" s="287"/>
      <c r="QIY24" s="287"/>
      <c r="QIZ24" s="287"/>
      <c r="QJA24" s="287"/>
      <c r="QJB24" s="287"/>
      <c r="QJC24" s="287"/>
      <c r="QJD24" s="287"/>
      <c r="QJE24" s="287"/>
      <c r="QJF24" s="287"/>
      <c r="QJG24" s="287"/>
      <c r="QJH24" s="287"/>
      <c r="QJI24" s="632"/>
      <c r="QJJ24" s="287"/>
      <c r="QJK24" s="633"/>
      <c r="QJL24" s="287"/>
      <c r="QJM24" s="287"/>
      <c r="QJN24" s="287"/>
      <c r="QJO24" s="287"/>
      <c r="QJP24" s="287"/>
      <c r="QJQ24" s="287"/>
      <c r="QJR24" s="287"/>
      <c r="QJS24" s="287"/>
      <c r="QJT24" s="287"/>
      <c r="QJU24" s="287"/>
      <c r="QJV24" s="287"/>
      <c r="QJW24" s="287"/>
      <c r="QJX24" s="287"/>
      <c r="QJY24" s="632"/>
      <c r="QJZ24" s="287"/>
      <c r="QKA24" s="633"/>
      <c r="QKB24" s="287"/>
      <c r="QKC24" s="287"/>
      <c r="QKD24" s="287"/>
      <c r="QKE24" s="287"/>
      <c r="QKF24" s="287"/>
      <c r="QKG24" s="287"/>
      <c r="QKH24" s="287"/>
      <c r="QKI24" s="287"/>
      <c r="QKJ24" s="287"/>
      <c r="QKK24" s="287"/>
      <c r="QKL24" s="287"/>
      <c r="QKM24" s="287"/>
      <c r="QKN24" s="287"/>
      <c r="QKO24" s="632"/>
      <c r="QKP24" s="287"/>
      <c r="QKQ24" s="633"/>
      <c r="QKR24" s="287"/>
      <c r="QKS24" s="287"/>
      <c r="QKT24" s="287"/>
      <c r="QKU24" s="287"/>
      <c r="QKV24" s="287"/>
      <c r="QKW24" s="287"/>
      <c r="QKX24" s="287"/>
      <c r="QKY24" s="287"/>
      <c r="QKZ24" s="287"/>
      <c r="QLA24" s="287"/>
      <c r="QLB24" s="287"/>
      <c r="QLC24" s="287"/>
      <c r="QLD24" s="287"/>
      <c r="QLE24" s="632"/>
      <c r="QLF24" s="287"/>
      <c r="QLG24" s="633"/>
      <c r="QLH24" s="287"/>
      <c r="QLI24" s="287"/>
      <c r="QLJ24" s="287"/>
      <c r="QLK24" s="287"/>
      <c r="QLL24" s="287"/>
      <c r="QLM24" s="287"/>
      <c r="QLN24" s="287"/>
      <c r="QLO24" s="287"/>
      <c r="QLP24" s="287"/>
      <c r="QLQ24" s="287"/>
      <c r="QLR24" s="287"/>
      <c r="QLS24" s="287"/>
      <c r="QLT24" s="287"/>
      <c r="QLU24" s="632"/>
      <c r="QLV24" s="287"/>
      <c r="QLW24" s="633"/>
      <c r="QLX24" s="287"/>
      <c r="QLY24" s="287"/>
      <c r="QLZ24" s="287"/>
      <c r="QMA24" s="287"/>
      <c r="QMB24" s="287"/>
      <c r="QMC24" s="287"/>
      <c r="QMD24" s="287"/>
      <c r="QME24" s="287"/>
      <c r="QMF24" s="287"/>
      <c r="QMG24" s="287"/>
      <c r="QMH24" s="287"/>
      <c r="QMI24" s="287"/>
      <c r="QMJ24" s="287"/>
      <c r="QMK24" s="632"/>
      <c r="QML24" s="287"/>
      <c r="QMM24" s="633"/>
      <c r="QMN24" s="287"/>
      <c r="QMO24" s="287"/>
      <c r="QMP24" s="287"/>
      <c r="QMQ24" s="287"/>
      <c r="QMR24" s="287"/>
      <c r="QMS24" s="287"/>
      <c r="QMT24" s="287"/>
      <c r="QMU24" s="287"/>
      <c r="QMV24" s="287"/>
      <c r="QMW24" s="287"/>
      <c r="QMX24" s="287"/>
      <c r="QMY24" s="287"/>
      <c r="QMZ24" s="287"/>
      <c r="QNA24" s="632"/>
      <c r="QNB24" s="287"/>
      <c r="QNC24" s="633"/>
      <c r="QND24" s="287"/>
      <c r="QNE24" s="287"/>
      <c r="QNF24" s="287"/>
      <c r="QNG24" s="287"/>
      <c r="QNH24" s="287"/>
      <c r="QNI24" s="287"/>
      <c r="QNJ24" s="287"/>
      <c r="QNK24" s="287"/>
      <c r="QNL24" s="287"/>
      <c r="QNM24" s="287"/>
      <c r="QNN24" s="287"/>
      <c r="QNO24" s="287"/>
      <c r="QNP24" s="287"/>
      <c r="QNQ24" s="632"/>
      <c r="QNR24" s="287"/>
      <c r="QNS24" s="633"/>
      <c r="QNT24" s="287"/>
      <c r="QNU24" s="287"/>
      <c r="QNV24" s="287"/>
      <c r="QNW24" s="287"/>
      <c r="QNX24" s="287"/>
      <c r="QNY24" s="287"/>
      <c r="QNZ24" s="287"/>
      <c r="QOA24" s="287"/>
      <c r="QOB24" s="287"/>
      <c r="QOC24" s="287"/>
      <c r="QOD24" s="287"/>
      <c r="QOE24" s="287"/>
      <c r="QOF24" s="287"/>
      <c r="QOG24" s="632"/>
      <c r="QOH24" s="287"/>
      <c r="QOI24" s="633"/>
      <c r="QOJ24" s="287"/>
      <c r="QOK24" s="287"/>
      <c r="QOL24" s="287"/>
      <c r="QOM24" s="287"/>
      <c r="QON24" s="287"/>
      <c r="QOO24" s="287"/>
      <c r="QOP24" s="287"/>
      <c r="QOQ24" s="287"/>
      <c r="QOR24" s="287"/>
      <c r="QOS24" s="287"/>
      <c r="QOT24" s="287"/>
      <c r="QOU24" s="287"/>
      <c r="QOV24" s="287"/>
      <c r="QOW24" s="632"/>
      <c r="QOX24" s="287"/>
      <c r="QOY24" s="633"/>
      <c r="QOZ24" s="287"/>
      <c r="QPA24" s="287"/>
      <c r="QPB24" s="287"/>
      <c r="QPC24" s="287"/>
      <c r="QPD24" s="287"/>
      <c r="QPE24" s="287"/>
      <c r="QPF24" s="287"/>
      <c r="QPG24" s="287"/>
      <c r="QPH24" s="287"/>
      <c r="QPI24" s="287"/>
      <c r="QPJ24" s="287"/>
      <c r="QPK24" s="287"/>
      <c r="QPL24" s="287"/>
      <c r="QPM24" s="632"/>
      <c r="QPN24" s="287"/>
      <c r="QPO24" s="633"/>
      <c r="QPP24" s="287"/>
      <c r="QPQ24" s="287"/>
      <c r="QPR24" s="287"/>
      <c r="QPS24" s="287"/>
      <c r="QPT24" s="287"/>
      <c r="QPU24" s="287"/>
      <c r="QPV24" s="287"/>
      <c r="QPW24" s="287"/>
      <c r="QPX24" s="287"/>
      <c r="QPY24" s="287"/>
      <c r="QPZ24" s="287"/>
      <c r="QQA24" s="287"/>
      <c r="QQB24" s="287"/>
      <c r="QQC24" s="632"/>
      <c r="QQD24" s="287"/>
      <c r="QQE24" s="633"/>
      <c r="QQF24" s="287"/>
      <c r="QQG24" s="287"/>
      <c r="QQH24" s="287"/>
      <c r="QQI24" s="287"/>
      <c r="QQJ24" s="287"/>
      <c r="QQK24" s="287"/>
      <c r="QQL24" s="287"/>
      <c r="QQM24" s="287"/>
      <c r="QQN24" s="287"/>
      <c r="QQO24" s="287"/>
      <c r="QQP24" s="287"/>
      <c r="QQQ24" s="287"/>
      <c r="QQR24" s="287"/>
      <c r="QQS24" s="632"/>
      <c r="QQT24" s="287"/>
      <c r="QQU24" s="633"/>
      <c r="QQV24" s="287"/>
      <c r="QQW24" s="287"/>
      <c r="QQX24" s="287"/>
      <c r="QQY24" s="287"/>
      <c r="QQZ24" s="287"/>
      <c r="QRA24" s="287"/>
      <c r="QRB24" s="287"/>
      <c r="QRC24" s="287"/>
      <c r="QRD24" s="287"/>
      <c r="QRE24" s="287"/>
      <c r="QRF24" s="287"/>
      <c r="QRG24" s="287"/>
      <c r="QRH24" s="287"/>
      <c r="QRI24" s="632"/>
      <c r="QRJ24" s="287"/>
      <c r="QRK24" s="633"/>
      <c r="QRL24" s="287"/>
      <c r="QRM24" s="287"/>
      <c r="QRN24" s="287"/>
      <c r="QRO24" s="287"/>
      <c r="QRP24" s="287"/>
      <c r="QRQ24" s="287"/>
      <c r="QRR24" s="287"/>
      <c r="QRS24" s="287"/>
      <c r="QRT24" s="287"/>
      <c r="QRU24" s="287"/>
      <c r="QRV24" s="287"/>
      <c r="QRW24" s="287"/>
      <c r="QRX24" s="287"/>
      <c r="QRY24" s="632"/>
      <c r="QRZ24" s="287"/>
      <c r="QSA24" s="633"/>
      <c r="QSB24" s="287"/>
      <c r="QSC24" s="287"/>
      <c r="QSD24" s="287"/>
      <c r="QSE24" s="287"/>
      <c r="QSF24" s="287"/>
      <c r="QSG24" s="287"/>
      <c r="QSH24" s="287"/>
      <c r="QSI24" s="287"/>
      <c r="QSJ24" s="287"/>
      <c r="QSK24" s="287"/>
      <c r="QSL24" s="287"/>
      <c r="QSM24" s="287"/>
      <c r="QSN24" s="287"/>
      <c r="QSO24" s="632"/>
      <c r="QSP24" s="287"/>
      <c r="QSQ24" s="633"/>
      <c r="QSR24" s="287"/>
      <c r="QSS24" s="287"/>
      <c r="QST24" s="287"/>
      <c r="QSU24" s="287"/>
      <c r="QSV24" s="287"/>
      <c r="QSW24" s="287"/>
      <c r="QSX24" s="287"/>
      <c r="QSY24" s="287"/>
      <c r="QSZ24" s="287"/>
      <c r="QTA24" s="287"/>
      <c r="QTB24" s="287"/>
      <c r="QTC24" s="287"/>
      <c r="QTD24" s="287"/>
      <c r="QTE24" s="632"/>
      <c r="QTF24" s="287"/>
      <c r="QTG24" s="633"/>
      <c r="QTH24" s="287"/>
      <c r="QTI24" s="287"/>
      <c r="QTJ24" s="287"/>
      <c r="QTK24" s="287"/>
      <c r="QTL24" s="287"/>
      <c r="QTM24" s="287"/>
      <c r="QTN24" s="287"/>
      <c r="QTO24" s="287"/>
      <c r="QTP24" s="287"/>
      <c r="QTQ24" s="287"/>
      <c r="QTR24" s="287"/>
      <c r="QTS24" s="287"/>
      <c r="QTT24" s="287"/>
      <c r="QTU24" s="632"/>
      <c r="QTV24" s="287"/>
      <c r="QTW24" s="633"/>
      <c r="QTX24" s="287"/>
      <c r="QTY24" s="287"/>
      <c r="QTZ24" s="287"/>
      <c r="QUA24" s="287"/>
      <c r="QUB24" s="287"/>
      <c r="QUC24" s="287"/>
      <c r="QUD24" s="287"/>
      <c r="QUE24" s="287"/>
      <c r="QUF24" s="287"/>
      <c r="QUG24" s="287"/>
      <c r="QUH24" s="287"/>
      <c r="QUI24" s="287"/>
      <c r="QUJ24" s="287"/>
      <c r="QUK24" s="632"/>
      <c r="QUL24" s="287"/>
      <c r="QUM24" s="633"/>
      <c r="QUN24" s="287"/>
      <c r="QUO24" s="287"/>
      <c r="QUP24" s="287"/>
      <c r="QUQ24" s="287"/>
      <c r="QUR24" s="287"/>
      <c r="QUS24" s="287"/>
      <c r="QUT24" s="287"/>
      <c r="QUU24" s="287"/>
      <c r="QUV24" s="287"/>
      <c r="QUW24" s="287"/>
      <c r="QUX24" s="287"/>
      <c r="QUY24" s="287"/>
      <c r="QUZ24" s="287"/>
      <c r="QVA24" s="632"/>
      <c r="QVB24" s="287"/>
      <c r="QVC24" s="633"/>
      <c r="QVD24" s="287"/>
      <c r="QVE24" s="287"/>
      <c r="QVF24" s="287"/>
      <c r="QVG24" s="287"/>
      <c r="QVH24" s="287"/>
      <c r="QVI24" s="287"/>
      <c r="QVJ24" s="287"/>
      <c r="QVK24" s="287"/>
      <c r="QVL24" s="287"/>
      <c r="QVM24" s="287"/>
      <c r="QVN24" s="287"/>
      <c r="QVO24" s="287"/>
      <c r="QVP24" s="287"/>
      <c r="QVQ24" s="632"/>
      <c r="QVR24" s="287"/>
      <c r="QVS24" s="633"/>
      <c r="QVT24" s="287"/>
      <c r="QVU24" s="287"/>
      <c r="QVV24" s="287"/>
      <c r="QVW24" s="287"/>
      <c r="QVX24" s="287"/>
      <c r="QVY24" s="287"/>
      <c r="QVZ24" s="287"/>
      <c r="QWA24" s="287"/>
      <c r="QWB24" s="287"/>
      <c r="QWC24" s="287"/>
      <c r="QWD24" s="287"/>
      <c r="QWE24" s="287"/>
      <c r="QWF24" s="287"/>
      <c r="QWG24" s="632"/>
      <c r="QWH24" s="287"/>
      <c r="QWI24" s="633"/>
      <c r="QWJ24" s="287"/>
      <c r="QWK24" s="287"/>
      <c r="QWL24" s="287"/>
      <c r="QWM24" s="287"/>
      <c r="QWN24" s="287"/>
      <c r="QWO24" s="287"/>
      <c r="QWP24" s="287"/>
      <c r="QWQ24" s="287"/>
      <c r="QWR24" s="287"/>
      <c r="QWS24" s="287"/>
      <c r="QWT24" s="287"/>
      <c r="QWU24" s="287"/>
      <c r="QWV24" s="287"/>
      <c r="QWW24" s="632"/>
      <c r="QWX24" s="287"/>
      <c r="QWY24" s="633"/>
      <c r="QWZ24" s="287"/>
      <c r="QXA24" s="287"/>
      <c r="QXB24" s="287"/>
      <c r="QXC24" s="287"/>
      <c r="QXD24" s="287"/>
      <c r="QXE24" s="287"/>
      <c r="QXF24" s="287"/>
      <c r="QXG24" s="287"/>
      <c r="QXH24" s="287"/>
      <c r="QXI24" s="287"/>
      <c r="QXJ24" s="287"/>
      <c r="QXK24" s="287"/>
      <c r="QXL24" s="287"/>
      <c r="QXM24" s="632"/>
      <c r="QXN24" s="287"/>
      <c r="QXO24" s="633"/>
      <c r="QXP24" s="287"/>
      <c r="QXQ24" s="287"/>
      <c r="QXR24" s="287"/>
      <c r="QXS24" s="287"/>
      <c r="QXT24" s="287"/>
      <c r="QXU24" s="287"/>
      <c r="QXV24" s="287"/>
      <c r="QXW24" s="287"/>
      <c r="QXX24" s="287"/>
      <c r="QXY24" s="287"/>
      <c r="QXZ24" s="287"/>
      <c r="QYA24" s="287"/>
      <c r="QYB24" s="287"/>
      <c r="QYC24" s="632"/>
      <c r="QYD24" s="287"/>
      <c r="QYE24" s="633"/>
      <c r="QYF24" s="287"/>
      <c r="QYG24" s="287"/>
      <c r="QYH24" s="287"/>
      <c r="QYI24" s="287"/>
      <c r="QYJ24" s="287"/>
      <c r="QYK24" s="287"/>
      <c r="QYL24" s="287"/>
      <c r="QYM24" s="287"/>
      <c r="QYN24" s="287"/>
      <c r="QYO24" s="287"/>
      <c r="QYP24" s="287"/>
      <c r="QYQ24" s="287"/>
      <c r="QYR24" s="287"/>
      <c r="QYS24" s="632"/>
      <c r="QYT24" s="287"/>
      <c r="QYU24" s="633"/>
      <c r="QYV24" s="287"/>
      <c r="QYW24" s="287"/>
      <c r="QYX24" s="287"/>
      <c r="QYY24" s="287"/>
      <c r="QYZ24" s="287"/>
      <c r="QZA24" s="287"/>
      <c r="QZB24" s="287"/>
      <c r="QZC24" s="287"/>
      <c r="QZD24" s="287"/>
      <c r="QZE24" s="287"/>
      <c r="QZF24" s="287"/>
      <c r="QZG24" s="287"/>
      <c r="QZH24" s="287"/>
      <c r="QZI24" s="632"/>
      <c r="QZJ24" s="287"/>
      <c r="QZK24" s="633"/>
      <c r="QZL24" s="287"/>
      <c r="QZM24" s="287"/>
      <c r="QZN24" s="287"/>
      <c r="QZO24" s="287"/>
      <c r="QZP24" s="287"/>
      <c r="QZQ24" s="287"/>
      <c r="QZR24" s="287"/>
      <c r="QZS24" s="287"/>
      <c r="QZT24" s="287"/>
      <c r="QZU24" s="287"/>
      <c r="QZV24" s="287"/>
      <c r="QZW24" s="287"/>
      <c r="QZX24" s="287"/>
      <c r="QZY24" s="632"/>
      <c r="QZZ24" s="287"/>
      <c r="RAA24" s="633"/>
      <c r="RAB24" s="287"/>
      <c r="RAC24" s="287"/>
      <c r="RAD24" s="287"/>
      <c r="RAE24" s="287"/>
      <c r="RAF24" s="287"/>
      <c r="RAG24" s="287"/>
      <c r="RAH24" s="287"/>
      <c r="RAI24" s="287"/>
      <c r="RAJ24" s="287"/>
      <c r="RAK24" s="287"/>
      <c r="RAL24" s="287"/>
      <c r="RAM24" s="287"/>
      <c r="RAN24" s="287"/>
      <c r="RAO24" s="632"/>
      <c r="RAP24" s="287"/>
      <c r="RAQ24" s="633"/>
      <c r="RAR24" s="287"/>
      <c r="RAS24" s="287"/>
      <c r="RAT24" s="287"/>
      <c r="RAU24" s="287"/>
      <c r="RAV24" s="287"/>
      <c r="RAW24" s="287"/>
      <c r="RAX24" s="287"/>
      <c r="RAY24" s="287"/>
      <c r="RAZ24" s="287"/>
      <c r="RBA24" s="287"/>
      <c r="RBB24" s="287"/>
      <c r="RBC24" s="287"/>
      <c r="RBD24" s="287"/>
      <c r="RBE24" s="632"/>
      <c r="RBF24" s="287"/>
      <c r="RBG24" s="633"/>
      <c r="RBH24" s="287"/>
      <c r="RBI24" s="287"/>
      <c r="RBJ24" s="287"/>
      <c r="RBK24" s="287"/>
      <c r="RBL24" s="287"/>
      <c r="RBM24" s="287"/>
      <c r="RBN24" s="287"/>
      <c r="RBO24" s="287"/>
      <c r="RBP24" s="287"/>
      <c r="RBQ24" s="287"/>
      <c r="RBR24" s="287"/>
      <c r="RBS24" s="287"/>
      <c r="RBT24" s="287"/>
      <c r="RBU24" s="632"/>
      <c r="RBV24" s="287"/>
      <c r="RBW24" s="633"/>
      <c r="RBX24" s="287"/>
      <c r="RBY24" s="287"/>
      <c r="RBZ24" s="287"/>
      <c r="RCA24" s="287"/>
      <c r="RCB24" s="287"/>
      <c r="RCC24" s="287"/>
      <c r="RCD24" s="287"/>
      <c r="RCE24" s="287"/>
      <c r="RCF24" s="287"/>
      <c r="RCG24" s="287"/>
      <c r="RCH24" s="287"/>
      <c r="RCI24" s="287"/>
      <c r="RCJ24" s="287"/>
      <c r="RCK24" s="632"/>
      <c r="RCL24" s="287"/>
      <c r="RCM24" s="633"/>
      <c r="RCN24" s="287"/>
      <c r="RCO24" s="287"/>
      <c r="RCP24" s="287"/>
      <c r="RCQ24" s="287"/>
      <c r="RCR24" s="287"/>
      <c r="RCS24" s="287"/>
      <c r="RCT24" s="287"/>
      <c r="RCU24" s="287"/>
      <c r="RCV24" s="287"/>
      <c r="RCW24" s="287"/>
      <c r="RCX24" s="287"/>
      <c r="RCY24" s="287"/>
      <c r="RCZ24" s="287"/>
      <c r="RDA24" s="632"/>
      <c r="RDB24" s="287"/>
      <c r="RDC24" s="633"/>
      <c r="RDD24" s="287"/>
      <c r="RDE24" s="287"/>
      <c r="RDF24" s="287"/>
      <c r="RDG24" s="287"/>
      <c r="RDH24" s="287"/>
      <c r="RDI24" s="287"/>
      <c r="RDJ24" s="287"/>
      <c r="RDK24" s="287"/>
      <c r="RDL24" s="287"/>
      <c r="RDM24" s="287"/>
      <c r="RDN24" s="287"/>
      <c r="RDO24" s="287"/>
      <c r="RDP24" s="287"/>
      <c r="RDQ24" s="632"/>
      <c r="RDR24" s="287"/>
      <c r="RDS24" s="633"/>
      <c r="RDT24" s="287"/>
      <c r="RDU24" s="287"/>
      <c r="RDV24" s="287"/>
      <c r="RDW24" s="287"/>
      <c r="RDX24" s="287"/>
      <c r="RDY24" s="287"/>
      <c r="RDZ24" s="287"/>
      <c r="REA24" s="287"/>
      <c r="REB24" s="287"/>
      <c r="REC24" s="287"/>
      <c r="RED24" s="287"/>
      <c r="REE24" s="287"/>
      <c r="REF24" s="287"/>
      <c r="REG24" s="632"/>
      <c r="REH24" s="287"/>
      <c r="REI24" s="633"/>
      <c r="REJ24" s="287"/>
      <c r="REK24" s="287"/>
      <c r="REL24" s="287"/>
      <c r="REM24" s="287"/>
      <c r="REN24" s="287"/>
      <c r="REO24" s="287"/>
      <c r="REP24" s="287"/>
      <c r="REQ24" s="287"/>
      <c r="RER24" s="287"/>
      <c r="RES24" s="287"/>
      <c r="RET24" s="287"/>
      <c r="REU24" s="287"/>
      <c r="REV24" s="287"/>
      <c r="REW24" s="632"/>
      <c r="REX24" s="287"/>
      <c r="REY24" s="633"/>
      <c r="REZ24" s="287"/>
      <c r="RFA24" s="287"/>
      <c r="RFB24" s="287"/>
      <c r="RFC24" s="287"/>
      <c r="RFD24" s="287"/>
      <c r="RFE24" s="287"/>
      <c r="RFF24" s="287"/>
      <c r="RFG24" s="287"/>
      <c r="RFH24" s="287"/>
      <c r="RFI24" s="287"/>
      <c r="RFJ24" s="287"/>
      <c r="RFK24" s="287"/>
      <c r="RFL24" s="287"/>
      <c r="RFM24" s="632"/>
      <c r="RFN24" s="287"/>
      <c r="RFO24" s="633"/>
      <c r="RFP24" s="287"/>
      <c r="RFQ24" s="287"/>
      <c r="RFR24" s="287"/>
      <c r="RFS24" s="287"/>
      <c r="RFT24" s="287"/>
      <c r="RFU24" s="287"/>
      <c r="RFV24" s="287"/>
      <c r="RFW24" s="287"/>
      <c r="RFX24" s="287"/>
      <c r="RFY24" s="287"/>
      <c r="RFZ24" s="287"/>
      <c r="RGA24" s="287"/>
      <c r="RGB24" s="287"/>
      <c r="RGC24" s="632"/>
      <c r="RGD24" s="287"/>
      <c r="RGE24" s="633"/>
      <c r="RGF24" s="287"/>
      <c r="RGG24" s="287"/>
      <c r="RGH24" s="287"/>
      <c r="RGI24" s="287"/>
      <c r="RGJ24" s="287"/>
      <c r="RGK24" s="287"/>
      <c r="RGL24" s="287"/>
      <c r="RGM24" s="287"/>
      <c r="RGN24" s="287"/>
      <c r="RGO24" s="287"/>
      <c r="RGP24" s="287"/>
      <c r="RGQ24" s="287"/>
      <c r="RGR24" s="287"/>
      <c r="RGS24" s="632"/>
      <c r="RGT24" s="287"/>
      <c r="RGU24" s="633"/>
      <c r="RGV24" s="287"/>
      <c r="RGW24" s="287"/>
      <c r="RGX24" s="287"/>
      <c r="RGY24" s="287"/>
      <c r="RGZ24" s="287"/>
      <c r="RHA24" s="287"/>
      <c r="RHB24" s="287"/>
      <c r="RHC24" s="287"/>
      <c r="RHD24" s="287"/>
      <c r="RHE24" s="287"/>
      <c r="RHF24" s="287"/>
      <c r="RHG24" s="287"/>
      <c r="RHH24" s="287"/>
      <c r="RHI24" s="632"/>
      <c r="RHJ24" s="287"/>
      <c r="RHK24" s="633"/>
      <c r="RHL24" s="287"/>
      <c r="RHM24" s="287"/>
      <c r="RHN24" s="287"/>
      <c r="RHO24" s="287"/>
      <c r="RHP24" s="287"/>
      <c r="RHQ24" s="287"/>
      <c r="RHR24" s="287"/>
      <c r="RHS24" s="287"/>
      <c r="RHT24" s="287"/>
      <c r="RHU24" s="287"/>
      <c r="RHV24" s="287"/>
      <c r="RHW24" s="287"/>
      <c r="RHX24" s="287"/>
      <c r="RHY24" s="632"/>
      <c r="RHZ24" s="287"/>
      <c r="RIA24" s="633"/>
      <c r="RIB24" s="287"/>
      <c r="RIC24" s="287"/>
      <c r="RID24" s="287"/>
      <c r="RIE24" s="287"/>
      <c r="RIF24" s="287"/>
      <c r="RIG24" s="287"/>
      <c r="RIH24" s="287"/>
      <c r="RII24" s="287"/>
      <c r="RIJ24" s="287"/>
      <c r="RIK24" s="287"/>
      <c r="RIL24" s="287"/>
      <c r="RIM24" s="287"/>
      <c r="RIN24" s="287"/>
      <c r="RIO24" s="632"/>
      <c r="RIP24" s="287"/>
      <c r="RIQ24" s="633"/>
      <c r="RIR24" s="287"/>
      <c r="RIS24" s="287"/>
      <c r="RIT24" s="287"/>
      <c r="RIU24" s="287"/>
      <c r="RIV24" s="287"/>
      <c r="RIW24" s="287"/>
      <c r="RIX24" s="287"/>
      <c r="RIY24" s="287"/>
      <c r="RIZ24" s="287"/>
      <c r="RJA24" s="287"/>
      <c r="RJB24" s="287"/>
      <c r="RJC24" s="287"/>
      <c r="RJD24" s="287"/>
      <c r="RJE24" s="632"/>
      <c r="RJF24" s="287"/>
      <c r="RJG24" s="633"/>
      <c r="RJH24" s="287"/>
      <c r="RJI24" s="287"/>
      <c r="RJJ24" s="287"/>
      <c r="RJK24" s="287"/>
      <c r="RJL24" s="287"/>
      <c r="RJM24" s="287"/>
      <c r="RJN24" s="287"/>
      <c r="RJO24" s="287"/>
      <c r="RJP24" s="287"/>
      <c r="RJQ24" s="287"/>
      <c r="RJR24" s="287"/>
      <c r="RJS24" s="287"/>
      <c r="RJT24" s="287"/>
      <c r="RJU24" s="632"/>
      <c r="RJV24" s="287"/>
      <c r="RJW24" s="633"/>
      <c r="RJX24" s="287"/>
      <c r="RJY24" s="287"/>
      <c r="RJZ24" s="287"/>
      <c r="RKA24" s="287"/>
      <c r="RKB24" s="287"/>
      <c r="RKC24" s="287"/>
      <c r="RKD24" s="287"/>
      <c r="RKE24" s="287"/>
      <c r="RKF24" s="287"/>
      <c r="RKG24" s="287"/>
      <c r="RKH24" s="287"/>
      <c r="RKI24" s="287"/>
      <c r="RKJ24" s="287"/>
      <c r="RKK24" s="632"/>
      <c r="RKL24" s="287"/>
      <c r="RKM24" s="633"/>
      <c r="RKN24" s="287"/>
      <c r="RKO24" s="287"/>
      <c r="RKP24" s="287"/>
      <c r="RKQ24" s="287"/>
      <c r="RKR24" s="287"/>
      <c r="RKS24" s="287"/>
      <c r="RKT24" s="287"/>
      <c r="RKU24" s="287"/>
      <c r="RKV24" s="287"/>
      <c r="RKW24" s="287"/>
      <c r="RKX24" s="287"/>
      <c r="RKY24" s="287"/>
      <c r="RKZ24" s="287"/>
      <c r="RLA24" s="632"/>
      <c r="RLB24" s="287"/>
      <c r="RLC24" s="633"/>
      <c r="RLD24" s="287"/>
      <c r="RLE24" s="287"/>
      <c r="RLF24" s="287"/>
      <c r="RLG24" s="287"/>
      <c r="RLH24" s="287"/>
      <c r="RLI24" s="287"/>
      <c r="RLJ24" s="287"/>
      <c r="RLK24" s="287"/>
      <c r="RLL24" s="287"/>
      <c r="RLM24" s="287"/>
      <c r="RLN24" s="287"/>
      <c r="RLO24" s="287"/>
      <c r="RLP24" s="287"/>
      <c r="RLQ24" s="632"/>
      <c r="RLR24" s="287"/>
      <c r="RLS24" s="633"/>
      <c r="RLT24" s="287"/>
      <c r="RLU24" s="287"/>
      <c r="RLV24" s="287"/>
      <c r="RLW24" s="287"/>
      <c r="RLX24" s="287"/>
      <c r="RLY24" s="287"/>
      <c r="RLZ24" s="287"/>
      <c r="RMA24" s="287"/>
      <c r="RMB24" s="287"/>
      <c r="RMC24" s="287"/>
      <c r="RMD24" s="287"/>
      <c r="RME24" s="287"/>
      <c r="RMF24" s="287"/>
      <c r="RMG24" s="632"/>
      <c r="RMH24" s="287"/>
      <c r="RMI24" s="633"/>
      <c r="RMJ24" s="287"/>
      <c r="RMK24" s="287"/>
      <c r="RML24" s="287"/>
      <c r="RMM24" s="287"/>
      <c r="RMN24" s="287"/>
      <c r="RMO24" s="287"/>
      <c r="RMP24" s="287"/>
      <c r="RMQ24" s="287"/>
      <c r="RMR24" s="287"/>
      <c r="RMS24" s="287"/>
      <c r="RMT24" s="287"/>
      <c r="RMU24" s="287"/>
      <c r="RMV24" s="287"/>
      <c r="RMW24" s="632"/>
      <c r="RMX24" s="287"/>
      <c r="RMY24" s="633"/>
      <c r="RMZ24" s="287"/>
      <c r="RNA24" s="287"/>
      <c r="RNB24" s="287"/>
      <c r="RNC24" s="287"/>
      <c r="RND24" s="287"/>
      <c r="RNE24" s="287"/>
      <c r="RNF24" s="287"/>
      <c r="RNG24" s="287"/>
      <c r="RNH24" s="287"/>
      <c r="RNI24" s="287"/>
      <c r="RNJ24" s="287"/>
      <c r="RNK24" s="287"/>
      <c r="RNL24" s="287"/>
      <c r="RNM24" s="632"/>
      <c r="RNN24" s="287"/>
      <c r="RNO24" s="633"/>
      <c r="RNP24" s="287"/>
      <c r="RNQ24" s="287"/>
      <c r="RNR24" s="287"/>
      <c r="RNS24" s="287"/>
      <c r="RNT24" s="287"/>
      <c r="RNU24" s="287"/>
      <c r="RNV24" s="287"/>
      <c r="RNW24" s="287"/>
      <c r="RNX24" s="287"/>
      <c r="RNY24" s="287"/>
      <c r="RNZ24" s="287"/>
      <c r="ROA24" s="287"/>
      <c r="ROB24" s="287"/>
      <c r="ROC24" s="632"/>
      <c r="ROD24" s="287"/>
      <c r="ROE24" s="633"/>
      <c r="ROF24" s="287"/>
      <c r="ROG24" s="287"/>
      <c r="ROH24" s="287"/>
      <c r="ROI24" s="287"/>
      <c r="ROJ24" s="287"/>
      <c r="ROK24" s="287"/>
      <c r="ROL24" s="287"/>
      <c r="ROM24" s="287"/>
      <c r="RON24" s="287"/>
      <c r="ROO24" s="287"/>
      <c r="ROP24" s="287"/>
      <c r="ROQ24" s="287"/>
      <c r="ROR24" s="287"/>
      <c r="ROS24" s="632"/>
      <c r="ROT24" s="287"/>
      <c r="ROU24" s="633"/>
      <c r="ROV24" s="287"/>
      <c r="ROW24" s="287"/>
      <c r="ROX24" s="287"/>
      <c r="ROY24" s="287"/>
      <c r="ROZ24" s="287"/>
      <c r="RPA24" s="287"/>
      <c r="RPB24" s="287"/>
      <c r="RPC24" s="287"/>
      <c r="RPD24" s="287"/>
      <c r="RPE24" s="287"/>
      <c r="RPF24" s="287"/>
      <c r="RPG24" s="287"/>
      <c r="RPH24" s="287"/>
      <c r="RPI24" s="632"/>
      <c r="RPJ24" s="287"/>
      <c r="RPK24" s="633"/>
      <c r="RPL24" s="287"/>
      <c r="RPM24" s="287"/>
      <c r="RPN24" s="287"/>
      <c r="RPO24" s="287"/>
      <c r="RPP24" s="287"/>
      <c r="RPQ24" s="287"/>
      <c r="RPR24" s="287"/>
      <c r="RPS24" s="287"/>
      <c r="RPT24" s="287"/>
      <c r="RPU24" s="287"/>
      <c r="RPV24" s="287"/>
      <c r="RPW24" s="287"/>
      <c r="RPX24" s="287"/>
      <c r="RPY24" s="632"/>
      <c r="RPZ24" s="287"/>
      <c r="RQA24" s="633"/>
      <c r="RQB24" s="287"/>
      <c r="RQC24" s="287"/>
      <c r="RQD24" s="287"/>
      <c r="RQE24" s="287"/>
      <c r="RQF24" s="287"/>
      <c r="RQG24" s="287"/>
      <c r="RQH24" s="287"/>
      <c r="RQI24" s="287"/>
      <c r="RQJ24" s="287"/>
      <c r="RQK24" s="287"/>
      <c r="RQL24" s="287"/>
      <c r="RQM24" s="287"/>
      <c r="RQN24" s="287"/>
      <c r="RQO24" s="632"/>
      <c r="RQP24" s="287"/>
      <c r="RQQ24" s="633"/>
      <c r="RQR24" s="287"/>
      <c r="RQS24" s="287"/>
      <c r="RQT24" s="287"/>
      <c r="RQU24" s="287"/>
      <c r="RQV24" s="287"/>
      <c r="RQW24" s="287"/>
      <c r="RQX24" s="287"/>
      <c r="RQY24" s="287"/>
      <c r="RQZ24" s="287"/>
      <c r="RRA24" s="287"/>
      <c r="RRB24" s="287"/>
      <c r="RRC24" s="287"/>
      <c r="RRD24" s="287"/>
      <c r="RRE24" s="632"/>
      <c r="RRF24" s="287"/>
      <c r="RRG24" s="633"/>
      <c r="RRH24" s="287"/>
      <c r="RRI24" s="287"/>
      <c r="RRJ24" s="287"/>
      <c r="RRK24" s="287"/>
      <c r="RRL24" s="287"/>
      <c r="RRM24" s="287"/>
      <c r="RRN24" s="287"/>
      <c r="RRO24" s="287"/>
      <c r="RRP24" s="287"/>
      <c r="RRQ24" s="287"/>
      <c r="RRR24" s="287"/>
      <c r="RRS24" s="287"/>
      <c r="RRT24" s="287"/>
      <c r="RRU24" s="632"/>
      <c r="RRV24" s="287"/>
      <c r="RRW24" s="633"/>
      <c r="RRX24" s="287"/>
      <c r="RRY24" s="287"/>
      <c r="RRZ24" s="287"/>
      <c r="RSA24" s="287"/>
      <c r="RSB24" s="287"/>
      <c r="RSC24" s="287"/>
      <c r="RSD24" s="287"/>
      <c r="RSE24" s="287"/>
      <c r="RSF24" s="287"/>
      <c r="RSG24" s="287"/>
      <c r="RSH24" s="287"/>
      <c r="RSI24" s="287"/>
      <c r="RSJ24" s="287"/>
      <c r="RSK24" s="632"/>
      <c r="RSL24" s="287"/>
      <c r="RSM24" s="633"/>
      <c r="RSN24" s="287"/>
      <c r="RSO24" s="287"/>
      <c r="RSP24" s="287"/>
      <c r="RSQ24" s="287"/>
      <c r="RSR24" s="287"/>
      <c r="RSS24" s="287"/>
      <c r="RST24" s="287"/>
      <c r="RSU24" s="287"/>
      <c r="RSV24" s="287"/>
      <c r="RSW24" s="287"/>
      <c r="RSX24" s="287"/>
      <c r="RSY24" s="287"/>
      <c r="RSZ24" s="287"/>
      <c r="RTA24" s="632"/>
      <c r="RTB24" s="287"/>
      <c r="RTC24" s="633"/>
      <c r="RTD24" s="287"/>
      <c r="RTE24" s="287"/>
      <c r="RTF24" s="287"/>
      <c r="RTG24" s="287"/>
      <c r="RTH24" s="287"/>
      <c r="RTI24" s="287"/>
      <c r="RTJ24" s="287"/>
      <c r="RTK24" s="287"/>
      <c r="RTL24" s="287"/>
      <c r="RTM24" s="287"/>
      <c r="RTN24" s="287"/>
      <c r="RTO24" s="287"/>
      <c r="RTP24" s="287"/>
      <c r="RTQ24" s="632"/>
      <c r="RTR24" s="287"/>
      <c r="RTS24" s="633"/>
      <c r="RTT24" s="287"/>
      <c r="RTU24" s="287"/>
      <c r="RTV24" s="287"/>
      <c r="RTW24" s="287"/>
      <c r="RTX24" s="287"/>
      <c r="RTY24" s="287"/>
      <c r="RTZ24" s="287"/>
      <c r="RUA24" s="287"/>
      <c r="RUB24" s="287"/>
      <c r="RUC24" s="287"/>
      <c r="RUD24" s="287"/>
      <c r="RUE24" s="287"/>
      <c r="RUF24" s="287"/>
      <c r="RUG24" s="632"/>
      <c r="RUH24" s="287"/>
      <c r="RUI24" s="633"/>
      <c r="RUJ24" s="287"/>
      <c r="RUK24" s="287"/>
      <c r="RUL24" s="287"/>
      <c r="RUM24" s="287"/>
      <c r="RUN24" s="287"/>
      <c r="RUO24" s="287"/>
      <c r="RUP24" s="287"/>
      <c r="RUQ24" s="287"/>
      <c r="RUR24" s="287"/>
      <c r="RUS24" s="287"/>
      <c r="RUT24" s="287"/>
      <c r="RUU24" s="287"/>
      <c r="RUV24" s="287"/>
      <c r="RUW24" s="632"/>
      <c r="RUX24" s="287"/>
      <c r="RUY24" s="633"/>
      <c r="RUZ24" s="287"/>
      <c r="RVA24" s="287"/>
      <c r="RVB24" s="287"/>
      <c r="RVC24" s="287"/>
      <c r="RVD24" s="287"/>
      <c r="RVE24" s="287"/>
      <c r="RVF24" s="287"/>
      <c r="RVG24" s="287"/>
      <c r="RVH24" s="287"/>
      <c r="RVI24" s="287"/>
      <c r="RVJ24" s="287"/>
      <c r="RVK24" s="287"/>
      <c r="RVL24" s="287"/>
      <c r="RVM24" s="632"/>
      <c r="RVN24" s="287"/>
      <c r="RVO24" s="633"/>
      <c r="RVP24" s="287"/>
      <c r="RVQ24" s="287"/>
      <c r="RVR24" s="287"/>
      <c r="RVS24" s="287"/>
      <c r="RVT24" s="287"/>
      <c r="RVU24" s="287"/>
      <c r="RVV24" s="287"/>
      <c r="RVW24" s="287"/>
      <c r="RVX24" s="287"/>
      <c r="RVY24" s="287"/>
      <c r="RVZ24" s="287"/>
      <c r="RWA24" s="287"/>
      <c r="RWB24" s="287"/>
      <c r="RWC24" s="632"/>
      <c r="RWD24" s="287"/>
      <c r="RWE24" s="633"/>
      <c r="RWF24" s="287"/>
      <c r="RWG24" s="287"/>
      <c r="RWH24" s="287"/>
      <c r="RWI24" s="287"/>
      <c r="RWJ24" s="287"/>
      <c r="RWK24" s="287"/>
      <c r="RWL24" s="287"/>
      <c r="RWM24" s="287"/>
      <c r="RWN24" s="287"/>
      <c r="RWO24" s="287"/>
      <c r="RWP24" s="287"/>
      <c r="RWQ24" s="287"/>
      <c r="RWR24" s="287"/>
      <c r="RWS24" s="632"/>
      <c r="RWT24" s="287"/>
      <c r="RWU24" s="633"/>
      <c r="RWV24" s="287"/>
      <c r="RWW24" s="287"/>
      <c r="RWX24" s="287"/>
      <c r="RWY24" s="287"/>
      <c r="RWZ24" s="287"/>
      <c r="RXA24" s="287"/>
      <c r="RXB24" s="287"/>
      <c r="RXC24" s="287"/>
      <c r="RXD24" s="287"/>
      <c r="RXE24" s="287"/>
      <c r="RXF24" s="287"/>
      <c r="RXG24" s="287"/>
      <c r="RXH24" s="287"/>
      <c r="RXI24" s="632"/>
      <c r="RXJ24" s="287"/>
      <c r="RXK24" s="633"/>
      <c r="RXL24" s="287"/>
      <c r="RXM24" s="287"/>
      <c r="RXN24" s="287"/>
      <c r="RXO24" s="287"/>
      <c r="RXP24" s="287"/>
      <c r="RXQ24" s="287"/>
      <c r="RXR24" s="287"/>
      <c r="RXS24" s="287"/>
      <c r="RXT24" s="287"/>
      <c r="RXU24" s="287"/>
      <c r="RXV24" s="287"/>
      <c r="RXW24" s="287"/>
      <c r="RXX24" s="287"/>
      <c r="RXY24" s="632"/>
      <c r="RXZ24" s="287"/>
      <c r="RYA24" s="633"/>
      <c r="RYB24" s="287"/>
      <c r="RYC24" s="287"/>
      <c r="RYD24" s="287"/>
      <c r="RYE24" s="287"/>
      <c r="RYF24" s="287"/>
      <c r="RYG24" s="287"/>
      <c r="RYH24" s="287"/>
      <c r="RYI24" s="287"/>
      <c r="RYJ24" s="287"/>
      <c r="RYK24" s="287"/>
      <c r="RYL24" s="287"/>
      <c r="RYM24" s="287"/>
      <c r="RYN24" s="287"/>
      <c r="RYO24" s="632"/>
      <c r="RYP24" s="287"/>
      <c r="RYQ24" s="633"/>
      <c r="RYR24" s="287"/>
      <c r="RYS24" s="287"/>
      <c r="RYT24" s="287"/>
      <c r="RYU24" s="287"/>
      <c r="RYV24" s="287"/>
      <c r="RYW24" s="287"/>
      <c r="RYX24" s="287"/>
      <c r="RYY24" s="287"/>
      <c r="RYZ24" s="287"/>
      <c r="RZA24" s="287"/>
      <c r="RZB24" s="287"/>
      <c r="RZC24" s="287"/>
      <c r="RZD24" s="287"/>
      <c r="RZE24" s="632"/>
      <c r="RZF24" s="287"/>
      <c r="RZG24" s="633"/>
      <c r="RZH24" s="287"/>
      <c r="RZI24" s="287"/>
      <c r="RZJ24" s="287"/>
      <c r="RZK24" s="287"/>
      <c r="RZL24" s="287"/>
      <c r="RZM24" s="287"/>
      <c r="RZN24" s="287"/>
      <c r="RZO24" s="287"/>
      <c r="RZP24" s="287"/>
      <c r="RZQ24" s="287"/>
      <c r="RZR24" s="287"/>
      <c r="RZS24" s="287"/>
      <c r="RZT24" s="287"/>
      <c r="RZU24" s="632"/>
      <c r="RZV24" s="287"/>
      <c r="RZW24" s="633"/>
      <c r="RZX24" s="287"/>
      <c r="RZY24" s="287"/>
      <c r="RZZ24" s="287"/>
      <c r="SAA24" s="287"/>
      <c r="SAB24" s="287"/>
      <c r="SAC24" s="287"/>
      <c r="SAD24" s="287"/>
      <c r="SAE24" s="287"/>
      <c r="SAF24" s="287"/>
      <c r="SAG24" s="287"/>
      <c r="SAH24" s="287"/>
      <c r="SAI24" s="287"/>
      <c r="SAJ24" s="287"/>
      <c r="SAK24" s="632"/>
      <c r="SAL24" s="287"/>
      <c r="SAM24" s="633"/>
      <c r="SAN24" s="287"/>
      <c r="SAO24" s="287"/>
      <c r="SAP24" s="287"/>
      <c r="SAQ24" s="287"/>
      <c r="SAR24" s="287"/>
      <c r="SAS24" s="287"/>
      <c r="SAT24" s="287"/>
      <c r="SAU24" s="287"/>
      <c r="SAV24" s="287"/>
      <c r="SAW24" s="287"/>
      <c r="SAX24" s="287"/>
      <c r="SAY24" s="287"/>
      <c r="SAZ24" s="287"/>
      <c r="SBA24" s="632"/>
      <c r="SBB24" s="287"/>
      <c r="SBC24" s="633"/>
      <c r="SBD24" s="287"/>
      <c r="SBE24" s="287"/>
      <c r="SBF24" s="287"/>
      <c r="SBG24" s="287"/>
      <c r="SBH24" s="287"/>
      <c r="SBI24" s="287"/>
      <c r="SBJ24" s="287"/>
      <c r="SBK24" s="287"/>
      <c r="SBL24" s="287"/>
      <c r="SBM24" s="287"/>
      <c r="SBN24" s="287"/>
      <c r="SBO24" s="287"/>
      <c r="SBP24" s="287"/>
      <c r="SBQ24" s="632"/>
      <c r="SBR24" s="287"/>
      <c r="SBS24" s="633"/>
      <c r="SBT24" s="287"/>
      <c r="SBU24" s="287"/>
      <c r="SBV24" s="287"/>
      <c r="SBW24" s="287"/>
      <c r="SBX24" s="287"/>
      <c r="SBY24" s="287"/>
      <c r="SBZ24" s="287"/>
      <c r="SCA24" s="287"/>
      <c r="SCB24" s="287"/>
      <c r="SCC24" s="287"/>
      <c r="SCD24" s="287"/>
      <c r="SCE24" s="287"/>
      <c r="SCF24" s="287"/>
      <c r="SCG24" s="632"/>
      <c r="SCH24" s="287"/>
      <c r="SCI24" s="633"/>
      <c r="SCJ24" s="287"/>
      <c r="SCK24" s="287"/>
      <c r="SCL24" s="287"/>
      <c r="SCM24" s="287"/>
      <c r="SCN24" s="287"/>
      <c r="SCO24" s="287"/>
      <c r="SCP24" s="287"/>
      <c r="SCQ24" s="287"/>
      <c r="SCR24" s="287"/>
      <c r="SCS24" s="287"/>
      <c r="SCT24" s="287"/>
      <c r="SCU24" s="287"/>
      <c r="SCV24" s="287"/>
      <c r="SCW24" s="632"/>
      <c r="SCX24" s="287"/>
      <c r="SCY24" s="633"/>
      <c r="SCZ24" s="287"/>
      <c r="SDA24" s="287"/>
      <c r="SDB24" s="287"/>
      <c r="SDC24" s="287"/>
      <c r="SDD24" s="287"/>
      <c r="SDE24" s="287"/>
      <c r="SDF24" s="287"/>
      <c r="SDG24" s="287"/>
      <c r="SDH24" s="287"/>
      <c r="SDI24" s="287"/>
      <c r="SDJ24" s="287"/>
      <c r="SDK24" s="287"/>
      <c r="SDL24" s="287"/>
      <c r="SDM24" s="632"/>
      <c r="SDN24" s="287"/>
      <c r="SDO24" s="633"/>
      <c r="SDP24" s="287"/>
      <c r="SDQ24" s="287"/>
      <c r="SDR24" s="287"/>
      <c r="SDS24" s="287"/>
      <c r="SDT24" s="287"/>
      <c r="SDU24" s="287"/>
      <c r="SDV24" s="287"/>
      <c r="SDW24" s="287"/>
      <c r="SDX24" s="287"/>
      <c r="SDY24" s="287"/>
      <c r="SDZ24" s="287"/>
      <c r="SEA24" s="287"/>
      <c r="SEB24" s="287"/>
      <c r="SEC24" s="632"/>
      <c r="SED24" s="287"/>
      <c r="SEE24" s="633"/>
      <c r="SEF24" s="287"/>
      <c r="SEG24" s="287"/>
      <c r="SEH24" s="287"/>
      <c r="SEI24" s="287"/>
      <c r="SEJ24" s="287"/>
      <c r="SEK24" s="287"/>
      <c r="SEL24" s="287"/>
      <c r="SEM24" s="287"/>
      <c r="SEN24" s="287"/>
      <c r="SEO24" s="287"/>
      <c r="SEP24" s="287"/>
      <c r="SEQ24" s="287"/>
      <c r="SER24" s="287"/>
      <c r="SES24" s="632"/>
      <c r="SET24" s="287"/>
      <c r="SEU24" s="633"/>
      <c r="SEV24" s="287"/>
      <c r="SEW24" s="287"/>
      <c r="SEX24" s="287"/>
      <c r="SEY24" s="287"/>
      <c r="SEZ24" s="287"/>
      <c r="SFA24" s="287"/>
      <c r="SFB24" s="287"/>
      <c r="SFC24" s="287"/>
      <c r="SFD24" s="287"/>
      <c r="SFE24" s="287"/>
      <c r="SFF24" s="287"/>
      <c r="SFG24" s="287"/>
      <c r="SFH24" s="287"/>
      <c r="SFI24" s="632"/>
      <c r="SFJ24" s="287"/>
      <c r="SFK24" s="633"/>
      <c r="SFL24" s="287"/>
      <c r="SFM24" s="287"/>
      <c r="SFN24" s="287"/>
      <c r="SFO24" s="287"/>
      <c r="SFP24" s="287"/>
      <c r="SFQ24" s="287"/>
      <c r="SFR24" s="287"/>
      <c r="SFS24" s="287"/>
      <c r="SFT24" s="287"/>
      <c r="SFU24" s="287"/>
      <c r="SFV24" s="287"/>
      <c r="SFW24" s="287"/>
      <c r="SFX24" s="287"/>
      <c r="SFY24" s="632"/>
      <c r="SFZ24" s="287"/>
      <c r="SGA24" s="633"/>
      <c r="SGB24" s="287"/>
      <c r="SGC24" s="287"/>
      <c r="SGD24" s="287"/>
      <c r="SGE24" s="287"/>
      <c r="SGF24" s="287"/>
      <c r="SGG24" s="287"/>
      <c r="SGH24" s="287"/>
      <c r="SGI24" s="287"/>
      <c r="SGJ24" s="287"/>
      <c r="SGK24" s="287"/>
      <c r="SGL24" s="287"/>
      <c r="SGM24" s="287"/>
      <c r="SGN24" s="287"/>
      <c r="SGO24" s="632"/>
      <c r="SGP24" s="287"/>
      <c r="SGQ24" s="633"/>
      <c r="SGR24" s="287"/>
      <c r="SGS24" s="287"/>
      <c r="SGT24" s="287"/>
      <c r="SGU24" s="287"/>
      <c r="SGV24" s="287"/>
      <c r="SGW24" s="287"/>
      <c r="SGX24" s="287"/>
      <c r="SGY24" s="287"/>
      <c r="SGZ24" s="287"/>
      <c r="SHA24" s="287"/>
      <c r="SHB24" s="287"/>
      <c r="SHC24" s="287"/>
      <c r="SHD24" s="287"/>
      <c r="SHE24" s="632"/>
      <c r="SHF24" s="287"/>
      <c r="SHG24" s="633"/>
      <c r="SHH24" s="287"/>
      <c r="SHI24" s="287"/>
      <c r="SHJ24" s="287"/>
      <c r="SHK24" s="287"/>
      <c r="SHL24" s="287"/>
      <c r="SHM24" s="287"/>
      <c r="SHN24" s="287"/>
      <c r="SHO24" s="287"/>
      <c r="SHP24" s="287"/>
      <c r="SHQ24" s="287"/>
      <c r="SHR24" s="287"/>
      <c r="SHS24" s="287"/>
      <c r="SHT24" s="287"/>
      <c r="SHU24" s="632"/>
      <c r="SHV24" s="287"/>
      <c r="SHW24" s="633"/>
      <c r="SHX24" s="287"/>
      <c r="SHY24" s="287"/>
      <c r="SHZ24" s="287"/>
      <c r="SIA24" s="287"/>
      <c r="SIB24" s="287"/>
      <c r="SIC24" s="287"/>
      <c r="SID24" s="287"/>
      <c r="SIE24" s="287"/>
      <c r="SIF24" s="287"/>
      <c r="SIG24" s="287"/>
      <c r="SIH24" s="287"/>
      <c r="SII24" s="287"/>
      <c r="SIJ24" s="287"/>
      <c r="SIK24" s="632"/>
      <c r="SIL24" s="287"/>
      <c r="SIM24" s="633"/>
      <c r="SIN24" s="287"/>
      <c r="SIO24" s="287"/>
      <c r="SIP24" s="287"/>
      <c r="SIQ24" s="287"/>
      <c r="SIR24" s="287"/>
      <c r="SIS24" s="287"/>
      <c r="SIT24" s="287"/>
      <c r="SIU24" s="287"/>
      <c r="SIV24" s="287"/>
      <c r="SIW24" s="287"/>
      <c r="SIX24" s="287"/>
      <c r="SIY24" s="287"/>
      <c r="SIZ24" s="287"/>
      <c r="SJA24" s="632"/>
      <c r="SJB24" s="287"/>
      <c r="SJC24" s="633"/>
      <c r="SJD24" s="287"/>
      <c r="SJE24" s="287"/>
      <c r="SJF24" s="287"/>
      <c r="SJG24" s="287"/>
      <c r="SJH24" s="287"/>
      <c r="SJI24" s="287"/>
      <c r="SJJ24" s="287"/>
      <c r="SJK24" s="287"/>
      <c r="SJL24" s="287"/>
      <c r="SJM24" s="287"/>
      <c r="SJN24" s="287"/>
      <c r="SJO24" s="287"/>
      <c r="SJP24" s="287"/>
      <c r="SJQ24" s="632"/>
      <c r="SJR24" s="287"/>
      <c r="SJS24" s="633"/>
      <c r="SJT24" s="287"/>
      <c r="SJU24" s="287"/>
      <c r="SJV24" s="287"/>
      <c r="SJW24" s="287"/>
      <c r="SJX24" s="287"/>
      <c r="SJY24" s="287"/>
      <c r="SJZ24" s="287"/>
      <c r="SKA24" s="287"/>
      <c r="SKB24" s="287"/>
      <c r="SKC24" s="287"/>
      <c r="SKD24" s="287"/>
      <c r="SKE24" s="287"/>
      <c r="SKF24" s="287"/>
      <c r="SKG24" s="632"/>
      <c r="SKH24" s="287"/>
      <c r="SKI24" s="633"/>
      <c r="SKJ24" s="287"/>
      <c r="SKK24" s="287"/>
      <c r="SKL24" s="287"/>
      <c r="SKM24" s="287"/>
      <c r="SKN24" s="287"/>
      <c r="SKO24" s="287"/>
      <c r="SKP24" s="287"/>
      <c r="SKQ24" s="287"/>
      <c r="SKR24" s="287"/>
      <c r="SKS24" s="287"/>
      <c r="SKT24" s="287"/>
      <c r="SKU24" s="287"/>
      <c r="SKV24" s="287"/>
      <c r="SKW24" s="632"/>
      <c r="SKX24" s="287"/>
      <c r="SKY24" s="633"/>
      <c r="SKZ24" s="287"/>
      <c r="SLA24" s="287"/>
      <c r="SLB24" s="287"/>
      <c r="SLC24" s="287"/>
      <c r="SLD24" s="287"/>
      <c r="SLE24" s="287"/>
      <c r="SLF24" s="287"/>
      <c r="SLG24" s="287"/>
      <c r="SLH24" s="287"/>
      <c r="SLI24" s="287"/>
      <c r="SLJ24" s="287"/>
      <c r="SLK24" s="287"/>
      <c r="SLL24" s="287"/>
      <c r="SLM24" s="632"/>
      <c r="SLN24" s="287"/>
      <c r="SLO24" s="633"/>
      <c r="SLP24" s="287"/>
      <c r="SLQ24" s="287"/>
      <c r="SLR24" s="287"/>
      <c r="SLS24" s="287"/>
      <c r="SLT24" s="287"/>
      <c r="SLU24" s="287"/>
      <c r="SLV24" s="287"/>
      <c r="SLW24" s="287"/>
      <c r="SLX24" s="287"/>
      <c r="SLY24" s="287"/>
      <c r="SLZ24" s="287"/>
      <c r="SMA24" s="287"/>
      <c r="SMB24" s="287"/>
      <c r="SMC24" s="632"/>
      <c r="SMD24" s="287"/>
      <c r="SME24" s="633"/>
      <c r="SMF24" s="287"/>
      <c r="SMG24" s="287"/>
      <c r="SMH24" s="287"/>
      <c r="SMI24" s="287"/>
      <c r="SMJ24" s="287"/>
      <c r="SMK24" s="287"/>
      <c r="SML24" s="287"/>
      <c r="SMM24" s="287"/>
      <c r="SMN24" s="287"/>
      <c r="SMO24" s="287"/>
      <c r="SMP24" s="287"/>
      <c r="SMQ24" s="287"/>
      <c r="SMR24" s="287"/>
      <c r="SMS24" s="632"/>
      <c r="SMT24" s="287"/>
      <c r="SMU24" s="633"/>
      <c r="SMV24" s="287"/>
      <c r="SMW24" s="287"/>
      <c r="SMX24" s="287"/>
      <c r="SMY24" s="287"/>
      <c r="SMZ24" s="287"/>
      <c r="SNA24" s="287"/>
      <c r="SNB24" s="287"/>
      <c r="SNC24" s="287"/>
      <c r="SND24" s="287"/>
      <c r="SNE24" s="287"/>
      <c r="SNF24" s="287"/>
      <c r="SNG24" s="287"/>
      <c r="SNH24" s="287"/>
      <c r="SNI24" s="632"/>
      <c r="SNJ24" s="287"/>
      <c r="SNK24" s="633"/>
      <c r="SNL24" s="287"/>
      <c r="SNM24" s="287"/>
      <c r="SNN24" s="287"/>
      <c r="SNO24" s="287"/>
      <c r="SNP24" s="287"/>
      <c r="SNQ24" s="287"/>
      <c r="SNR24" s="287"/>
      <c r="SNS24" s="287"/>
      <c r="SNT24" s="287"/>
      <c r="SNU24" s="287"/>
      <c r="SNV24" s="287"/>
      <c r="SNW24" s="287"/>
      <c r="SNX24" s="287"/>
      <c r="SNY24" s="632"/>
      <c r="SNZ24" s="287"/>
      <c r="SOA24" s="633"/>
      <c r="SOB24" s="287"/>
      <c r="SOC24" s="287"/>
      <c r="SOD24" s="287"/>
      <c r="SOE24" s="287"/>
      <c r="SOF24" s="287"/>
      <c r="SOG24" s="287"/>
      <c r="SOH24" s="287"/>
      <c r="SOI24" s="287"/>
      <c r="SOJ24" s="287"/>
      <c r="SOK24" s="287"/>
      <c r="SOL24" s="287"/>
      <c r="SOM24" s="287"/>
      <c r="SON24" s="287"/>
      <c r="SOO24" s="632"/>
      <c r="SOP24" s="287"/>
      <c r="SOQ24" s="633"/>
      <c r="SOR24" s="287"/>
      <c r="SOS24" s="287"/>
      <c r="SOT24" s="287"/>
      <c r="SOU24" s="287"/>
      <c r="SOV24" s="287"/>
      <c r="SOW24" s="287"/>
      <c r="SOX24" s="287"/>
      <c r="SOY24" s="287"/>
      <c r="SOZ24" s="287"/>
      <c r="SPA24" s="287"/>
      <c r="SPB24" s="287"/>
      <c r="SPC24" s="287"/>
      <c r="SPD24" s="287"/>
      <c r="SPE24" s="632"/>
      <c r="SPF24" s="287"/>
      <c r="SPG24" s="633"/>
      <c r="SPH24" s="287"/>
      <c r="SPI24" s="287"/>
      <c r="SPJ24" s="287"/>
      <c r="SPK24" s="287"/>
      <c r="SPL24" s="287"/>
      <c r="SPM24" s="287"/>
      <c r="SPN24" s="287"/>
      <c r="SPO24" s="287"/>
      <c r="SPP24" s="287"/>
      <c r="SPQ24" s="287"/>
      <c r="SPR24" s="287"/>
      <c r="SPS24" s="287"/>
      <c r="SPT24" s="287"/>
      <c r="SPU24" s="632"/>
      <c r="SPV24" s="287"/>
      <c r="SPW24" s="633"/>
      <c r="SPX24" s="287"/>
      <c r="SPY24" s="287"/>
      <c r="SPZ24" s="287"/>
      <c r="SQA24" s="287"/>
      <c r="SQB24" s="287"/>
      <c r="SQC24" s="287"/>
      <c r="SQD24" s="287"/>
      <c r="SQE24" s="287"/>
      <c r="SQF24" s="287"/>
      <c r="SQG24" s="287"/>
      <c r="SQH24" s="287"/>
      <c r="SQI24" s="287"/>
      <c r="SQJ24" s="287"/>
      <c r="SQK24" s="632"/>
      <c r="SQL24" s="287"/>
      <c r="SQM24" s="633"/>
      <c r="SQN24" s="287"/>
      <c r="SQO24" s="287"/>
      <c r="SQP24" s="287"/>
      <c r="SQQ24" s="287"/>
      <c r="SQR24" s="287"/>
      <c r="SQS24" s="287"/>
      <c r="SQT24" s="287"/>
      <c r="SQU24" s="287"/>
      <c r="SQV24" s="287"/>
      <c r="SQW24" s="287"/>
      <c r="SQX24" s="287"/>
      <c r="SQY24" s="287"/>
      <c r="SQZ24" s="287"/>
      <c r="SRA24" s="632"/>
      <c r="SRB24" s="287"/>
      <c r="SRC24" s="633"/>
      <c r="SRD24" s="287"/>
      <c r="SRE24" s="287"/>
      <c r="SRF24" s="287"/>
      <c r="SRG24" s="287"/>
      <c r="SRH24" s="287"/>
      <c r="SRI24" s="287"/>
      <c r="SRJ24" s="287"/>
      <c r="SRK24" s="287"/>
      <c r="SRL24" s="287"/>
      <c r="SRM24" s="287"/>
      <c r="SRN24" s="287"/>
      <c r="SRO24" s="287"/>
      <c r="SRP24" s="287"/>
      <c r="SRQ24" s="632"/>
      <c r="SRR24" s="287"/>
      <c r="SRS24" s="633"/>
      <c r="SRT24" s="287"/>
      <c r="SRU24" s="287"/>
      <c r="SRV24" s="287"/>
      <c r="SRW24" s="287"/>
      <c r="SRX24" s="287"/>
      <c r="SRY24" s="287"/>
      <c r="SRZ24" s="287"/>
      <c r="SSA24" s="287"/>
      <c r="SSB24" s="287"/>
      <c r="SSC24" s="287"/>
      <c r="SSD24" s="287"/>
      <c r="SSE24" s="287"/>
      <c r="SSF24" s="287"/>
      <c r="SSG24" s="632"/>
      <c r="SSH24" s="287"/>
      <c r="SSI24" s="633"/>
      <c r="SSJ24" s="287"/>
      <c r="SSK24" s="287"/>
      <c r="SSL24" s="287"/>
      <c r="SSM24" s="287"/>
      <c r="SSN24" s="287"/>
      <c r="SSO24" s="287"/>
      <c r="SSP24" s="287"/>
      <c r="SSQ24" s="287"/>
      <c r="SSR24" s="287"/>
      <c r="SSS24" s="287"/>
      <c r="SST24" s="287"/>
      <c r="SSU24" s="287"/>
      <c r="SSV24" s="287"/>
      <c r="SSW24" s="632"/>
      <c r="SSX24" s="287"/>
      <c r="SSY24" s="633"/>
      <c r="SSZ24" s="287"/>
      <c r="STA24" s="287"/>
      <c r="STB24" s="287"/>
      <c r="STC24" s="287"/>
      <c r="STD24" s="287"/>
      <c r="STE24" s="287"/>
      <c r="STF24" s="287"/>
      <c r="STG24" s="287"/>
      <c r="STH24" s="287"/>
      <c r="STI24" s="287"/>
      <c r="STJ24" s="287"/>
      <c r="STK24" s="287"/>
      <c r="STL24" s="287"/>
      <c r="STM24" s="632"/>
      <c r="STN24" s="287"/>
      <c r="STO24" s="633"/>
      <c r="STP24" s="287"/>
      <c r="STQ24" s="287"/>
      <c r="STR24" s="287"/>
      <c r="STS24" s="287"/>
      <c r="STT24" s="287"/>
      <c r="STU24" s="287"/>
      <c r="STV24" s="287"/>
      <c r="STW24" s="287"/>
      <c r="STX24" s="287"/>
      <c r="STY24" s="287"/>
      <c r="STZ24" s="287"/>
      <c r="SUA24" s="287"/>
      <c r="SUB24" s="287"/>
      <c r="SUC24" s="632"/>
      <c r="SUD24" s="287"/>
      <c r="SUE24" s="633"/>
      <c r="SUF24" s="287"/>
      <c r="SUG24" s="287"/>
      <c r="SUH24" s="287"/>
      <c r="SUI24" s="287"/>
      <c r="SUJ24" s="287"/>
      <c r="SUK24" s="287"/>
      <c r="SUL24" s="287"/>
      <c r="SUM24" s="287"/>
      <c r="SUN24" s="287"/>
      <c r="SUO24" s="287"/>
      <c r="SUP24" s="287"/>
      <c r="SUQ24" s="287"/>
      <c r="SUR24" s="287"/>
      <c r="SUS24" s="632"/>
      <c r="SUT24" s="287"/>
      <c r="SUU24" s="633"/>
      <c r="SUV24" s="287"/>
      <c r="SUW24" s="287"/>
      <c r="SUX24" s="287"/>
      <c r="SUY24" s="287"/>
      <c r="SUZ24" s="287"/>
      <c r="SVA24" s="287"/>
      <c r="SVB24" s="287"/>
      <c r="SVC24" s="287"/>
      <c r="SVD24" s="287"/>
      <c r="SVE24" s="287"/>
      <c r="SVF24" s="287"/>
      <c r="SVG24" s="287"/>
      <c r="SVH24" s="287"/>
      <c r="SVI24" s="632"/>
      <c r="SVJ24" s="287"/>
      <c r="SVK24" s="633"/>
      <c r="SVL24" s="287"/>
      <c r="SVM24" s="287"/>
      <c r="SVN24" s="287"/>
      <c r="SVO24" s="287"/>
      <c r="SVP24" s="287"/>
      <c r="SVQ24" s="287"/>
      <c r="SVR24" s="287"/>
      <c r="SVS24" s="287"/>
      <c r="SVT24" s="287"/>
      <c r="SVU24" s="287"/>
      <c r="SVV24" s="287"/>
      <c r="SVW24" s="287"/>
      <c r="SVX24" s="287"/>
      <c r="SVY24" s="632"/>
      <c r="SVZ24" s="287"/>
      <c r="SWA24" s="633"/>
      <c r="SWB24" s="287"/>
      <c r="SWC24" s="287"/>
      <c r="SWD24" s="287"/>
      <c r="SWE24" s="287"/>
      <c r="SWF24" s="287"/>
      <c r="SWG24" s="287"/>
      <c r="SWH24" s="287"/>
      <c r="SWI24" s="287"/>
      <c r="SWJ24" s="287"/>
      <c r="SWK24" s="287"/>
      <c r="SWL24" s="287"/>
      <c r="SWM24" s="287"/>
      <c r="SWN24" s="287"/>
      <c r="SWO24" s="632"/>
      <c r="SWP24" s="287"/>
      <c r="SWQ24" s="633"/>
      <c r="SWR24" s="287"/>
      <c r="SWS24" s="287"/>
      <c r="SWT24" s="287"/>
      <c r="SWU24" s="287"/>
      <c r="SWV24" s="287"/>
      <c r="SWW24" s="287"/>
      <c r="SWX24" s="287"/>
      <c r="SWY24" s="287"/>
      <c r="SWZ24" s="287"/>
      <c r="SXA24" s="287"/>
      <c r="SXB24" s="287"/>
      <c r="SXC24" s="287"/>
      <c r="SXD24" s="287"/>
      <c r="SXE24" s="632"/>
      <c r="SXF24" s="287"/>
      <c r="SXG24" s="633"/>
      <c r="SXH24" s="287"/>
      <c r="SXI24" s="287"/>
      <c r="SXJ24" s="287"/>
      <c r="SXK24" s="287"/>
      <c r="SXL24" s="287"/>
      <c r="SXM24" s="287"/>
      <c r="SXN24" s="287"/>
      <c r="SXO24" s="287"/>
      <c r="SXP24" s="287"/>
      <c r="SXQ24" s="287"/>
      <c r="SXR24" s="287"/>
      <c r="SXS24" s="287"/>
      <c r="SXT24" s="287"/>
      <c r="SXU24" s="632"/>
      <c r="SXV24" s="287"/>
      <c r="SXW24" s="633"/>
      <c r="SXX24" s="287"/>
      <c r="SXY24" s="287"/>
      <c r="SXZ24" s="287"/>
      <c r="SYA24" s="287"/>
      <c r="SYB24" s="287"/>
      <c r="SYC24" s="287"/>
      <c r="SYD24" s="287"/>
      <c r="SYE24" s="287"/>
      <c r="SYF24" s="287"/>
      <c r="SYG24" s="287"/>
      <c r="SYH24" s="287"/>
      <c r="SYI24" s="287"/>
      <c r="SYJ24" s="287"/>
      <c r="SYK24" s="632"/>
      <c r="SYL24" s="287"/>
      <c r="SYM24" s="633"/>
      <c r="SYN24" s="287"/>
      <c r="SYO24" s="287"/>
      <c r="SYP24" s="287"/>
      <c r="SYQ24" s="287"/>
      <c r="SYR24" s="287"/>
      <c r="SYS24" s="287"/>
      <c r="SYT24" s="287"/>
      <c r="SYU24" s="287"/>
      <c r="SYV24" s="287"/>
      <c r="SYW24" s="287"/>
      <c r="SYX24" s="287"/>
      <c r="SYY24" s="287"/>
      <c r="SYZ24" s="287"/>
      <c r="SZA24" s="632"/>
      <c r="SZB24" s="287"/>
      <c r="SZC24" s="633"/>
      <c r="SZD24" s="287"/>
      <c r="SZE24" s="287"/>
      <c r="SZF24" s="287"/>
      <c r="SZG24" s="287"/>
      <c r="SZH24" s="287"/>
      <c r="SZI24" s="287"/>
      <c r="SZJ24" s="287"/>
      <c r="SZK24" s="287"/>
      <c r="SZL24" s="287"/>
      <c r="SZM24" s="287"/>
      <c r="SZN24" s="287"/>
      <c r="SZO24" s="287"/>
      <c r="SZP24" s="287"/>
      <c r="SZQ24" s="632"/>
      <c r="SZR24" s="287"/>
      <c r="SZS24" s="633"/>
      <c r="SZT24" s="287"/>
      <c r="SZU24" s="287"/>
      <c r="SZV24" s="287"/>
      <c r="SZW24" s="287"/>
      <c r="SZX24" s="287"/>
      <c r="SZY24" s="287"/>
      <c r="SZZ24" s="287"/>
      <c r="TAA24" s="287"/>
      <c r="TAB24" s="287"/>
      <c r="TAC24" s="287"/>
      <c r="TAD24" s="287"/>
      <c r="TAE24" s="287"/>
      <c r="TAF24" s="287"/>
      <c r="TAG24" s="632"/>
      <c r="TAH24" s="287"/>
      <c r="TAI24" s="633"/>
      <c r="TAJ24" s="287"/>
      <c r="TAK24" s="287"/>
      <c r="TAL24" s="287"/>
      <c r="TAM24" s="287"/>
      <c r="TAN24" s="287"/>
      <c r="TAO24" s="287"/>
      <c r="TAP24" s="287"/>
      <c r="TAQ24" s="287"/>
      <c r="TAR24" s="287"/>
      <c r="TAS24" s="287"/>
      <c r="TAT24" s="287"/>
      <c r="TAU24" s="287"/>
      <c r="TAV24" s="287"/>
      <c r="TAW24" s="632"/>
      <c r="TAX24" s="287"/>
      <c r="TAY24" s="633"/>
      <c r="TAZ24" s="287"/>
      <c r="TBA24" s="287"/>
      <c r="TBB24" s="287"/>
      <c r="TBC24" s="287"/>
      <c r="TBD24" s="287"/>
      <c r="TBE24" s="287"/>
      <c r="TBF24" s="287"/>
      <c r="TBG24" s="287"/>
      <c r="TBH24" s="287"/>
      <c r="TBI24" s="287"/>
      <c r="TBJ24" s="287"/>
      <c r="TBK24" s="287"/>
      <c r="TBL24" s="287"/>
      <c r="TBM24" s="632"/>
      <c r="TBN24" s="287"/>
      <c r="TBO24" s="633"/>
      <c r="TBP24" s="287"/>
      <c r="TBQ24" s="287"/>
      <c r="TBR24" s="287"/>
      <c r="TBS24" s="287"/>
      <c r="TBT24" s="287"/>
      <c r="TBU24" s="287"/>
      <c r="TBV24" s="287"/>
      <c r="TBW24" s="287"/>
      <c r="TBX24" s="287"/>
      <c r="TBY24" s="287"/>
      <c r="TBZ24" s="287"/>
      <c r="TCA24" s="287"/>
      <c r="TCB24" s="287"/>
      <c r="TCC24" s="632"/>
      <c r="TCD24" s="287"/>
      <c r="TCE24" s="633"/>
      <c r="TCF24" s="287"/>
      <c r="TCG24" s="287"/>
      <c r="TCH24" s="287"/>
      <c r="TCI24" s="287"/>
      <c r="TCJ24" s="287"/>
      <c r="TCK24" s="287"/>
      <c r="TCL24" s="287"/>
      <c r="TCM24" s="287"/>
      <c r="TCN24" s="287"/>
      <c r="TCO24" s="287"/>
      <c r="TCP24" s="287"/>
      <c r="TCQ24" s="287"/>
      <c r="TCR24" s="287"/>
      <c r="TCS24" s="632"/>
      <c r="TCT24" s="287"/>
      <c r="TCU24" s="633"/>
      <c r="TCV24" s="287"/>
      <c r="TCW24" s="287"/>
      <c r="TCX24" s="287"/>
      <c r="TCY24" s="287"/>
      <c r="TCZ24" s="287"/>
      <c r="TDA24" s="287"/>
      <c r="TDB24" s="287"/>
      <c r="TDC24" s="287"/>
      <c r="TDD24" s="287"/>
      <c r="TDE24" s="287"/>
      <c r="TDF24" s="287"/>
      <c r="TDG24" s="287"/>
      <c r="TDH24" s="287"/>
      <c r="TDI24" s="632"/>
      <c r="TDJ24" s="287"/>
      <c r="TDK24" s="633"/>
      <c r="TDL24" s="287"/>
      <c r="TDM24" s="287"/>
      <c r="TDN24" s="287"/>
      <c r="TDO24" s="287"/>
      <c r="TDP24" s="287"/>
      <c r="TDQ24" s="287"/>
      <c r="TDR24" s="287"/>
      <c r="TDS24" s="287"/>
      <c r="TDT24" s="287"/>
      <c r="TDU24" s="287"/>
      <c r="TDV24" s="287"/>
      <c r="TDW24" s="287"/>
      <c r="TDX24" s="287"/>
      <c r="TDY24" s="632"/>
      <c r="TDZ24" s="287"/>
      <c r="TEA24" s="633"/>
      <c r="TEB24" s="287"/>
      <c r="TEC24" s="287"/>
      <c r="TED24" s="287"/>
      <c r="TEE24" s="287"/>
      <c r="TEF24" s="287"/>
      <c r="TEG24" s="287"/>
      <c r="TEH24" s="287"/>
      <c r="TEI24" s="287"/>
      <c r="TEJ24" s="287"/>
      <c r="TEK24" s="287"/>
      <c r="TEL24" s="287"/>
      <c r="TEM24" s="287"/>
      <c r="TEN24" s="287"/>
      <c r="TEO24" s="632"/>
      <c r="TEP24" s="287"/>
      <c r="TEQ24" s="633"/>
      <c r="TER24" s="287"/>
      <c r="TES24" s="287"/>
      <c r="TET24" s="287"/>
      <c r="TEU24" s="287"/>
      <c r="TEV24" s="287"/>
      <c r="TEW24" s="287"/>
      <c r="TEX24" s="287"/>
      <c r="TEY24" s="287"/>
      <c r="TEZ24" s="287"/>
      <c r="TFA24" s="287"/>
      <c r="TFB24" s="287"/>
      <c r="TFC24" s="287"/>
      <c r="TFD24" s="287"/>
      <c r="TFE24" s="632"/>
      <c r="TFF24" s="287"/>
      <c r="TFG24" s="633"/>
      <c r="TFH24" s="287"/>
      <c r="TFI24" s="287"/>
      <c r="TFJ24" s="287"/>
      <c r="TFK24" s="287"/>
      <c r="TFL24" s="287"/>
      <c r="TFM24" s="287"/>
      <c r="TFN24" s="287"/>
      <c r="TFO24" s="287"/>
      <c r="TFP24" s="287"/>
      <c r="TFQ24" s="287"/>
      <c r="TFR24" s="287"/>
      <c r="TFS24" s="287"/>
      <c r="TFT24" s="287"/>
      <c r="TFU24" s="632"/>
      <c r="TFV24" s="287"/>
      <c r="TFW24" s="633"/>
      <c r="TFX24" s="287"/>
      <c r="TFY24" s="287"/>
      <c r="TFZ24" s="287"/>
      <c r="TGA24" s="287"/>
      <c r="TGB24" s="287"/>
      <c r="TGC24" s="287"/>
      <c r="TGD24" s="287"/>
      <c r="TGE24" s="287"/>
      <c r="TGF24" s="287"/>
      <c r="TGG24" s="287"/>
      <c r="TGH24" s="287"/>
      <c r="TGI24" s="287"/>
      <c r="TGJ24" s="287"/>
      <c r="TGK24" s="632"/>
      <c r="TGL24" s="287"/>
      <c r="TGM24" s="633"/>
      <c r="TGN24" s="287"/>
      <c r="TGO24" s="287"/>
      <c r="TGP24" s="287"/>
      <c r="TGQ24" s="287"/>
      <c r="TGR24" s="287"/>
      <c r="TGS24" s="287"/>
      <c r="TGT24" s="287"/>
      <c r="TGU24" s="287"/>
      <c r="TGV24" s="287"/>
      <c r="TGW24" s="287"/>
      <c r="TGX24" s="287"/>
      <c r="TGY24" s="287"/>
      <c r="TGZ24" s="287"/>
      <c r="THA24" s="632"/>
      <c r="THB24" s="287"/>
      <c r="THC24" s="633"/>
      <c r="THD24" s="287"/>
      <c r="THE24" s="287"/>
      <c r="THF24" s="287"/>
      <c r="THG24" s="287"/>
      <c r="THH24" s="287"/>
      <c r="THI24" s="287"/>
      <c r="THJ24" s="287"/>
      <c r="THK24" s="287"/>
      <c r="THL24" s="287"/>
      <c r="THM24" s="287"/>
      <c r="THN24" s="287"/>
      <c r="THO24" s="287"/>
      <c r="THP24" s="287"/>
      <c r="THQ24" s="632"/>
      <c r="THR24" s="287"/>
      <c r="THS24" s="633"/>
      <c r="THT24" s="287"/>
      <c r="THU24" s="287"/>
      <c r="THV24" s="287"/>
      <c r="THW24" s="287"/>
      <c r="THX24" s="287"/>
      <c r="THY24" s="287"/>
      <c r="THZ24" s="287"/>
      <c r="TIA24" s="287"/>
      <c r="TIB24" s="287"/>
      <c r="TIC24" s="287"/>
      <c r="TID24" s="287"/>
      <c r="TIE24" s="287"/>
      <c r="TIF24" s="287"/>
      <c r="TIG24" s="632"/>
      <c r="TIH24" s="287"/>
      <c r="TII24" s="633"/>
      <c r="TIJ24" s="287"/>
      <c r="TIK24" s="287"/>
      <c r="TIL24" s="287"/>
      <c r="TIM24" s="287"/>
      <c r="TIN24" s="287"/>
      <c r="TIO24" s="287"/>
      <c r="TIP24" s="287"/>
      <c r="TIQ24" s="287"/>
      <c r="TIR24" s="287"/>
      <c r="TIS24" s="287"/>
      <c r="TIT24" s="287"/>
      <c r="TIU24" s="287"/>
      <c r="TIV24" s="287"/>
      <c r="TIW24" s="632"/>
      <c r="TIX24" s="287"/>
      <c r="TIY24" s="633"/>
      <c r="TIZ24" s="287"/>
      <c r="TJA24" s="287"/>
      <c r="TJB24" s="287"/>
      <c r="TJC24" s="287"/>
      <c r="TJD24" s="287"/>
      <c r="TJE24" s="287"/>
      <c r="TJF24" s="287"/>
      <c r="TJG24" s="287"/>
      <c r="TJH24" s="287"/>
      <c r="TJI24" s="287"/>
      <c r="TJJ24" s="287"/>
      <c r="TJK24" s="287"/>
      <c r="TJL24" s="287"/>
      <c r="TJM24" s="632"/>
      <c r="TJN24" s="287"/>
      <c r="TJO24" s="633"/>
      <c r="TJP24" s="287"/>
      <c r="TJQ24" s="287"/>
      <c r="TJR24" s="287"/>
      <c r="TJS24" s="287"/>
      <c r="TJT24" s="287"/>
      <c r="TJU24" s="287"/>
      <c r="TJV24" s="287"/>
      <c r="TJW24" s="287"/>
      <c r="TJX24" s="287"/>
      <c r="TJY24" s="287"/>
      <c r="TJZ24" s="287"/>
      <c r="TKA24" s="287"/>
      <c r="TKB24" s="287"/>
      <c r="TKC24" s="632"/>
      <c r="TKD24" s="287"/>
      <c r="TKE24" s="633"/>
      <c r="TKF24" s="287"/>
      <c r="TKG24" s="287"/>
      <c r="TKH24" s="287"/>
      <c r="TKI24" s="287"/>
      <c r="TKJ24" s="287"/>
      <c r="TKK24" s="287"/>
      <c r="TKL24" s="287"/>
      <c r="TKM24" s="287"/>
      <c r="TKN24" s="287"/>
      <c r="TKO24" s="287"/>
      <c r="TKP24" s="287"/>
      <c r="TKQ24" s="287"/>
      <c r="TKR24" s="287"/>
      <c r="TKS24" s="632"/>
      <c r="TKT24" s="287"/>
      <c r="TKU24" s="633"/>
      <c r="TKV24" s="287"/>
      <c r="TKW24" s="287"/>
      <c r="TKX24" s="287"/>
      <c r="TKY24" s="287"/>
      <c r="TKZ24" s="287"/>
      <c r="TLA24" s="287"/>
      <c r="TLB24" s="287"/>
      <c r="TLC24" s="287"/>
      <c r="TLD24" s="287"/>
      <c r="TLE24" s="287"/>
      <c r="TLF24" s="287"/>
      <c r="TLG24" s="287"/>
      <c r="TLH24" s="287"/>
      <c r="TLI24" s="632"/>
      <c r="TLJ24" s="287"/>
      <c r="TLK24" s="633"/>
      <c r="TLL24" s="287"/>
      <c r="TLM24" s="287"/>
      <c r="TLN24" s="287"/>
      <c r="TLO24" s="287"/>
      <c r="TLP24" s="287"/>
      <c r="TLQ24" s="287"/>
      <c r="TLR24" s="287"/>
      <c r="TLS24" s="287"/>
      <c r="TLT24" s="287"/>
      <c r="TLU24" s="287"/>
      <c r="TLV24" s="287"/>
      <c r="TLW24" s="287"/>
      <c r="TLX24" s="287"/>
      <c r="TLY24" s="632"/>
      <c r="TLZ24" s="287"/>
      <c r="TMA24" s="633"/>
      <c r="TMB24" s="287"/>
      <c r="TMC24" s="287"/>
      <c r="TMD24" s="287"/>
      <c r="TME24" s="287"/>
      <c r="TMF24" s="287"/>
      <c r="TMG24" s="287"/>
      <c r="TMH24" s="287"/>
      <c r="TMI24" s="287"/>
      <c r="TMJ24" s="287"/>
      <c r="TMK24" s="287"/>
      <c r="TML24" s="287"/>
      <c r="TMM24" s="287"/>
      <c r="TMN24" s="287"/>
      <c r="TMO24" s="632"/>
      <c r="TMP24" s="287"/>
      <c r="TMQ24" s="633"/>
      <c r="TMR24" s="287"/>
      <c r="TMS24" s="287"/>
      <c r="TMT24" s="287"/>
      <c r="TMU24" s="287"/>
      <c r="TMV24" s="287"/>
      <c r="TMW24" s="287"/>
      <c r="TMX24" s="287"/>
      <c r="TMY24" s="287"/>
      <c r="TMZ24" s="287"/>
      <c r="TNA24" s="287"/>
      <c r="TNB24" s="287"/>
      <c r="TNC24" s="287"/>
      <c r="TND24" s="287"/>
      <c r="TNE24" s="632"/>
      <c r="TNF24" s="287"/>
      <c r="TNG24" s="633"/>
      <c r="TNH24" s="287"/>
      <c r="TNI24" s="287"/>
      <c r="TNJ24" s="287"/>
      <c r="TNK24" s="287"/>
      <c r="TNL24" s="287"/>
      <c r="TNM24" s="287"/>
      <c r="TNN24" s="287"/>
      <c r="TNO24" s="287"/>
      <c r="TNP24" s="287"/>
      <c r="TNQ24" s="287"/>
      <c r="TNR24" s="287"/>
      <c r="TNS24" s="287"/>
      <c r="TNT24" s="287"/>
      <c r="TNU24" s="632"/>
      <c r="TNV24" s="287"/>
      <c r="TNW24" s="633"/>
      <c r="TNX24" s="287"/>
      <c r="TNY24" s="287"/>
      <c r="TNZ24" s="287"/>
      <c r="TOA24" s="287"/>
      <c r="TOB24" s="287"/>
      <c r="TOC24" s="287"/>
      <c r="TOD24" s="287"/>
      <c r="TOE24" s="287"/>
      <c r="TOF24" s="287"/>
      <c r="TOG24" s="287"/>
      <c r="TOH24" s="287"/>
      <c r="TOI24" s="287"/>
      <c r="TOJ24" s="287"/>
      <c r="TOK24" s="632"/>
      <c r="TOL24" s="287"/>
      <c r="TOM24" s="633"/>
      <c r="TON24" s="287"/>
      <c r="TOO24" s="287"/>
      <c r="TOP24" s="287"/>
      <c r="TOQ24" s="287"/>
      <c r="TOR24" s="287"/>
      <c r="TOS24" s="287"/>
      <c r="TOT24" s="287"/>
      <c r="TOU24" s="287"/>
      <c r="TOV24" s="287"/>
      <c r="TOW24" s="287"/>
      <c r="TOX24" s="287"/>
      <c r="TOY24" s="287"/>
      <c r="TOZ24" s="287"/>
      <c r="TPA24" s="632"/>
      <c r="TPB24" s="287"/>
      <c r="TPC24" s="633"/>
      <c r="TPD24" s="287"/>
      <c r="TPE24" s="287"/>
      <c r="TPF24" s="287"/>
      <c r="TPG24" s="287"/>
      <c r="TPH24" s="287"/>
      <c r="TPI24" s="287"/>
      <c r="TPJ24" s="287"/>
      <c r="TPK24" s="287"/>
      <c r="TPL24" s="287"/>
      <c r="TPM24" s="287"/>
      <c r="TPN24" s="287"/>
      <c r="TPO24" s="287"/>
      <c r="TPP24" s="287"/>
      <c r="TPQ24" s="632"/>
      <c r="TPR24" s="287"/>
      <c r="TPS24" s="633"/>
      <c r="TPT24" s="287"/>
      <c r="TPU24" s="287"/>
      <c r="TPV24" s="287"/>
      <c r="TPW24" s="287"/>
      <c r="TPX24" s="287"/>
      <c r="TPY24" s="287"/>
      <c r="TPZ24" s="287"/>
      <c r="TQA24" s="287"/>
      <c r="TQB24" s="287"/>
      <c r="TQC24" s="287"/>
      <c r="TQD24" s="287"/>
      <c r="TQE24" s="287"/>
      <c r="TQF24" s="287"/>
      <c r="TQG24" s="632"/>
      <c r="TQH24" s="287"/>
      <c r="TQI24" s="633"/>
      <c r="TQJ24" s="287"/>
      <c r="TQK24" s="287"/>
      <c r="TQL24" s="287"/>
      <c r="TQM24" s="287"/>
      <c r="TQN24" s="287"/>
      <c r="TQO24" s="287"/>
      <c r="TQP24" s="287"/>
      <c r="TQQ24" s="287"/>
      <c r="TQR24" s="287"/>
      <c r="TQS24" s="287"/>
      <c r="TQT24" s="287"/>
      <c r="TQU24" s="287"/>
      <c r="TQV24" s="287"/>
      <c r="TQW24" s="632"/>
      <c r="TQX24" s="287"/>
      <c r="TQY24" s="633"/>
      <c r="TQZ24" s="287"/>
      <c r="TRA24" s="287"/>
      <c r="TRB24" s="287"/>
      <c r="TRC24" s="287"/>
      <c r="TRD24" s="287"/>
      <c r="TRE24" s="287"/>
      <c r="TRF24" s="287"/>
      <c r="TRG24" s="287"/>
      <c r="TRH24" s="287"/>
      <c r="TRI24" s="287"/>
      <c r="TRJ24" s="287"/>
      <c r="TRK24" s="287"/>
      <c r="TRL24" s="287"/>
      <c r="TRM24" s="632"/>
      <c r="TRN24" s="287"/>
      <c r="TRO24" s="633"/>
      <c r="TRP24" s="287"/>
      <c r="TRQ24" s="287"/>
      <c r="TRR24" s="287"/>
      <c r="TRS24" s="287"/>
      <c r="TRT24" s="287"/>
      <c r="TRU24" s="287"/>
      <c r="TRV24" s="287"/>
      <c r="TRW24" s="287"/>
      <c r="TRX24" s="287"/>
      <c r="TRY24" s="287"/>
      <c r="TRZ24" s="287"/>
      <c r="TSA24" s="287"/>
      <c r="TSB24" s="287"/>
      <c r="TSC24" s="632"/>
      <c r="TSD24" s="287"/>
      <c r="TSE24" s="633"/>
      <c r="TSF24" s="287"/>
      <c r="TSG24" s="287"/>
      <c r="TSH24" s="287"/>
      <c r="TSI24" s="287"/>
      <c r="TSJ24" s="287"/>
      <c r="TSK24" s="287"/>
      <c r="TSL24" s="287"/>
      <c r="TSM24" s="287"/>
      <c r="TSN24" s="287"/>
      <c r="TSO24" s="287"/>
      <c r="TSP24" s="287"/>
      <c r="TSQ24" s="287"/>
      <c r="TSR24" s="287"/>
      <c r="TSS24" s="632"/>
      <c r="TST24" s="287"/>
      <c r="TSU24" s="633"/>
      <c r="TSV24" s="287"/>
      <c r="TSW24" s="287"/>
      <c r="TSX24" s="287"/>
      <c r="TSY24" s="287"/>
      <c r="TSZ24" s="287"/>
      <c r="TTA24" s="287"/>
      <c r="TTB24" s="287"/>
      <c r="TTC24" s="287"/>
      <c r="TTD24" s="287"/>
      <c r="TTE24" s="287"/>
      <c r="TTF24" s="287"/>
      <c r="TTG24" s="287"/>
      <c r="TTH24" s="287"/>
      <c r="TTI24" s="632"/>
      <c r="TTJ24" s="287"/>
      <c r="TTK24" s="633"/>
      <c r="TTL24" s="287"/>
      <c r="TTM24" s="287"/>
      <c r="TTN24" s="287"/>
      <c r="TTO24" s="287"/>
      <c r="TTP24" s="287"/>
      <c r="TTQ24" s="287"/>
      <c r="TTR24" s="287"/>
      <c r="TTS24" s="287"/>
      <c r="TTT24" s="287"/>
      <c r="TTU24" s="287"/>
      <c r="TTV24" s="287"/>
      <c r="TTW24" s="287"/>
      <c r="TTX24" s="287"/>
      <c r="TTY24" s="632"/>
      <c r="TTZ24" s="287"/>
      <c r="TUA24" s="633"/>
      <c r="TUB24" s="287"/>
      <c r="TUC24" s="287"/>
      <c r="TUD24" s="287"/>
      <c r="TUE24" s="287"/>
      <c r="TUF24" s="287"/>
      <c r="TUG24" s="287"/>
      <c r="TUH24" s="287"/>
      <c r="TUI24" s="287"/>
      <c r="TUJ24" s="287"/>
      <c r="TUK24" s="287"/>
      <c r="TUL24" s="287"/>
      <c r="TUM24" s="287"/>
      <c r="TUN24" s="287"/>
      <c r="TUO24" s="632"/>
      <c r="TUP24" s="287"/>
      <c r="TUQ24" s="633"/>
      <c r="TUR24" s="287"/>
      <c r="TUS24" s="287"/>
      <c r="TUT24" s="287"/>
      <c r="TUU24" s="287"/>
      <c r="TUV24" s="287"/>
      <c r="TUW24" s="287"/>
      <c r="TUX24" s="287"/>
      <c r="TUY24" s="287"/>
      <c r="TUZ24" s="287"/>
      <c r="TVA24" s="287"/>
      <c r="TVB24" s="287"/>
      <c r="TVC24" s="287"/>
      <c r="TVD24" s="287"/>
      <c r="TVE24" s="632"/>
      <c r="TVF24" s="287"/>
      <c r="TVG24" s="633"/>
      <c r="TVH24" s="287"/>
      <c r="TVI24" s="287"/>
      <c r="TVJ24" s="287"/>
      <c r="TVK24" s="287"/>
      <c r="TVL24" s="287"/>
      <c r="TVM24" s="287"/>
      <c r="TVN24" s="287"/>
      <c r="TVO24" s="287"/>
      <c r="TVP24" s="287"/>
      <c r="TVQ24" s="287"/>
      <c r="TVR24" s="287"/>
      <c r="TVS24" s="287"/>
      <c r="TVT24" s="287"/>
      <c r="TVU24" s="632"/>
      <c r="TVV24" s="287"/>
      <c r="TVW24" s="633"/>
      <c r="TVX24" s="287"/>
      <c r="TVY24" s="287"/>
      <c r="TVZ24" s="287"/>
      <c r="TWA24" s="287"/>
      <c r="TWB24" s="287"/>
      <c r="TWC24" s="287"/>
      <c r="TWD24" s="287"/>
      <c r="TWE24" s="287"/>
      <c r="TWF24" s="287"/>
      <c r="TWG24" s="287"/>
      <c r="TWH24" s="287"/>
      <c r="TWI24" s="287"/>
      <c r="TWJ24" s="287"/>
      <c r="TWK24" s="632"/>
      <c r="TWL24" s="287"/>
      <c r="TWM24" s="633"/>
      <c r="TWN24" s="287"/>
      <c r="TWO24" s="287"/>
      <c r="TWP24" s="287"/>
      <c r="TWQ24" s="287"/>
      <c r="TWR24" s="287"/>
      <c r="TWS24" s="287"/>
      <c r="TWT24" s="287"/>
      <c r="TWU24" s="287"/>
      <c r="TWV24" s="287"/>
      <c r="TWW24" s="287"/>
      <c r="TWX24" s="287"/>
      <c r="TWY24" s="287"/>
      <c r="TWZ24" s="287"/>
      <c r="TXA24" s="632"/>
      <c r="TXB24" s="287"/>
      <c r="TXC24" s="633"/>
      <c r="TXD24" s="287"/>
      <c r="TXE24" s="287"/>
      <c r="TXF24" s="287"/>
      <c r="TXG24" s="287"/>
      <c r="TXH24" s="287"/>
      <c r="TXI24" s="287"/>
      <c r="TXJ24" s="287"/>
      <c r="TXK24" s="287"/>
      <c r="TXL24" s="287"/>
      <c r="TXM24" s="287"/>
      <c r="TXN24" s="287"/>
      <c r="TXO24" s="287"/>
      <c r="TXP24" s="287"/>
      <c r="TXQ24" s="632"/>
      <c r="TXR24" s="287"/>
      <c r="TXS24" s="633"/>
      <c r="TXT24" s="287"/>
      <c r="TXU24" s="287"/>
      <c r="TXV24" s="287"/>
      <c r="TXW24" s="287"/>
      <c r="TXX24" s="287"/>
      <c r="TXY24" s="287"/>
      <c r="TXZ24" s="287"/>
      <c r="TYA24" s="287"/>
      <c r="TYB24" s="287"/>
      <c r="TYC24" s="287"/>
      <c r="TYD24" s="287"/>
      <c r="TYE24" s="287"/>
      <c r="TYF24" s="287"/>
      <c r="TYG24" s="632"/>
      <c r="TYH24" s="287"/>
      <c r="TYI24" s="633"/>
      <c r="TYJ24" s="287"/>
      <c r="TYK24" s="287"/>
      <c r="TYL24" s="287"/>
      <c r="TYM24" s="287"/>
      <c r="TYN24" s="287"/>
      <c r="TYO24" s="287"/>
      <c r="TYP24" s="287"/>
      <c r="TYQ24" s="287"/>
      <c r="TYR24" s="287"/>
      <c r="TYS24" s="287"/>
      <c r="TYT24" s="287"/>
      <c r="TYU24" s="287"/>
      <c r="TYV24" s="287"/>
      <c r="TYW24" s="632"/>
      <c r="TYX24" s="287"/>
      <c r="TYY24" s="633"/>
      <c r="TYZ24" s="287"/>
      <c r="TZA24" s="287"/>
      <c r="TZB24" s="287"/>
      <c r="TZC24" s="287"/>
      <c r="TZD24" s="287"/>
      <c r="TZE24" s="287"/>
      <c r="TZF24" s="287"/>
      <c r="TZG24" s="287"/>
      <c r="TZH24" s="287"/>
      <c r="TZI24" s="287"/>
      <c r="TZJ24" s="287"/>
      <c r="TZK24" s="287"/>
      <c r="TZL24" s="287"/>
      <c r="TZM24" s="632"/>
      <c r="TZN24" s="287"/>
      <c r="TZO24" s="633"/>
      <c r="TZP24" s="287"/>
      <c r="TZQ24" s="287"/>
      <c r="TZR24" s="287"/>
      <c r="TZS24" s="287"/>
      <c r="TZT24" s="287"/>
      <c r="TZU24" s="287"/>
      <c r="TZV24" s="287"/>
      <c r="TZW24" s="287"/>
      <c r="TZX24" s="287"/>
      <c r="TZY24" s="287"/>
      <c r="TZZ24" s="287"/>
      <c r="UAA24" s="287"/>
      <c r="UAB24" s="287"/>
      <c r="UAC24" s="632"/>
      <c r="UAD24" s="287"/>
      <c r="UAE24" s="633"/>
      <c r="UAF24" s="287"/>
      <c r="UAG24" s="287"/>
      <c r="UAH24" s="287"/>
      <c r="UAI24" s="287"/>
      <c r="UAJ24" s="287"/>
      <c r="UAK24" s="287"/>
      <c r="UAL24" s="287"/>
      <c r="UAM24" s="287"/>
      <c r="UAN24" s="287"/>
      <c r="UAO24" s="287"/>
      <c r="UAP24" s="287"/>
      <c r="UAQ24" s="287"/>
      <c r="UAR24" s="287"/>
      <c r="UAS24" s="632"/>
      <c r="UAT24" s="287"/>
      <c r="UAU24" s="633"/>
      <c r="UAV24" s="287"/>
      <c r="UAW24" s="287"/>
      <c r="UAX24" s="287"/>
      <c r="UAY24" s="287"/>
      <c r="UAZ24" s="287"/>
      <c r="UBA24" s="287"/>
      <c r="UBB24" s="287"/>
      <c r="UBC24" s="287"/>
      <c r="UBD24" s="287"/>
      <c r="UBE24" s="287"/>
      <c r="UBF24" s="287"/>
      <c r="UBG24" s="287"/>
      <c r="UBH24" s="287"/>
      <c r="UBI24" s="632"/>
      <c r="UBJ24" s="287"/>
      <c r="UBK24" s="633"/>
      <c r="UBL24" s="287"/>
      <c r="UBM24" s="287"/>
      <c r="UBN24" s="287"/>
      <c r="UBO24" s="287"/>
      <c r="UBP24" s="287"/>
      <c r="UBQ24" s="287"/>
      <c r="UBR24" s="287"/>
      <c r="UBS24" s="287"/>
      <c r="UBT24" s="287"/>
      <c r="UBU24" s="287"/>
      <c r="UBV24" s="287"/>
      <c r="UBW24" s="287"/>
      <c r="UBX24" s="287"/>
      <c r="UBY24" s="632"/>
      <c r="UBZ24" s="287"/>
      <c r="UCA24" s="633"/>
      <c r="UCB24" s="287"/>
      <c r="UCC24" s="287"/>
      <c r="UCD24" s="287"/>
      <c r="UCE24" s="287"/>
      <c r="UCF24" s="287"/>
      <c r="UCG24" s="287"/>
      <c r="UCH24" s="287"/>
      <c r="UCI24" s="287"/>
      <c r="UCJ24" s="287"/>
      <c r="UCK24" s="287"/>
      <c r="UCL24" s="287"/>
      <c r="UCM24" s="287"/>
      <c r="UCN24" s="287"/>
      <c r="UCO24" s="632"/>
      <c r="UCP24" s="287"/>
      <c r="UCQ24" s="633"/>
      <c r="UCR24" s="287"/>
      <c r="UCS24" s="287"/>
      <c r="UCT24" s="287"/>
      <c r="UCU24" s="287"/>
      <c r="UCV24" s="287"/>
      <c r="UCW24" s="287"/>
      <c r="UCX24" s="287"/>
      <c r="UCY24" s="287"/>
      <c r="UCZ24" s="287"/>
      <c r="UDA24" s="287"/>
      <c r="UDB24" s="287"/>
      <c r="UDC24" s="287"/>
      <c r="UDD24" s="287"/>
      <c r="UDE24" s="632"/>
      <c r="UDF24" s="287"/>
      <c r="UDG24" s="633"/>
      <c r="UDH24" s="287"/>
      <c r="UDI24" s="287"/>
      <c r="UDJ24" s="287"/>
      <c r="UDK24" s="287"/>
      <c r="UDL24" s="287"/>
      <c r="UDM24" s="287"/>
      <c r="UDN24" s="287"/>
      <c r="UDO24" s="287"/>
      <c r="UDP24" s="287"/>
      <c r="UDQ24" s="287"/>
      <c r="UDR24" s="287"/>
      <c r="UDS24" s="287"/>
      <c r="UDT24" s="287"/>
      <c r="UDU24" s="632"/>
      <c r="UDV24" s="287"/>
      <c r="UDW24" s="633"/>
      <c r="UDX24" s="287"/>
      <c r="UDY24" s="287"/>
      <c r="UDZ24" s="287"/>
      <c r="UEA24" s="287"/>
      <c r="UEB24" s="287"/>
      <c r="UEC24" s="287"/>
      <c r="UED24" s="287"/>
      <c r="UEE24" s="287"/>
      <c r="UEF24" s="287"/>
      <c r="UEG24" s="287"/>
      <c r="UEH24" s="287"/>
      <c r="UEI24" s="287"/>
      <c r="UEJ24" s="287"/>
      <c r="UEK24" s="632"/>
      <c r="UEL24" s="287"/>
      <c r="UEM24" s="633"/>
      <c r="UEN24" s="287"/>
      <c r="UEO24" s="287"/>
      <c r="UEP24" s="287"/>
      <c r="UEQ24" s="287"/>
      <c r="UER24" s="287"/>
      <c r="UES24" s="287"/>
      <c r="UET24" s="287"/>
      <c r="UEU24" s="287"/>
      <c r="UEV24" s="287"/>
      <c r="UEW24" s="287"/>
      <c r="UEX24" s="287"/>
      <c r="UEY24" s="287"/>
      <c r="UEZ24" s="287"/>
      <c r="UFA24" s="632"/>
      <c r="UFB24" s="287"/>
      <c r="UFC24" s="633"/>
      <c r="UFD24" s="287"/>
      <c r="UFE24" s="287"/>
      <c r="UFF24" s="287"/>
      <c r="UFG24" s="287"/>
      <c r="UFH24" s="287"/>
      <c r="UFI24" s="287"/>
      <c r="UFJ24" s="287"/>
      <c r="UFK24" s="287"/>
      <c r="UFL24" s="287"/>
      <c r="UFM24" s="287"/>
      <c r="UFN24" s="287"/>
      <c r="UFO24" s="287"/>
      <c r="UFP24" s="287"/>
      <c r="UFQ24" s="632"/>
      <c r="UFR24" s="287"/>
      <c r="UFS24" s="633"/>
      <c r="UFT24" s="287"/>
      <c r="UFU24" s="287"/>
      <c r="UFV24" s="287"/>
      <c r="UFW24" s="287"/>
      <c r="UFX24" s="287"/>
      <c r="UFY24" s="287"/>
      <c r="UFZ24" s="287"/>
      <c r="UGA24" s="287"/>
      <c r="UGB24" s="287"/>
      <c r="UGC24" s="287"/>
      <c r="UGD24" s="287"/>
      <c r="UGE24" s="287"/>
      <c r="UGF24" s="287"/>
      <c r="UGG24" s="632"/>
      <c r="UGH24" s="287"/>
      <c r="UGI24" s="633"/>
      <c r="UGJ24" s="287"/>
      <c r="UGK24" s="287"/>
      <c r="UGL24" s="287"/>
      <c r="UGM24" s="287"/>
      <c r="UGN24" s="287"/>
      <c r="UGO24" s="287"/>
      <c r="UGP24" s="287"/>
      <c r="UGQ24" s="287"/>
      <c r="UGR24" s="287"/>
      <c r="UGS24" s="287"/>
      <c r="UGT24" s="287"/>
      <c r="UGU24" s="287"/>
      <c r="UGV24" s="287"/>
      <c r="UGW24" s="632"/>
      <c r="UGX24" s="287"/>
      <c r="UGY24" s="633"/>
      <c r="UGZ24" s="287"/>
      <c r="UHA24" s="287"/>
      <c r="UHB24" s="287"/>
      <c r="UHC24" s="287"/>
      <c r="UHD24" s="287"/>
      <c r="UHE24" s="287"/>
      <c r="UHF24" s="287"/>
      <c r="UHG24" s="287"/>
      <c r="UHH24" s="287"/>
      <c r="UHI24" s="287"/>
      <c r="UHJ24" s="287"/>
      <c r="UHK24" s="287"/>
      <c r="UHL24" s="287"/>
      <c r="UHM24" s="632"/>
      <c r="UHN24" s="287"/>
      <c r="UHO24" s="633"/>
      <c r="UHP24" s="287"/>
      <c r="UHQ24" s="287"/>
      <c r="UHR24" s="287"/>
      <c r="UHS24" s="287"/>
      <c r="UHT24" s="287"/>
      <c r="UHU24" s="287"/>
      <c r="UHV24" s="287"/>
      <c r="UHW24" s="287"/>
      <c r="UHX24" s="287"/>
      <c r="UHY24" s="287"/>
      <c r="UHZ24" s="287"/>
      <c r="UIA24" s="287"/>
      <c r="UIB24" s="287"/>
      <c r="UIC24" s="632"/>
      <c r="UID24" s="287"/>
      <c r="UIE24" s="633"/>
      <c r="UIF24" s="287"/>
      <c r="UIG24" s="287"/>
      <c r="UIH24" s="287"/>
      <c r="UII24" s="287"/>
      <c r="UIJ24" s="287"/>
      <c r="UIK24" s="287"/>
      <c r="UIL24" s="287"/>
      <c r="UIM24" s="287"/>
      <c r="UIN24" s="287"/>
      <c r="UIO24" s="287"/>
      <c r="UIP24" s="287"/>
      <c r="UIQ24" s="287"/>
      <c r="UIR24" s="287"/>
      <c r="UIS24" s="632"/>
      <c r="UIT24" s="287"/>
      <c r="UIU24" s="633"/>
      <c r="UIV24" s="287"/>
      <c r="UIW24" s="287"/>
      <c r="UIX24" s="287"/>
      <c r="UIY24" s="287"/>
      <c r="UIZ24" s="287"/>
      <c r="UJA24" s="287"/>
      <c r="UJB24" s="287"/>
      <c r="UJC24" s="287"/>
      <c r="UJD24" s="287"/>
      <c r="UJE24" s="287"/>
      <c r="UJF24" s="287"/>
      <c r="UJG24" s="287"/>
      <c r="UJH24" s="287"/>
      <c r="UJI24" s="632"/>
      <c r="UJJ24" s="287"/>
      <c r="UJK24" s="633"/>
      <c r="UJL24" s="287"/>
      <c r="UJM24" s="287"/>
      <c r="UJN24" s="287"/>
      <c r="UJO24" s="287"/>
      <c r="UJP24" s="287"/>
      <c r="UJQ24" s="287"/>
      <c r="UJR24" s="287"/>
      <c r="UJS24" s="287"/>
      <c r="UJT24" s="287"/>
      <c r="UJU24" s="287"/>
      <c r="UJV24" s="287"/>
      <c r="UJW24" s="287"/>
      <c r="UJX24" s="287"/>
      <c r="UJY24" s="632"/>
      <c r="UJZ24" s="287"/>
      <c r="UKA24" s="633"/>
      <c r="UKB24" s="287"/>
      <c r="UKC24" s="287"/>
      <c r="UKD24" s="287"/>
      <c r="UKE24" s="287"/>
      <c r="UKF24" s="287"/>
      <c r="UKG24" s="287"/>
      <c r="UKH24" s="287"/>
      <c r="UKI24" s="287"/>
      <c r="UKJ24" s="287"/>
      <c r="UKK24" s="287"/>
      <c r="UKL24" s="287"/>
      <c r="UKM24" s="287"/>
      <c r="UKN24" s="287"/>
      <c r="UKO24" s="632"/>
      <c r="UKP24" s="287"/>
      <c r="UKQ24" s="633"/>
      <c r="UKR24" s="287"/>
      <c r="UKS24" s="287"/>
      <c r="UKT24" s="287"/>
      <c r="UKU24" s="287"/>
      <c r="UKV24" s="287"/>
      <c r="UKW24" s="287"/>
      <c r="UKX24" s="287"/>
      <c r="UKY24" s="287"/>
      <c r="UKZ24" s="287"/>
      <c r="ULA24" s="287"/>
      <c r="ULB24" s="287"/>
      <c r="ULC24" s="287"/>
      <c r="ULD24" s="287"/>
      <c r="ULE24" s="632"/>
      <c r="ULF24" s="287"/>
      <c r="ULG24" s="633"/>
      <c r="ULH24" s="287"/>
      <c r="ULI24" s="287"/>
      <c r="ULJ24" s="287"/>
      <c r="ULK24" s="287"/>
      <c r="ULL24" s="287"/>
      <c r="ULM24" s="287"/>
      <c r="ULN24" s="287"/>
      <c r="ULO24" s="287"/>
      <c r="ULP24" s="287"/>
      <c r="ULQ24" s="287"/>
      <c r="ULR24" s="287"/>
      <c r="ULS24" s="287"/>
      <c r="ULT24" s="287"/>
      <c r="ULU24" s="632"/>
      <c r="ULV24" s="287"/>
      <c r="ULW24" s="633"/>
      <c r="ULX24" s="287"/>
      <c r="ULY24" s="287"/>
      <c r="ULZ24" s="287"/>
      <c r="UMA24" s="287"/>
      <c r="UMB24" s="287"/>
      <c r="UMC24" s="287"/>
      <c r="UMD24" s="287"/>
      <c r="UME24" s="287"/>
      <c r="UMF24" s="287"/>
      <c r="UMG24" s="287"/>
      <c r="UMH24" s="287"/>
      <c r="UMI24" s="287"/>
      <c r="UMJ24" s="287"/>
      <c r="UMK24" s="632"/>
      <c r="UML24" s="287"/>
      <c r="UMM24" s="633"/>
      <c r="UMN24" s="287"/>
      <c r="UMO24" s="287"/>
      <c r="UMP24" s="287"/>
      <c r="UMQ24" s="287"/>
      <c r="UMR24" s="287"/>
      <c r="UMS24" s="287"/>
      <c r="UMT24" s="287"/>
      <c r="UMU24" s="287"/>
      <c r="UMV24" s="287"/>
      <c r="UMW24" s="287"/>
      <c r="UMX24" s="287"/>
      <c r="UMY24" s="287"/>
      <c r="UMZ24" s="287"/>
      <c r="UNA24" s="632"/>
      <c r="UNB24" s="287"/>
      <c r="UNC24" s="633"/>
      <c r="UND24" s="287"/>
      <c r="UNE24" s="287"/>
      <c r="UNF24" s="287"/>
      <c r="UNG24" s="287"/>
      <c r="UNH24" s="287"/>
      <c r="UNI24" s="287"/>
      <c r="UNJ24" s="287"/>
      <c r="UNK24" s="287"/>
      <c r="UNL24" s="287"/>
      <c r="UNM24" s="287"/>
      <c r="UNN24" s="287"/>
      <c r="UNO24" s="287"/>
      <c r="UNP24" s="287"/>
      <c r="UNQ24" s="632"/>
      <c r="UNR24" s="287"/>
      <c r="UNS24" s="633"/>
      <c r="UNT24" s="287"/>
      <c r="UNU24" s="287"/>
      <c r="UNV24" s="287"/>
      <c r="UNW24" s="287"/>
      <c r="UNX24" s="287"/>
      <c r="UNY24" s="287"/>
      <c r="UNZ24" s="287"/>
      <c r="UOA24" s="287"/>
      <c r="UOB24" s="287"/>
      <c r="UOC24" s="287"/>
      <c r="UOD24" s="287"/>
      <c r="UOE24" s="287"/>
      <c r="UOF24" s="287"/>
      <c r="UOG24" s="632"/>
      <c r="UOH24" s="287"/>
      <c r="UOI24" s="633"/>
      <c r="UOJ24" s="287"/>
      <c r="UOK24" s="287"/>
      <c r="UOL24" s="287"/>
      <c r="UOM24" s="287"/>
      <c r="UON24" s="287"/>
      <c r="UOO24" s="287"/>
      <c r="UOP24" s="287"/>
      <c r="UOQ24" s="287"/>
      <c r="UOR24" s="287"/>
      <c r="UOS24" s="287"/>
      <c r="UOT24" s="287"/>
      <c r="UOU24" s="287"/>
      <c r="UOV24" s="287"/>
      <c r="UOW24" s="632"/>
      <c r="UOX24" s="287"/>
      <c r="UOY24" s="633"/>
      <c r="UOZ24" s="287"/>
      <c r="UPA24" s="287"/>
      <c r="UPB24" s="287"/>
      <c r="UPC24" s="287"/>
      <c r="UPD24" s="287"/>
      <c r="UPE24" s="287"/>
      <c r="UPF24" s="287"/>
      <c r="UPG24" s="287"/>
      <c r="UPH24" s="287"/>
      <c r="UPI24" s="287"/>
      <c r="UPJ24" s="287"/>
      <c r="UPK24" s="287"/>
      <c r="UPL24" s="287"/>
      <c r="UPM24" s="632"/>
      <c r="UPN24" s="287"/>
      <c r="UPO24" s="633"/>
      <c r="UPP24" s="287"/>
      <c r="UPQ24" s="287"/>
      <c r="UPR24" s="287"/>
      <c r="UPS24" s="287"/>
      <c r="UPT24" s="287"/>
      <c r="UPU24" s="287"/>
      <c r="UPV24" s="287"/>
      <c r="UPW24" s="287"/>
      <c r="UPX24" s="287"/>
      <c r="UPY24" s="287"/>
      <c r="UPZ24" s="287"/>
      <c r="UQA24" s="287"/>
      <c r="UQB24" s="287"/>
      <c r="UQC24" s="632"/>
      <c r="UQD24" s="287"/>
      <c r="UQE24" s="633"/>
      <c r="UQF24" s="287"/>
      <c r="UQG24" s="287"/>
      <c r="UQH24" s="287"/>
      <c r="UQI24" s="287"/>
      <c r="UQJ24" s="287"/>
      <c r="UQK24" s="287"/>
      <c r="UQL24" s="287"/>
      <c r="UQM24" s="287"/>
      <c r="UQN24" s="287"/>
      <c r="UQO24" s="287"/>
      <c r="UQP24" s="287"/>
      <c r="UQQ24" s="287"/>
      <c r="UQR24" s="287"/>
      <c r="UQS24" s="632"/>
      <c r="UQT24" s="287"/>
      <c r="UQU24" s="633"/>
      <c r="UQV24" s="287"/>
      <c r="UQW24" s="287"/>
      <c r="UQX24" s="287"/>
      <c r="UQY24" s="287"/>
      <c r="UQZ24" s="287"/>
      <c r="URA24" s="287"/>
      <c r="URB24" s="287"/>
      <c r="URC24" s="287"/>
      <c r="URD24" s="287"/>
      <c r="URE24" s="287"/>
      <c r="URF24" s="287"/>
      <c r="URG24" s="287"/>
      <c r="URH24" s="287"/>
      <c r="URI24" s="632"/>
      <c r="URJ24" s="287"/>
      <c r="URK24" s="633"/>
      <c r="URL24" s="287"/>
      <c r="URM24" s="287"/>
      <c r="URN24" s="287"/>
      <c r="URO24" s="287"/>
      <c r="URP24" s="287"/>
      <c r="URQ24" s="287"/>
      <c r="URR24" s="287"/>
      <c r="URS24" s="287"/>
      <c r="URT24" s="287"/>
      <c r="URU24" s="287"/>
      <c r="URV24" s="287"/>
      <c r="URW24" s="287"/>
      <c r="URX24" s="287"/>
      <c r="URY24" s="632"/>
      <c r="URZ24" s="287"/>
      <c r="USA24" s="633"/>
      <c r="USB24" s="287"/>
      <c r="USC24" s="287"/>
      <c r="USD24" s="287"/>
      <c r="USE24" s="287"/>
      <c r="USF24" s="287"/>
      <c r="USG24" s="287"/>
      <c r="USH24" s="287"/>
      <c r="USI24" s="287"/>
      <c r="USJ24" s="287"/>
      <c r="USK24" s="287"/>
      <c r="USL24" s="287"/>
      <c r="USM24" s="287"/>
      <c r="USN24" s="287"/>
      <c r="USO24" s="632"/>
      <c r="USP24" s="287"/>
      <c r="USQ24" s="633"/>
      <c r="USR24" s="287"/>
      <c r="USS24" s="287"/>
      <c r="UST24" s="287"/>
      <c r="USU24" s="287"/>
      <c r="USV24" s="287"/>
      <c r="USW24" s="287"/>
      <c r="USX24" s="287"/>
      <c r="USY24" s="287"/>
      <c r="USZ24" s="287"/>
      <c r="UTA24" s="287"/>
      <c r="UTB24" s="287"/>
      <c r="UTC24" s="287"/>
      <c r="UTD24" s="287"/>
      <c r="UTE24" s="632"/>
      <c r="UTF24" s="287"/>
      <c r="UTG24" s="633"/>
      <c r="UTH24" s="287"/>
      <c r="UTI24" s="287"/>
      <c r="UTJ24" s="287"/>
      <c r="UTK24" s="287"/>
      <c r="UTL24" s="287"/>
      <c r="UTM24" s="287"/>
      <c r="UTN24" s="287"/>
      <c r="UTO24" s="287"/>
      <c r="UTP24" s="287"/>
      <c r="UTQ24" s="287"/>
      <c r="UTR24" s="287"/>
      <c r="UTS24" s="287"/>
      <c r="UTT24" s="287"/>
      <c r="UTU24" s="632"/>
      <c r="UTV24" s="287"/>
      <c r="UTW24" s="633"/>
      <c r="UTX24" s="287"/>
      <c r="UTY24" s="287"/>
      <c r="UTZ24" s="287"/>
      <c r="UUA24" s="287"/>
      <c r="UUB24" s="287"/>
      <c r="UUC24" s="287"/>
      <c r="UUD24" s="287"/>
      <c r="UUE24" s="287"/>
      <c r="UUF24" s="287"/>
      <c r="UUG24" s="287"/>
      <c r="UUH24" s="287"/>
      <c r="UUI24" s="287"/>
      <c r="UUJ24" s="287"/>
      <c r="UUK24" s="632"/>
      <c r="UUL24" s="287"/>
      <c r="UUM24" s="633"/>
      <c r="UUN24" s="287"/>
      <c r="UUO24" s="287"/>
      <c r="UUP24" s="287"/>
      <c r="UUQ24" s="287"/>
      <c r="UUR24" s="287"/>
      <c r="UUS24" s="287"/>
      <c r="UUT24" s="287"/>
      <c r="UUU24" s="287"/>
      <c r="UUV24" s="287"/>
      <c r="UUW24" s="287"/>
      <c r="UUX24" s="287"/>
      <c r="UUY24" s="287"/>
      <c r="UUZ24" s="287"/>
      <c r="UVA24" s="632"/>
      <c r="UVB24" s="287"/>
      <c r="UVC24" s="633"/>
      <c r="UVD24" s="287"/>
      <c r="UVE24" s="287"/>
      <c r="UVF24" s="287"/>
      <c r="UVG24" s="287"/>
      <c r="UVH24" s="287"/>
      <c r="UVI24" s="287"/>
      <c r="UVJ24" s="287"/>
      <c r="UVK24" s="287"/>
      <c r="UVL24" s="287"/>
      <c r="UVM24" s="287"/>
      <c r="UVN24" s="287"/>
      <c r="UVO24" s="287"/>
      <c r="UVP24" s="287"/>
      <c r="UVQ24" s="632"/>
      <c r="UVR24" s="287"/>
      <c r="UVS24" s="633"/>
      <c r="UVT24" s="287"/>
      <c r="UVU24" s="287"/>
      <c r="UVV24" s="287"/>
      <c r="UVW24" s="287"/>
      <c r="UVX24" s="287"/>
      <c r="UVY24" s="287"/>
      <c r="UVZ24" s="287"/>
      <c r="UWA24" s="287"/>
      <c r="UWB24" s="287"/>
      <c r="UWC24" s="287"/>
      <c r="UWD24" s="287"/>
      <c r="UWE24" s="287"/>
      <c r="UWF24" s="287"/>
      <c r="UWG24" s="632"/>
      <c r="UWH24" s="287"/>
      <c r="UWI24" s="633"/>
      <c r="UWJ24" s="287"/>
      <c r="UWK24" s="287"/>
      <c r="UWL24" s="287"/>
      <c r="UWM24" s="287"/>
      <c r="UWN24" s="287"/>
      <c r="UWO24" s="287"/>
      <c r="UWP24" s="287"/>
      <c r="UWQ24" s="287"/>
      <c r="UWR24" s="287"/>
      <c r="UWS24" s="287"/>
      <c r="UWT24" s="287"/>
      <c r="UWU24" s="287"/>
      <c r="UWV24" s="287"/>
      <c r="UWW24" s="632"/>
      <c r="UWX24" s="287"/>
      <c r="UWY24" s="633"/>
      <c r="UWZ24" s="287"/>
      <c r="UXA24" s="287"/>
      <c r="UXB24" s="287"/>
      <c r="UXC24" s="287"/>
      <c r="UXD24" s="287"/>
      <c r="UXE24" s="287"/>
      <c r="UXF24" s="287"/>
      <c r="UXG24" s="287"/>
      <c r="UXH24" s="287"/>
      <c r="UXI24" s="287"/>
      <c r="UXJ24" s="287"/>
      <c r="UXK24" s="287"/>
      <c r="UXL24" s="287"/>
      <c r="UXM24" s="632"/>
      <c r="UXN24" s="287"/>
      <c r="UXO24" s="633"/>
      <c r="UXP24" s="287"/>
      <c r="UXQ24" s="287"/>
      <c r="UXR24" s="287"/>
      <c r="UXS24" s="287"/>
      <c r="UXT24" s="287"/>
      <c r="UXU24" s="287"/>
      <c r="UXV24" s="287"/>
      <c r="UXW24" s="287"/>
      <c r="UXX24" s="287"/>
      <c r="UXY24" s="287"/>
      <c r="UXZ24" s="287"/>
      <c r="UYA24" s="287"/>
      <c r="UYB24" s="287"/>
      <c r="UYC24" s="632"/>
      <c r="UYD24" s="287"/>
      <c r="UYE24" s="633"/>
      <c r="UYF24" s="287"/>
      <c r="UYG24" s="287"/>
      <c r="UYH24" s="287"/>
      <c r="UYI24" s="287"/>
      <c r="UYJ24" s="287"/>
      <c r="UYK24" s="287"/>
      <c r="UYL24" s="287"/>
      <c r="UYM24" s="287"/>
      <c r="UYN24" s="287"/>
      <c r="UYO24" s="287"/>
      <c r="UYP24" s="287"/>
      <c r="UYQ24" s="287"/>
      <c r="UYR24" s="287"/>
      <c r="UYS24" s="632"/>
      <c r="UYT24" s="287"/>
      <c r="UYU24" s="633"/>
      <c r="UYV24" s="287"/>
      <c r="UYW24" s="287"/>
      <c r="UYX24" s="287"/>
      <c r="UYY24" s="287"/>
      <c r="UYZ24" s="287"/>
      <c r="UZA24" s="287"/>
      <c r="UZB24" s="287"/>
      <c r="UZC24" s="287"/>
      <c r="UZD24" s="287"/>
      <c r="UZE24" s="287"/>
      <c r="UZF24" s="287"/>
      <c r="UZG24" s="287"/>
      <c r="UZH24" s="287"/>
      <c r="UZI24" s="632"/>
      <c r="UZJ24" s="287"/>
      <c r="UZK24" s="633"/>
      <c r="UZL24" s="287"/>
      <c r="UZM24" s="287"/>
      <c r="UZN24" s="287"/>
      <c r="UZO24" s="287"/>
      <c r="UZP24" s="287"/>
      <c r="UZQ24" s="287"/>
      <c r="UZR24" s="287"/>
      <c r="UZS24" s="287"/>
      <c r="UZT24" s="287"/>
      <c r="UZU24" s="287"/>
      <c r="UZV24" s="287"/>
      <c r="UZW24" s="287"/>
      <c r="UZX24" s="287"/>
      <c r="UZY24" s="632"/>
      <c r="UZZ24" s="287"/>
      <c r="VAA24" s="633"/>
      <c r="VAB24" s="287"/>
      <c r="VAC24" s="287"/>
      <c r="VAD24" s="287"/>
      <c r="VAE24" s="287"/>
      <c r="VAF24" s="287"/>
      <c r="VAG24" s="287"/>
      <c r="VAH24" s="287"/>
      <c r="VAI24" s="287"/>
      <c r="VAJ24" s="287"/>
      <c r="VAK24" s="287"/>
      <c r="VAL24" s="287"/>
      <c r="VAM24" s="287"/>
      <c r="VAN24" s="287"/>
      <c r="VAO24" s="632"/>
      <c r="VAP24" s="287"/>
      <c r="VAQ24" s="633"/>
      <c r="VAR24" s="287"/>
      <c r="VAS24" s="287"/>
      <c r="VAT24" s="287"/>
      <c r="VAU24" s="287"/>
      <c r="VAV24" s="287"/>
      <c r="VAW24" s="287"/>
      <c r="VAX24" s="287"/>
      <c r="VAY24" s="287"/>
      <c r="VAZ24" s="287"/>
      <c r="VBA24" s="287"/>
      <c r="VBB24" s="287"/>
      <c r="VBC24" s="287"/>
      <c r="VBD24" s="287"/>
      <c r="VBE24" s="632"/>
      <c r="VBF24" s="287"/>
      <c r="VBG24" s="633"/>
      <c r="VBH24" s="287"/>
      <c r="VBI24" s="287"/>
      <c r="VBJ24" s="287"/>
      <c r="VBK24" s="287"/>
      <c r="VBL24" s="287"/>
      <c r="VBM24" s="287"/>
      <c r="VBN24" s="287"/>
      <c r="VBO24" s="287"/>
      <c r="VBP24" s="287"/>
      <c r="VBQ24" s="287"/>
      <c r="VBR24" s="287"/>
      <c r="VBS24" s="287"/>
      <c r="VBT24" s="287"/>
      <c r="VBU24" s="632"/>
      <c r="VBV24" s="287"/>
      <c r="VBW24" s="633"/>
      <c r="VBX24" s="287"/>
      <c r="VBY24" s="287"/>
      <c r="VBZ24" s="287"/>
      <c r="VCA24" s="287"/>
      <c r="VCB24" s="287"/>
      <c r="VCC24" s="287"/>
      <c r="VCD24" s="287"/>
      <c r="VCE24" s="287"/>
      <c r="VCF24" s="287"/>
      <c r="VCG24" s="287"/>
      <c r="VCH24" s="287"/>
      <c r="VCI24" s="287"/>
      <c r="VCJ24" s="287"/>
      <c r="VCK24" s="632"/>
      <c r="VCL24" s="287"/>
      <c r="VCM24" s="633"/>
      <c r="VCN24" s="287"/>
      <c r="VCO24" s="287"/>
      <c r="VCP24" s="287"/>
      <c r="VCQ24" s="287"/>
      <c r="VCR24" s="287"/>
      <c r="VCS24" s="287"/>
      <c r="VCT24" s="287"/>
      <c r="VCU24" s="287"/>
      <c r="VCV24" s="287"/>
      <c r="VCW24" s="287"/>
      <c r="VCX24" s="287"/>
      <c r="VCY24" s="287"/>
      <c r="VCZ24" s="287"/>
      <c r="VDA24" s="632"/>
      <c r="VDB24" s="287"/>
      <c r="VDC24" s="633"/>
      <c r="VDD24" s="287"/>
      <c r="VDE24" s="287"/>
      <c r="VDF24" s="287"/>
      <c r="VDG24" s="287"/>
      <c r="VDH24" s="287"/>
      <c r="VDI24" s="287"/>
      <c r="VDJ24" s="287"/>
      <c r="VDK24" s="287"/>
      <c r="VDL24" s="287"/>
      <c r="VDM24" s="287"/>
      <c r="VDN24" s="287"/>
      <c r="VDO24" s="287"/>
      <c r="VDP24" s="287"/>
      <c r="VDQ24" s="632"/>
      <c r="VDR24" s="287"/>
      <c r="VDS24" s="633"/>
      <c r="VDT24" s="287"/>
      <c r="VDU24" s="287"/>
      <c r="VDV24" s="287"/>
      <c r="VDW24" s="287"/>
      <c r="VDX24" s="287"/>
      <c r="VDY24" s="287"/>
      <c r="VDZ24" s="287"/>
      <c r="VEA24" s="287"/>
      <c r="VEB24" s="287"/>
      <c r="VEC24" s="287"/>
      <c r="VED24" s="287"/>
      <c r="VEE24" s="287"/>
      <c r="VEF24" s="287"/>
      <c r="VEG24" s="632"/>
      <c r="VEH24" s="287"/>
      <c r="VEI24" s="633"/>
      <c r="VEJ24" s="287"/>
      <c r="VEK24" s="287"/>
      <c r="VEL24" s="287"/>
      <c r="VEM24" s="287"/>
      <c r="VEN24" s="287"/>
      <c r="VEO24" s="287"/>
      <c r="VEP24" s="287"/>
      <c r="VEQ24" s="287"/>
      <c r="VER24" s="287"/>
      <c r="VES24" s="287"/>
      <c r="VET24" s="287"/>
      <c r="VEU24" s="287"/>
      <c r="VEV24" s="287"/>
      <c r="VEW24" s="632"/>
      <c r="VEX24" s="287"/>
      <c r="VEY24" s="633"/>
      <c r="VEZ24" s="287"/>
      <c r="VFA24" s="287"/>
      <c r="VFB24" s="287"/>
      <c r="VFC24" s="287"/>
      <c r="VFD24" s="287"/>
      <c r="VFE24" s="287"/>
      <c r="VFF24" s="287"/>
      <c r="VFG24" s="287"/>
      <c r="VFH24" s="287"/>
      <c r="VFI24" s="287"/>
      <c r="VFJ24" s="287"/>
      <c r="VFK24" s="287"/>
      <c r="VFL24" s="287"/>
      <c r="VFM24" s="632"/>
      <c r="VFN24" s="287"/>
      <c r="VFO24" s="633"/>
      <c r="VFP24" s="287"/>
      <c r="VFQ24" s="287"/>
      <c r="VFR24" s="287"/>
      <c r="VFS24" s="287"/>
      <c r="VFT24" s="287"/>
      <c r="VFU24" s="287"/>
      <c r="VFV24" s="287"/>
      <c r="VFW24" s="287"/>
      <c r="VFX24" s="287"/>
      <c r="VFY24" s="287"/>
      <c r="VFZ24" s="287"/>
      <c r="VGA24" s="287"/>
      <c r="VGB24" s="287"/>
      <c r="VGC24" s="632"/>
      <c r="VGD24" s="287"/>
      <c r="VGE24" s="633"/>
      <c r="VGF24" s="287"/>
      <c r="VGG24" s="287"/>
      <c r="VGH24" s="287"/>
      <c r="VGI24" s="287"/>
      <c r="VGJ24" s="287"/>
      <c r="VGK24" s="287"/>
      <c r="VGL24" s="287"/>
      <c r="VGM24" s="287"/>
      <c r="VGN24" s="287"/>
      <c r="VGO24" s="287"/>
      <c r="VGP24" s="287"/>
      <c r="VGQ24" s="287"/>
      <c r="VGR24" s="287"/>
      <c r="VGS24" s="632"/>
      <c r="VGT24" s="287"/>
      <c r="VGU24" s="633"/>
      <c r="VGV24" s="287"/>
      <c r="VGW24" s="287"/>
      <c r="VGX24" s="287"/>
      <c r="VGY24" s="287"/>
      <c r="VGZ24" s="287"/>
      <c r="VHA24" s="287"/>
      <c r="VHB24" s="287"/>
      <c r="VHC24" s="287"/>
      <c r="VHD24" s="287"/>
      <c r="VHE24" s="287"/>
      <c r="VHF24" s="287"/>
      <c r="VHG24" s="287"/>
      <c r="VHH24" s="287"/>
      <c r="VHI24" s="632"/>
      <c r="VHJ24" s="287"/>
      <c r="VHK24" s="633"/>
      <c r="VHL24" s="287"/>
      <c r="VHM24" s="287"/>
      <c r="VHN24" s="287"/>
      <c r="VHO24" s="287"/>
      <c r="VHP24" s="287"/>
      <c r="VHQ24" s="287"/>
      <c r="VHR24" s="287"/>
      <c r="VHS24" s="287"/>
      <c r="VHT24" s="287"/>
      <c r="VHU24" s="287"/>
      <c r="VHV24" s="287"/>
      <c r="VHW24" s="287"/>
      <c r="VHX24" s="287"/>
      <c r="VHY24" s="632"/>
      <c r="VHZ24" s="287"/>
      <c r="VIA24" s="633"/>
      <c r="VIB24" s="287"/>
      <c r="VIC24" s="287"/>
      <c r="VID24" s="287"/>
      <c r="VIE24" s="287"/>
      <c r="VIF24" s="287"/>
      <c r="VIG24" s="287"/>
      <c r="VIH24" s="287"/>
      <c r="VII24" s="287"/>
      <c r="VIJ24" s="287"/>
      <c r="VIK24" s="287"/>
      <c r="VIL24" s="287"/>
      <c r="VIM24" s="287"/>
      <c r="VIN24" s="287"/>
      <c r="VIO24" s="632"/>
      <c r="VIP24" s="287"/>
      <c r="VIQ24" s="633"/>
      <c r="VIR24" s="287"/>
      <c r="VIS24" s="287"/>
      <c r="VIT24" s="287"/>
      <c r="VIU24" s="287"/>
      <c r="VIV24" s="287"/>
      <c r="VIW24" s="287"/>
      <c r="VIX24" s="287"/>
      <c r="VIY24" s="287"/>
      <c r="VIZ24" s="287"/>
      <c r="VJA24" s="287"/>
      <c r="VJB24" s="287"/>
      <c r="VJC24" s="287"/>
      <c r="VJD24" s="287"/>
      <c r="VJE24" s="632"/>
      <c r="VJF24" s="287"/>
      <c r="VJG24" s="633"/>
      <c r="VJH24" s="287"/>
      <c r="VJI24" s="287"/>
      <c r="VJJ24" s="287"/>
      <c r="VJK24" s="287"/>
      <c r="VJL24" s="287"/>
      <c r="VJM24" s="287"/>
      <c r="VJN24" s="287"/>
      <c r="VJO24" s="287"/>
      <c r="VJP24" s="287"/>
      <c r="VJQ24" s="287"/>
      <c r="VJR24" s="287"/>
      <c r="VJS24" s="287"/>
      <c r="VJT24" s="287"/>
      <c r="VJU24" s="632"/>
      <c r="VJV24" s="287"/>
      <c r="VJW24" s="633"/>
      <c r="VJX24" s="287"/>
      <c r="VJY24" s="287"/>
      <c r="VJZ24" s="287"/>
      <c r="VKA24" s="287"/>
      <c r="VKB24" s="287"/>
      <c r="VKC24" s="287"/>
      <c r="VKD24" s="287"/>
      <c r="VKE24" s="287"/>
      <c r="VKF24" s="287"/>
      <c r="VKG24" s="287"/>
      <c r="VKH24" s="287"/>
      <c r="VKI24" s="287"/>
      <c r="VKJ24" s="287"/>
      <c r="VKK24" s="632"/>
      <c r="VKL24" s="287"/>
      <c r="VKM24" s="633"/>
      <c r="VKN24" s="287"/>
      <c r="VKO24" s="287"/>
      <c r="VKP24" s="287"/>
      <c r="VKQ24" s="287"/>
      <c r="VKR24" s="287"/>
      <c r="VKS24" s="287"/>
      <c r="VKT24" s="287"/>
      <c r="VKU24" s="287"/>
      <c r="VKV24" s="287"/>
      <c r="VKW24" s="287"/>
      <c r="VKX24" s="287"/>
      <c r="VKY24" s="287"/>
      <c r="VKZ24" s="287"/>
      <c r="VLA24" s="632"/>
      <c r="VLB24" s="287"/>
      <c r="VLC24" s="633"/>
      <c r="VLD24" s="287"/>
      <c r="VLE24" s="287"/>
      <c r="VLF24" s="287"/>
      <c r="VLG24" s="287"/>
      <c r="VLH24" s="287"/>
      <c r="VLI24" s="287"/>
      <c r="VLJ24" s="287"/>
      <c r="VLK24" s="287"/>
      <c r="VLL24" s="287"/>
      <c r="VLM24" s="287"/>
      <c r="VLN24" s="287"/>
      <c r="VLO24" s="287"/>
      <c r="VLP24" s="287"/>
      <c r="VLQ24" s="632"/>
      <c r="VLR24" s="287"/>
      <c r="VLS24" s="633"/>
      <c r="VLT24" s="287"/>
      <c r="VLU24" s="287"/>
      <c r="VLV24" s="287"/>
      <c r="VLW24" s="287"/>
      <c r="VLX24" s="287"/>
      <c r="VLY24" s="287"/>
      <c r="VLZ24" s="287"/>
      <c r="VMA24" s="287"/>
      <c r="VMB24" s="287"/>
      <c r="VMC24" s="287"/>
      <c r="VMD24" s="287"/>
      <c r="VME24" s="287"/>
      <c r="VMF24" s="287"/>
      <c r="VMG24" s="632"/>
      <c r="VMH24" s="287"/>
      <c r="VMI24" s="633"/>
      <c r="VMJ24" s="287"/>
      <c r="VMK24" s="287"/>
      <c r="VML24" s="287"/>
      <c r="VMM24" s="287"/>
      <c r="VMN24" s="287"/>
      <c r="VMO24" s="287"/>
      <c r="VMP24" s="287"/>
      <c r="VMQ24" s="287"/>
      <c r="VMR24" s="287"/>
      <c r="VMS24" s="287"/>
      <c r="VMT24" s="287"/>
      <c r="VMU24" s="287"/>
      <c r="VMV24" s="287"/>
      <c r="VMW24" s="632"/>
      <c r="VMX24" s="287"/>
      <c r="VMY24" s="633"/>
      <c r="VMZ24" s="287"/>
      <c r="VNA24" s="287"/>
      <c r="VNB24" s="287"/>
      <c r="VNC24" s="287"/>
      <c r="VND24" s="287"/>
      <c r="VNE24" s="287"/>
      <c r="VNF24" s="287"/>
      <c r="VNG24" s="287"/>
      <c r="VNH24" s="287"/>
      <c r="VNI24" s="287"/>
      <c r="VNJ24" s="287"/>
      <c r="VNK24" s="287"/>
      <c r="VNL24" s="287"/>
      <c r="VNM24" s="632"/>
      <c r="VNN24" s="287"/>
      <c r="VNO24" s="633"/>
      <c r="VNP24" s="287"/>
      <c r="VNQ24" s="287"/>
      <c r="VNR24" s="287"/>
      <c r="VNS24" s="287"/>
      <c r="VNT24" s="287"/>
      <c r="VNU24" s="287"/>
      <c r="VNV24" s="287"/>
      <c r="VNW24" s="287"/>
      <c r="VNX24" s="287"/>
      <c r="VNY24" s="287"/>
      <c r="VNZ24" s="287"/>
      <c r="VOA24" s="287"/>
      <c r="VOB24" s="287"/>
      <c r="VOC24" s="632"/>
      <c r="VOD24" s="287"/>
      <c r="VOE24" s="633"/>
      <c r="VOF24" s="287"/>
      <c r="VOG24" s="287"/>
      <c r="VOH24" s="287"/>
      <c r="VOI24" s="287"/>
      <c r="VOJ24" s="287"/>
      <c r="VOK24" s="287"/>
      <c r="VOL24" s="287"/>
      <c r="VOM24" s="287"/>
      <c r="VON24" s="287"/>
      <c r="VOO24" s="287"/>
      <c r="VOP24" s="287"/>
      <c r="VOQ24" s="287"/>
      <c r="VOR24" s="287"/>
      <c r="VOS24" s="632"/>
      <c r="VOT24" s="287"/>
      <c r="VOU24" s="633"/>
      <c r="VOV24" s="287"/>
      <c r="VOW24" s="287"/>
      <c r="VOX24" s="287"/>
      <c r="VOY24" s="287"/>
      <c r="VOZ24" s="287"/>
      <c r="VPA24" s="287"/>
      <c r="VPB24" s="287"/>
      <c r="VPC24" s="287"/>
      <c r="VPD24" s="287"/>
      <c r="VPE24" s="287"/>
      <c r="VPF24" s="287"/>
      <c r="VPG24" s="287"/>
      <c r="VPH24" s="287"/>
      <c r="VPI24" s="632"/>
      <c r="VPJ24" s="287"/>
      <c r="VPK24" s="633"/>
      <c r="VPL24" s="287"/>
      <c r="VPM24" s="287"/>
      <c r="VPN24" s="287"/>
      <c r="VPO24" s="287"/>
      <c r="VPP24" s="287"/>
      <c r="VPQ24" s="287"/>
      <c r="VPR24" s="287"/>
      <c r="VPS24" s="287"/>
      <c r="VPT24" s="287"/>
      <c r="VPU24" s="287"/>
      <c r="VPV24" s="287"/>
      <c r="VPW24" s="287"/>
      <c r="VPX24" s="287"/>
      <c r="VPY24" s="632"/>
      <c r="VPZ24" s="287"/>
      <c r="VQA24" s="633"/>
      <c r="VQB24" s="287"/>
      <c r="VQC24" s="287"/>
      <c r="VQD24" s="287"/>
      <c r="VQE24" s="287"/>
      <c r="VQF24" s="287"/>
      <c r="VQG24" s="287"/>
      <c r="VQH24" s="287"/>
      <c r="VQI24" s="287"/>
      <c r="VQJ24" s="287"/>
      <c r="VQK24" s="287"/>
      <c r="VQL24" s="287"/>
      <c r="VQM24" s="287"/>
      <c r="VQN24" s="287"/>
      <c r="VQO24" s="632"/>
      <c r="VQP24" s="287"/>
      <c r="VQQ24" s="633"/>
      <c r="VQR24" s="287"/>
      <c r="VQS24" s="287"/>
      <c r="VQT24" s="287"/>
      <c r="VQU24" s="287"/>
      <c r="VQV24" s="287"/>
      <c r="VQW24" s="287"/>
      <c r="VQX24" s="287"/>
      <c r="VQY24" s="287"/>
      <c r="VQZ24" s="287"/>
      <c r="VRA24" s="287"/>
      <c r="VRB24" s="287"/>
      <c r="VRC24" s="287"/>
      <c r="VRD24" s="287"/>
      <c r="VRE24" s="632"/>
      <c r="VRF24" s="287"/>
      <c r="VRG24" s="633"/>
      <c r="VRH24" s="287"/>
      <c r="VRI24" s="287"/>
      <c r="VRJ24" s="287"/>
      <c r="VRK24" s="287"/>
      <c r="VRL24" s="287"/>
      <c r="VRM24" s="287"/>
      <c r="VRN24" s="287"/>
      <c r="VRO24" s="287"/>
      <c r="VRP24" s="287"/>
      <c r="VRQ24" s="287"/>
      <c r="VRR24" s="287"/>
      <c r="VRS24" s="287"/>
      <c r="VRT24" s="287"/>
      <c r="VRU24" s="632"/>
      <c r="VRV24" s="287"/>
      <c r="VRW24" s="633"/>
      <c r="VRX24" s="287"/>
      <c r="VRY24" s="287"/>
      <c r="VRZ24" s="287"/>
      <c r="VSA24" s="287"/>
      <c r="VSB24" s="287"/>
      <c r="VSC24" s="287"/>
      <c r="VSD24" s="287"/>
      <c r="VSE24" s="287"/>
      <c r="VSF24" s="287"/>
      <c r="VSG24" s="287"/>
      <c r="VSH24" s="287"/>
      <c r="VSI24" s="287"/>
      <c r="VSJ24" s="287"/>
      <c r="VSK24" s="632"/>
      <c r="VSL24" s="287"/>
      <c r="VSM24" s="633"/>
      <c r="VSN24" s="287"/>
      <c r="VSO24" s="287"/>
      <c r="VSP24" s="287"/>
      <c r="VSQ24" s="287"/>
      <c r="VSR24" s="287"/>
      <c r="VSS24" s="287"/>
      <c r="VST24" s="287"/>
      <c r="VSU24" s="287"/>
      <c r="VSV24" s="287"/>
      <c r="VSW24" s="287"/>
      <c r="VSX24" s="287"/>
      <c r="VSY24" s="287"/>
      <c r="VSZ24" s="287"/>
      <c r="VTA24" s="632"/>
      <c r="VTB24" s="287"/>
      <c r="VTC24" s="633"/>
      <c r="VTD24" s="287"/>
      <c r="VTE24" s="287"/>
      <c r="VTF24" s="287"/>
      <c r="VTG24" s="287"/>
      <c r="VTH24" s="287"/>
      <c r="VTI24" s="287"/>
      <c r="VTJ24" s="287"/>
      <c r="VTK24" s="287"/>
      <c r="VTL24" s="287"/>
      <c r="VTM24" s="287"/>
      <c r="VTN24" s="287"/>
      <c r="VTO24" s="287"/>
      <c r="VTP24" s="287"/>
      <c r="VTQ24" s="632"/>
      <c r="VTR24" s="287"/>
      <c r="VTS24" s="633"/>
      <c r="VTT24" s="287"/>
      <c r="VTU24" s="287"/>
      <c r="VTV24" s="287"/>
      <c r="VTW24" s="287"/>
      <c r="VTX24" s="287"/>
      <c r="VTY24" s="287"/>
      <c r="VTZ24" s="287"/>
      <c r="VUA24" s="287"/>
      <c r="VUB24" s="287"/>
      <c r="VUC24" s="287"/>
      <c r="VUD24" s="287"/>
      <c r="VUE24" s="287"/>
      <c r="VUF24" s="287"/>
      <c r="VUG24" s="632"/>
      <c r="VUH24" s="287"/>
      <c r="VUI24" s="633"/>
      <c r="VUJ24" s="287"/>
      <c r="VUK24" s="287"/>
      <c r="VUL24" s="287"/>
      <c r="VUM24" s="287"/>
      <c r="VUN24" s="287"/>
      <c r="VUO24" s="287"/>
      <c r="VUP24" s="287"/>
      <c r="VUQ24" s="287"/>
      <c r="VUR24" s="287"/>
      <c r="VUS24" s="287"/>
      <c r="VUT24" s="287"/>
      <c r="VUU24" s="287"/>
      <c r="VUV24" s="287"/>
      <c r="VUW24" s="632"/>
      <c r="VUX24" s="287"/>
      <c r="VUY24" s="633"/>
      <c r="VUZ24" s="287"/>
      <c r="VVA24" s="287"/>
      <c r="VVB24" s="287"/>
      <c r="VVC24" s="287"/>
      <c r="VVD24" s="287"/>
      <c r="VVE24" s="287"/>
      <c r="VVF24" s="287"/>
      <c r="VVG24" s="287"/>
      <c r="VVH24" s="287"/>
      <c r="VVI24" s="287"/>
      <c r="VVJ24" s="287"/>
      <c r="VVK24" s="287"/>
      <c r="VVL24" s="287"/>
      <c r="VVM24" s="632"/>
      <c r="VVN24" s="287"/>
      <c r="VVO24" s="633"/>
      <c r="VVP24" s="287"/>
      <c r="VVQ24" s="287"/>
      <c r="VVR24" s="287"/>
      <c r="VVS24" s="287"/>
      <c r="VVT24" s="287"/>
      <c r="VVU24" s="287"/>
      <c r="VVV24" s="287"/>
      <c r="VVW24" s="287"/>
      <c r="VVX24" s="287"/>
      <c r="VVY24" s="287"/>
      <c r="VVZ24" s="287"/>
      <c r="VWA24" s="287"/>
      <c r="VWB24" s="287"/>
      <c r="VWC24" s="632"/>
      <c r="VWD24" s="287"/>
      <c r="VWE24" s="633"/>
      <c r="VWF24" s="287"/>
      <c r="VWG24" s="287"/>
      <c r="VWH24" s="287"/>
      <c r="VWI24" s="287"/>
      <c r="VWJ24" s="287"/>
      <c r="VWK24" s="287"/>
      <c r="VWL24" s="287"/>
      <c r="VWM24" s="287"/>
      <c r="VWN24" s="287"/>
      <c r="VWO24" s="287"/>
      <c r="VWP24" s="287"/>
      <c r="VWQ24" s="287"/>
      <c r="VWR24" s="287"/>
      <c r="VWS24" s="632"/>
      <c r="VWT24" s="287"/>
      <c r="VWU24" s="633"/>
      <c r="VWV24" s="287"/>
      <c r="VWW24" s="287"/>
      <c r="VWX24" s="287"/>
      <c r="VWY24" s="287"/>
      <c r="VWZ24" s="287"/>
      <c r="VXA24" s="287"/>
      <c r="VXB24" s="287"/>
      <c r="VXC24" s="287"/>
      <c r="VXD24" s="287"/>
      <c r="VXE24" s="287"/>
      <c r="VXF24" s="287"/>
      <c r="VXG24" s="287"/>
      <c r="VXH24" s="287"/>
      <c r="VXI24" s="632"/>
      <c r="VXJ24" s="287"/>
      <c r="VXK24" s="633"/>
      <c r="VXL24" s="287"/>
      <c r="VXM24" s="287"/>
      <c r="VXN24" s="287"/>
      <c r="VXO24" s="287"/>
      <c r="VXP24" s="287"/>
      <c r="VXQ24" s="287"/>
      <c r="VXR24" s="287"/>
      <c r="VXS24" s="287"/>
      <c r="VXT24" s="287"/>
      <c r="VXU24" s="287"/>
      <c r="VXV24" s="287"/>
      <c r="VXW24" s="287"/>
      <c r="VXX24" s="287"/>
      <c r="VXY24" s="632"/>
      <c r="VXZ24" s="287"/>
      <c r="VYA24" s="633"/>
      <c r="VYB24" s="287"/>
      <c r="VYC24" s="287"/>
      <c r="VYD24" s="287"/>
      <c r="VYE24" s="287"/>
      <c r="VYF24" s="287"/>
      <c r="VYG24" s="287"/>
      <c r="VYH24" s="287"/>
      <c r="VYI24" s="287"/>
      <c r="VYJ24" s="287"/>
      <c r="VYK24" s="287"/>
      <c r="VYL24" s="287"/>
      <c r="VYM24" s="287"/>
      <c r="VYN24" s="287"/>
      <c r="VYO24" s="632"/>
      <c r="VYP24" s="287"/>
      <c r="VYQ24" s="633"/>
      <c r="VYR24" s="287"/>
      <c r="VYS24" s="287"/>
      <c r="VYT24" s="287"/>
      <c r="VYU24" s="287"/>
      <c r="VYV24" s="287"/>
      <c r="VYW24" s="287"/>
      <c r="VYX24" s="287"/>
      <c r="VYY24" s="287"/>
      <c r="VYZ24" s="287"/>
      <c r="VZA24" s="287"/>
      <c r="VZB24" s="287"/>
      <c r="VZC24" s="287"/>
      <c r="VZD24" s="287"/>
      <c r="VZE24" s="632"/>
      <c r="VZF24" s="287"/>
      <c r="VZG24" s="633"/>
      <c r="VZH24" s="287"/>
      <c r="VZI24" s="287"/>
      <c r="VZJ24" s="287"/>
      <c r="VZK24" s="287"/>
      <c r="VZL24" s="287"/>
      <c r="VZM24" s="287"/>
      <c r="VZN24" s="287"/>
      <c r="VZO24" s="287"/>
      <c r="VZP24" s="287"/>
      <c r="VZQ24" s="287"/>
      <c r="VZR24" s="287"/>
      <c r="VZS24" s="287"/>
      <c r="VZT24" s="287"/>
      <c r="VZU24" s="632"/>
      <c r="VZV24" s="287"/>
      <c r="VZW24" s="633"/>
      <c r="VZX24" s="287"/>
      <c r="VZY24" s="287"/>
      <c r="VZZ24" s="287"/>
      <c r="WAA24" s="287"/>
      <c r="WAB24" s="287"/>
      <c r="WAC24" s="287"/>
      <c r="WAD24" s="287"/>
      <c r="WAE24" s="287"/>
      <c r="WAF24" s="287"/>
      <c r="WAG24" s="287"/>
      <c r="WAH24" s="287"/>
      <c r="WAI24" s="287"/>
      <c r="WAJ24" s="287"/>
      <c r="WAK24" s="632"/>
      <c r="WAL24" s="287"/>
      <c r="WAM24" s="633"/>
      <c r="WAN24" s="287"/>
      <c r="WAO24" s="287"/>
      <c r="WAP24" s="287"/>
      <c r="WAQ24" s="287"/>
      <c r="WAR24" s="287"/>
      <c r="WAS24" s="287"/>
      <c r="WAT24" s="287"/>
      <c r="WAU24" s="287"/>
      <c r="WAV24" s="287"/>
      <c r="WAW24" s="287"/>
      <c r="WAX24" s="287"/>
      <c r="WAY24" s="287"/>
      <c r="WAZ24" s="287"/>
      <c r="WBA24" s="632"/>
      <c r="WBB24" s="287"/>
      <c r="WBC24" s="633"/>
      <c r="WBD24" s="287"/>
      <c r="WBE24" s="287"/>
      <c r="WBF24" s="287"/>
      <c r="WBG24" s="287"/>
      <c r="WBH24" s="287"/>
      <c r="WBI24" s="287"/>
      <c r="WBJ24" s="287"/>
      <c r="WBK24" s="287"/>
      <c r="WBL24" s="287"/>
      <c r="WBM24" s="287"/>
      <c r="WBN24" s="287"/>
      <c r="WBO24" s="287"/>
      <c r="WBP24" s="287"/>
      <c r="WBQ24" s="632"/>
      <c r="WBR24" s="287"/>
      <c r="WBS24" s="633"/>
      <c r="WBT24" s="287"/>
      <c r="WBU24" s="287"/>
      <c r="WBV24" s="287"/>
      <c r="WBW24" s="287"/>
      <c r="WBX24" s="287"/>
      <c r="WBY24" s="287"/>
      <c r="WBZ24" s="287"/>
      <c r="WCA24" s="287"/>
      <c r="WCB24" s="287"/>
      <c r="WCC24" s="287"/>
      <c r="WCD24" s="287"/>
      <c r="WCE24" s="287"/>
      <c r="WCF24" s="287"/>
      <c r="WCG24" s="632"/>
      <c r="WCH24" s="287"/>
      <c r="WCI24" s="633"/>
      <c r="WCJ24" s="287"/>
      <c r="WCK24" s="287"/>
      <c r="WCL24" s="287"/>
      <c r="WCM24" s="287"/>
      <c r="WCN24" s="287"/>
      <c r="WCO24" s="287"/>
      <c r="WCP24" s="287"/>
      <c r="WCQ24" s="287"/>
      <c r="WCR24" s="287"/>
      <c r="WCS24" s="287"/>
      <c r="WCT24" s="287"/>
      <c r="WCU24" s="287"/>
      <c r="WCV24" s="287"/>
      <c r="WCW24" s="632"/>
      <c r="WCX24" s="287"/>
      <c r="WCY24" s="633"/>
      <c r="WCZ24" s="287"/>
      <c r="WDA24" s="287"/>
      <c r="WDB24" s="287"/>
      <c r="WDC24" s="287"/>
      <c r="WDD24" s="287"/>
      <c r="WDE24" s="287"/>
      <c r="WDF24" s="287"/>
      <c r="WDG24" s="287"/>
      <c r="WDH24" s="287"/>
      <c r="WDI24" s="287"/>
      <c r="WDJ24" s="287"/>
      <c r="WDK24" s="287"/>
      <c r="WDL24" s="287"/>
      <c r="WDM24" s="632"/>
      <c r="WDN24" s="287"/>
      <c r="WDO24" s="633"/>
      <c r="WDP24" s="287"/>
      <c r="WDQ24" s="287"/>
      <c r="WDR24" s="287"/>
      <c r="WDS24" s="287"/>
      <c r="WDT24" s="287"/>
      <c r="WDU24" s="287"/>
      <c r="WDV24" s="287"/>
      <c r="WDW24" s="287"/>
      <c r="WDX24" s="287"/>
      <c r="WDY24" s="287"/>
      <c r="WDZ24" s="287"/>
      <c r="WEA24" s="287"/>
      <c r="WEB24" s="287"/>
      <c r="WEC24" s="632"/>
      <c r="WED24" s="287"/>
      <c r="WEE24" s="633"/>
      <c r="WEF24" s="287"/>
      <c r="WEG24" s="287"/>
      <c r="WEH24" s="287"/>
      <c r="WEI24" s="287"/>
      <c r="WEJ24" s="287"/>
      <c r="WEK24" s="287"/>
      <c r="WEL24" s="287"/>
      <c r="WEM24" s="287"/>
      <c r="WEN24" s="287"/>
      <c r="WEO24" s="287"/>
      <c r="WEP24" s="287"/>
      <c r="WEQ24" s="287"/>
      <c r="WER24" s="287"/>
      <c r="WES24" s="632"/>
      <c r="WET24" s="287"/>
      <c r="WEU24" s="633"/>
      <c r="WEV24" s="287"/>
      <c r="WEW24" s="287"/>
      <c r="WEX24" s="287"/>
      <c r="WEY24" s="287"/>
      <c r="WEZ24" s="287"/>
      <c r="WFA24" s="287"/>
      <c r="WFB24" s="287"/>
      <c r="WFC24" s="287"/>
      <c r="WFD24" s="287"/>
      <c r="WFE24" s="287"/>
      <c r="WFF24" s="287"/>
      <c r="WFG24" s="287"/>
      <c r="WFH24" s="287"/>
      <c r="WFI24" s="632"/>
      <c r="WFJ24" s="287"/>
      <c r="WFK24" s="633"/>
      <c r="WFL24" s="287"/>
      <c r="WFM24" s="287"/>
      <c r="WFN24" s="287"/>
      <c r="WFO24" s="287"/>
      <c r="WFP24" s="287"/>
      <c r="WFQ24" s="287"/>
      <c r="WFR24" s="287"/>
      <c r="WFS24" s="287"/>
      <c r="WFT24" s="287"/>
      <c r="WFU24" s="287"/>
      <c r="WFV24" s="287"/>
      <c r="WFW24" s="287"/>
      <c r="WFX24" s="287"/>
      <c r="WFY24" s="632"/>
      <c r="WFZ24" s="287"/>
      <c r="WGA24" s="633"/>
      <c r="WGB24" s="287"/>
      <c r="WGC24" s="287"/>
      <c r="WGD24" s="287"/>
      <c r="WGE24" s="287"/>
      <c r="WGF24" s="287"/>
      <c r="WGG24" s="287"/>
      <c r="WGH24" s="287"/>
      <c r="WGI24" s="287"/>
      <c r="WGJ24" s="287"/>
      <c r="WGK24" s="287"/>
      <c r="WGL24" s="287"/>
      <c r="WGM24" s="287"/>
      <c r="WGN24" s="287"/>
      <c r="WGO24" s="632"/>
      <c r="WGP24" s="287"/>
      <c r="WGQ24" s="633"/>
      <c r="WGR24" s="287"/>
      <c r="WGS24" s="287"/>
      <c r="WGT24" s="287"/>
      <c r="WGU24" s="287"/>
      <c r="WGV24" s="287"/>
      <c r="WGW24" s="287"/>
      <c r="WGX24" s="287"/>
      <c r="WGY24" s="287"/>
      <c r="WGZ24" s="287"/>
      <c r="WHA24" s="287"/>
      <c r="WHB24" s="287"/>
      <c r="WHC24" s="287"/>
      <c r="WHD24" s="287"/>
      <c r="WHE24" s="632"/>
      <c r="WHF24" s="287"/>
      <c r="WHG24" s="633"/>
      <c r="WHH24" s="287"/>
      <c r="WHI24" s="287"/>
      <c r="WHJ24" s="287"/>
      <c r="WHK24" s="287"/>
      <c r="WHL24" s="287"/>
      <c r="WHM24" s="287"/>
      <c r="WHN24" s="287"/>
      <c r="WHO24" s="287"/>
      <c r="WHP24" s="287"/>
      <c r="WHQ24" s="287"/>
      <c r="WHR24" s="287"/>
      <c r="WHS24" s="287"/>
      <c r="WHT24" s="287"/>
      <c r="WHU24" s="632"/>
      <c r="WHV24" s="287"/>
      <c r="WHW24" s="633"/>
      <c r="WHX24" s="287"/>
      <c r="WHY24" s="287"/>
      <c r="WHZ24" s="287"/>
      <c r="WIA24" s="287"/>
      <c r="WIB24" s="287"/>
      <c r="WIC24" s="287"/>
      <c r="WID24" s="287"/>
      <c r="WIE24" s="287"/>
      <c r="WIF24" s="287"/>
      <c r="WIG24" s="287"/>
      <c r="WIH24" s="287"/>
      <c r="WII24" s="287"/>
      <c r="WIJ24" s="287"/>
      <c r="WIK24" s="632"/>
      <c r="WIL24" s="287"/>
      <c r="WIM24" s="633"/>
      <c r="WIN24" s="287"/>
      <c r="WIO24" s="287"/>
      <c r="WIP24" s="287"/>
      <c r="WIQ24" s="287"/>
      <c r="WIR24" s="287"/>
      <c r="WIS24" s="287"/>
      <c r="WIT24" s="287"/>
      <c r="WIU24" s="287"/>
      <c r="WIV24" s="287"/>
      <c r="WIW24" s="287"/>
      <c r="WIX24" s="287"/>
      <c r="WIY24" s="287"/>
      <c r="WIZ24" s="287"/>
      <c r="WJA24" s="632"/>
      <c r="WJB24" s="287"/>
      <c r="WJC24" s="633"/>
      <c r="WJD24" s="287"/>
      <c r="WJE24" s="287"/>
      <c r="WJF24" s="287"/>
      <c r="WJG24" s="287"/>
      <c r="WJH24" s="287"/>
      <c r="WJI24" s="287"/>
      <c r="WJJ24" s="287"/>
      <c r="WJK24" s="287"/>
      <c r="WJL24" s="287"/>
      <c r="WJM24" s="287"/>
      <c r="WJN24" s="287"/>
      <c r="WJO24" s="287"/>
      <c r="WJP24" s="287"/>
      <c r="WJQ24" s="632"/>
      <c r="WJR24" s="287"/>
      <c r="WJS24" s="633"/>
      <c r="WJT24" s="287"/>
      <c r="WJU24" s="287"/>
      <c r="WJV24" s="287"/>
      <c r="WJW24" s="287"/>
      <c r="WJX24" s="287"/>
      <c r="WJY24" s="287"/>
      <c r="WJZ24" s="287"/>
      <c r="WKA24" s="287"/>
      <c r="WKB24" s="287"/>
      <c r="WKC24" s="287"/>
      <c r="WKD24" s="287"/>
      <c r="WKE24" s="287"/>
      <c r="WKF24" s="287"/>
      <c r="WKG24" s="632"/>
      <c r="WKH24" s="287"/>
      <c r="WKI24" s="633"/>
      <c r="WKJ24" s="287"/>
      <c r="WKK24" s="287"/>
      <c r="WKL24" s="287"/>
      <c r="WKM24" s="287"/>
      <c r="WKN24" s="287"/>
      <c r="WKO24" s="287"/>
      <c r="WKP24" s="287"/>
      <c r="WKQ24" s="287"/>
      <c r="WKR24" s="287"/>
      <c r="WKS24" s="287"/>
      <c r="WKT24" s="287"/>
      <c r="WKU24" s="287"/>
      <c r="WKV24" s="287"/>
      <c r="WKW24" s="632"/>
      <c r="WKX24" s="287"/>
      <c r="WKY24" s="633"/>
      <c r="WKZ24" s="287"/>
      <c r="WLA24" s="287"/>
      <c r="WLB24" s="287"/>
      <c r="WLC24" s="287"/>
      <c r="WLD24" s="287"/>
      <c r="WLE24" s="287"/>
      <c r="WLF24" s="287"/>
      <c r="WLG24" s="287"/>
      <c r="WLH24" s="287"/>
      <c r="WLI24" s="287"/>
      <c r="WLJ24" s="287"/>
      <c r="WLK24" s="287"/>
      <c r="WLL24" s="287"/>
      <c r="WLM24" s="632"/>
      <c r="WLN24" s="287"/>
      <c r="WLO24" s="633"/>
      <c r="WLP24" s="287"/>
      <c r="WLQ24" s="287"/>
      <c r="WLR24" s="287"/>
      <c r="WLS24" s="287"/>
      <c r="WLT24" s="287"/>
      <c r="WLU24" s="287"/>
      <c r="WLV24" s="287"/>
      <c r="WLW24" s="287"/>
      <c r="WLX24" s="287"/>
      <c r="WLY24" s="287"/>
      <c r="WLZ24" s="287"/>
      <c r="WMA24" s="287"/>
      <c r="WMB24" s="287"/>
      <c r="WMC24" s="632"/>
      <c r="WMD24" s="287"/>
      <c r="WME24" s="633"/>
      <c r="WMF24" s="287"/>
      <c r="WMG24" s="287"/>
      <c r="WMH24" s="287"/>
      <c r="WMI24" s="287"/>
      <c r="WMJ24" s="287"/>
      <c r="WMK24" s="287"/>
      <c r="WML24" s="287"/>
      <c r="WMM24" s="287"/>
      <c r="WMN24" s="287"/>
      <c r="WMO24" s="287"/>
      <c r="WMP24" s="287"/>
      <c r="WMQ24" s="287"/>
      <c r="WMR24" s="287"/>
      <c r="WMS24" s="632"/>
      <c r="WMT24" s="287"/>
      <c r="WMU24" s="633"/>
      <c r="WMV24" s="287"/>
      <c r="WMW24" s="287"/>
      <c r="WMX24" s="287"/>
      <c r="WMY24" s="287"/>
      <c r="WMZ24" s="287"/>
      <c r="WNA24" s="287"/>
      <c r="WNB24" s="287"/>
      <c r="WNC24" s="287"/>
      <c r="WND24" s="287"/>
      <c r="WNE24" s="287"/>
      <c r="WNF24" s="287"/>
      <c r="WNG24" s="287"/>
      <c r="WNH24" s="287"/>
      <c r="WNI24" s="632"/>
      <c r="WNJ24" s="287"/>
      <c r="WNK24" s="633"/>
      <c r="WNL24" s="287"/>
      <c r="WNM24" s="287"/>
      <c r="WNN24" s="287"/>
      <c r="WNO24" s="287"/>
      <c r="WNP24" s="287"/>
      <c r="WNQ24" s="287"/>
      <c r="WNR24" s="287"/>
      <c r="WNS24" s="287"/>
      <c r="WNT24" s="287"/>
      <c r="WNU24" s="287"/>
      <c r="WNV24" s="287"/>
      <c r="WNW24" s="287"/>
      <c r="WNX24" s="287"/>
      <c r="WNY24" s="632"/>
      <c r="WNZ24" s="287"/>
      <c r="WOA24" s="633"/>
      <c r="WOB24" s="287"/>
      <c r="WOC24" s="287"/>
      <c r="WOD24" s="287"/>
      <c r="WOE24" s="287"/>
      <c r="WOF24" s="287"/>
      <c r="WOG24" s="287"/>
      <c r="WOH24" s="287"/>
      <c r="WOI24" s="287"/>
      <c r="WOJ24" s="287"/>
      <c r="WOK24" s="287"/>
      <c r="WOL24" s="287"/>
      <c r="WOM24" s="287"/>
      <c r="WON24" s="287"/>
      <c r="WOO24" s="632"/>
      <c r="WOP24" s="287"/>
      <c r="WOQ24" s="633"/>
      <c r="WOR24" s="287"/>
      <c r="WOS24" s="287"/>
      <c r="WOT24" s="287"/>
      <c r="WOU24" s="287"/>
      <c r="WOV24" s="287"/>
      <c r="WOW24" s="287"/>
      <c r="WOX24" s="287"/>
      <c r="WOY24" s="287"/>
      <c r="WOZ24" s="287"/>
      <c r="WPA24" s="287"/>
      <c r="WPB24" s="287"/>
      <c r="WPC24" s="287"/>
      <c r="WPD24" s="287"/>
      <c r="WPE24" s="632"/>
      <c r="WPF24" s="287"/>
      <c r="WPG24" s="633"/>
      <c r="WPH24" s="287"/>
      <c r="WPI24" s="287"/>
      <c r="WPJ24" s="287"/>
      <c r="WPK24" s="287"/>
      <c r="WPL24" s="287"/>
      <c r="WPM24" s="287"/>
      <c r="WPN24" s="287"/>
      <c r="WPO24" s="287"/>
      <c r="WPP24" s="287"/>
      <c r="WPQ24" s="287"/>
      <c r="WPR24" s="287"/>
      <c r="WPS24" s="287"/>
      <c r="WPT24" s="287"/>
      <c r="WPU24" s="632"/>
      <c r="WPV24" s="287"/>
      <c r="WPW24" s="633"/>
      <c r="WPX24" s="287"/>
      <c r="WPY24" s="287"/>
      <c r="WPZ24" s="287"/>
      <c r="WQA24" s="287"/>
      <c r="WQB24" s="287"/>
      <c r="WQC24" s="287"/>
      <c r="WQD24" s="287"/>
      <c r="WQE24" s="287"/>
      <c r="WQF24" s="287"/>
      <c r="WQG24" s="287"/>
      <c r="WQH24" s="287"/>
      <c r="WQI24" s="287"/>
      <c r="WQJ24" s="287"/>
      <c r="WQK24" s="632"/>
      <c r="WQL24" s="287"/>
      <c r="WQM24" s="633"/>
      <c r="WQN24" s="287"/>
      <c r="WQO24" s="287"/>
      <c r="WQP24" s="287"/>
      <c r="WQQ24" s="287"/>
      <c r="WQR24" s="287"/>
      <c r="WQS24" s="287"/>
      <c r="WQT24" s="287"/>
      <c r="WQU24" s="287"/>
      <c r="WQV24" s="287"/>
      <c r="WQW24" s="287"/>
      <c r="WQX24" s="287"/>
      <c r="WQY24" s="287"/>
      <c r="WQZ24" s="287"/>
      <c r="WRA24" s="632"/>
      <c r="WRB24" s="287"/>
      <c r="WRC24" s="633"/>
      <c r="WRD24" s="287"/>
      <c r="WRE24" s="287"/>
      <c r="WRF24" s="287"/>
      <c r="WRG24" s="287"/>
      <c r="WRH24" s="287"/>
      <c r="WRI24" s="287"/>
      <c r="WRJ24" s="287"/>
      <c r="WRK24" s="287"/>
      <c r="WRL24" s="287"/>
      <c r="WRM24" s="287"/>
      <c r="WRN24" s="287"/>
      <c r="WRO24" s="287"/>
      <c r="WRP24" s="287"/>
      <c r="WRQ24" s="632"/>
      <c r="WRR24" s="287"/>
      <c r="WRS24" s="633"/>
      <c r="WRT24" s="287"/>
      <c r="WRU24" s="287"/>
      <c r="WRV24" s="287"/>
      <c r="WRW24" s="287"/>
      <c r="WRX24" s="287"/>
      <c r="WRY24" s="287"/>
      <c r="WRZ24" s="287"/>
      <c r="WSA24" s="287"/>
      <c r="WSB24" s="287"/>
      <c r="WSC24" s="287"/>
      <c r="WSD24" s="287"/>
      <c r="WSE24" s="287"/>
      <c r="WSF24" s="287"/>
      <c r="WSG24" s="632"/>
      <c r="WSH24" s="287"/>
      <c r="WSI24" s="633"/>
      <c r="WSJ24" s="287"/>
      <c r="WSK24" s="287"/>
      <c r="WSL24" s="287"/>
      <c r="WSM24" s="287"/>
      <c r="WSN24" s="287"/>
      <c r="WSO24" s="287"/>
      <c r="WSP24" s="287"/>
      <c r="WSQ24" s="287"/>
      <c r="WSR24" s="287"/>
      <c r="WSS24" s="287"/>
      <c r="WST24" s="287"/>
      <c r="WSU24" s="287"/>
      <c r="WSV24" s="287"/>
      <c r="WSW24" s="632"/>
      <c r="WSX24" s="287"/>
      <c r="WSY24" s="633"/>
      <c r="WSZ24" s="287"/>
      <c r="WTA24" s="287"/>
      <c r="WTB24" s="287"/>
      <c r="WTC24" s="287"/>
      <c r="WTD24" s="287"/>
      <c r="WTE24" s="287"/>
      <c r="WTF24" s="287"/>
      <c r="WTG24" s="287"/>
      <c r="WTH24" s="287"/>
      <c r="WTI24" s="287"/>
      <c r="WTJ24" s="287"/>
      <c r="WTK24" s="287"/>
      <c r="WTL24" s="287"/>
      <c r="WTM24" s="632"/>
      <c r="WTN24" s="287"/>
      <c r="WTO24" s="633"/>
      <c r="WTP24" s="287"/>
      <c r="WTQ24" s="287"/>
      <c r="WTR24" s="287"/>
      <c r="WTS24" s="287"/>
      <c r="WTT24" s="287"/>
      <c r="WTU24" s="287"/>
      <c r="WTV24" s="287"/>
      <c r="WTW24" s="287"/>
      <c r="WTX24" s="287"/>
      <c r="WTY24" s="287"/>
      <c r="WTZ24" s="287"/>
      <c r="WUA24" s="287"/>
      <c r="WUB24" s="287"/>
      <c r="WUC24" s="632"/>
      <c r="WUD24" s="287"/>
      <c r="WUE24" s="633"/>
      <c r="WUF24" s="287"/>
      <c r="WUG24" s="287"/>
      <c r="WUH24" s="287"/>
      <c r="WUI24" s="287"/>
      <c r="WUJ24" s="287"/>
      <c r="WUK24" s="287"/>
      <c r="WUL24" s="287"/>
      <c r="WUM24" s="287"/>
      <c r="WUN24" s="287"/>
      <c r="WUO24" s="287"/>
      <c r="WUP24" s="287"/>
      <c r="WUQ24" s="287"/>
      <c r="WUR24" s="287"/>
      <c r="WUS24" s="632"/>
      <c r="WUT24" s="287"/>
      <c r="WUU24" s="633"/>
      <c r="WUV24" s="287"/>
      <c r="WUW24" s="287"/>
      <c r="WUX24" s="287"/>
      <c r="WUY24" s="287"/>
      <c r="WUZ24" s="287"/>
      <c r="WVA24" s="287"/>
      <c r="WVB24" s="287"/>
      <c r="WVC24" s="287"/>
      <c r="WVD24" s="287"/>
      <c r="WVE24" s="287"/>
      <c r="WVF24" s="287"/>
      <c r="WVG24" s="287"/>
      <c r="WVH24" s="287"/>
      <c r="WVI24" s="632"/>
      <c r="WVJ24" s="287"/>
      <c r="WVK24" s="633"/>
      <c r="WVL24" s="287"/>
      <c r="WVM24" s="287"/>
      <c r="WVN24" s="287"/>
      <c r="WVO24" s="287"/>
      <c r="WVP24" s="287"/>
      <c r="WVQ24" s="287"/>
      <c r="WVR24" s="287"/>
      <c r="WVS24" s="287"/>
      <c r="WVT24" s="287"/>
      <c r="WVU24" s="287"/>
      <c r="WVV24" s="287"/>
      <c r="WVW24" s="287"/>
      <c r="WVX24" s="287"/>
      <c r="WVY24" s="632"/>
      <c r="WVZ24" s="287"/>
      <c r="WWA24" s="633"/>
      <c r="WWB24" s="287"/>
      <c r="WWC24" s="287"/>
      <c r="WWD24" s="287"/>
      <c r="WWE24" s="287"/>
      <c r="WWF24" s="287"/>
      <c r="WWG24" s="287"/>
      <c r="WWH24" s="287"/>
      <c r="WWI24" s="287"/>
      <c r="WWJ24" s="287"/>
      <c r="WWK24" s="287"/>
      <c r="WWL24" s="287"/>
      <c r="WWM24" s="287"/>
      <c r="WWN24" s="287"/>
      <c r="WWO24" s="632"/>
      <c r="WWP24" s="287"/>
      <c r="WWQ24" s="633"/>
      <c r="WWR24" s="287"/>
      <c r="WWS24" s="287"/>
      <c r="WWT24" s="287"/>
      <c r="WWU24" s="287"/>
      <c r="WWV24" s="287"/>
      <c r="WWW24" s="287"/>
      <c r="WWX24" s="287"/>
      <c r="WWY24" s="287"/>
      <c r="WWZ24" s="287"/>
      <c r="WXA24" s="287"/>
      <c r="WXB24" s="287"/>
      <c r="WXC24" s="287"/>
      <c r="WXD24" s="287"/>
      <c r="WXE24" s="632"/>
      <c r="WXF24" s="287"/>
      <c r="WXG24" s="633"/>
      <c r="WXH24" s="287"/>
      <c r="WXI24" s="287"/>
      <c r="WXJ24" s="287"/>
      <c r="WXK24" s="287"/>
      <c r="WXL24" s="287"/>
      <c r="WXM24" s="287"/>
      <c r="WXN24" s="287"/>
      <c r="WXO24" s="287"/>
      <c r="WXP24" s="287"/>
      <c r="WXQ24" s="287"/>
      <c r="WXR24" s="287"/>
      <c r="WXS24" s="287"/>
      <c r="WXT24" s="287"/>
      <c r="WXU24" s="632"/>
      <c r="WXV24" s="287"/>
      <c r="WXW24" s="633"/>
      <c r="WXX24" s="287"/>
      <c r="WXY24" s="287"/>
      <c r="WXZ24" s="287"/>
      <c r="WYA24" s="287"/>
      <c r="WYB24" s="287"/>
      <c r="WYC24" s="287"/>
      <c r="WYD24" s="287"/>
      <c r="WYE24" s="287"/>
      <c r="WYF24" s="287"/>
      <c r="WYG24" s="287"/>
      <c r="WYH24" s="287"/>
      <c r="WYI24" s="287"/>
      <c r="WYJ24" s="287"/>
      <c r="WYK24" s="632"/>
      <c r="WYL24" s="287"/>
      <c r="WYM24" s="633"/>
      <c r="WYN24" s="287"/>
      <c r="WYO24" s="287"/>
      <c r="WYP24" s="287"/>
      <c r="WYQ24" s="287"/>
      <c r="WYR24" s="287"/>
      <c r="WYS24" s="287"/>
      <c r="WYT24" s="287"/>
      <c r="WYU24" s="287"/>
      <c r="WYV24" s="287"/>
      <c r="WYW24" s="287"/>
      <c r="WYX24" s="287"/>
      <c r="WYY24" s="287"/>
      <c r="WYZ24" s="287"/>
      <c r="WZA24" s="632"/>
      <c r="WZB24" s="287"/>
      <c r="WZC24" s="633"/>
      <c r="WZD24" s="287"/>
      <c r="WZE24" s="287"/>
      <c r="WZF24" s="287"/>
      <c r="WZG24" s="287"/>
      <c r="WZH24" s="287"/>
      <c r="WZI24" s="287"/>
      <c r="WZJ24" s="287"/>
      <c r="WZK24" s="287"/>
      <c r="WZL24" s="287"/>
      <c r="WZM24" s="287"/>
      <c r="WZN24" s="287"/>
      <c r="WZO24" s="287"/>
      <c r="WZP24" s="287"/>
      <c r="WZQ24" s="632"/>
      <c r="WZR24" s="287"/>
      <c r="WZS24" s="633"/>
      <c r="WZT24" s="287"/>
      <c r="WZU24" s="287"/>
      <c r="WZV24" s="287"/>
      <c r="WZW24" s="287"/>
      <c r="WZX24" s="287"/>
      <c r="WZY24" s="287"/>
      <c r="WZZ24" s="287"/>
      <c r="XAA24" s="287"/>
      <c r="XAB24" s="287"/>
      <c r="XAC24" s="287"/>
      <c r="XAD24" s="287"/>
      <c r="XAE24" s="287"/>
      <c r="XAF24" s="287"/>
      <c r="XAG24" s="632"/>
      <c r="XAH24" s="287"/>
      <c r="XAI24" s="633"/>
      <c r="XAJ24" s="287"/>
      <c r="XAK24" s="287"/>
      <c r="XAL24" s="287"/>
      <c r="XAM24" s="287"/>
      <c r="XAN24" s="287"/>
      <c r="XAO24" s="287"/>
      <c r="XAP24" s="287"/>
      <c r="XAQ24" s="287"/>
      <c r="XAR24" s="287"/>
      <c r="XAS24" s="287"/>
      <c r="XAT24" s="287"/>
      <c r="XAU24" s="287"/>
      <c r="XAV24" s="287"/>
      <c r="XAW24" s="632"/>
      <c r="XAX24" s="287"/>
      <c r="XAY24" s="633"/>
      <c r="XAZ24" s="287"/>
      <c r="XBA24" s="287"/>
      <c r="XBB24" s="287"/>
      <c r="XBC24" s="287"/>
      <c r="XBD24" s="287"/>
      <c r="XBE24" s="287"/>
      <c r="XBF24" s="287"/>
      <c r="XBG24" s="287"/>
      <c r="XBH24" s="287"/>
      <c r="XBI24" s="287"/>
      <c r="XBJ24" s="287"/>
      <c r="XBK24" s="287"/>
      <c r="XBL24" s="287"/>
      <c r="XBM24" s="632"/>
      <c r="XBN24" s="287"/>
      <c r="XBO24" s="633"/>
      <c r="XBP24" s="287"/>
      <c r="XBQ24" s="287"/>
      <c r="XBR24" s="287"/>
      <c r="XBS24" s="287"/>
      <c r="XBT24" s="287"/>
      <c r="XBU24" s="287"/>
      <c r="XBV24" s="287"/>
      <c r="XBW24" s="287"/>
      <c r="XBX24" s="287"/>
      <c r="XBY24" s="287"/>
      <c r="XBZ24" s="287"/>
      <c r="XCA24" s="287"/>
      <c r="XCB24" s="287"/>
      <c r="XCC24" s="632"/>
      <c r="XCD24" s="287"/>
      <c r="XCE24" s="633"/>
      <c r="XCF24" s="287"/>
      <c r="XCG24" s="287"/>
      <c r="XCH24" s="287"/>
      <c r="XCI24" s="287"/>
      <c r="XCJ24" s="287"/>
      <c r="XCK24" s="287"/>
      <c r="XCL24" s="287"/>
      <c r="XCM24" s="287"/>
      <c r="XCN24" s="287"/>
      <c r="XCO24" s="287"/>
      <c r="XCP24" s="287"/>
      <c r="XCQ24" s="287"/>
      <c r="XCR24" s="287"/>
      <c r="XCS24" s="632"/>
      <c r="XCT24" s="287"/>
      <c r="XCU24" s="633"/>
      <c r="XCV24" s="287"/>
      <c r="XCW24" s="287"/>
      <c r="XCX24" s="287"/>
      <c r="XCY24" s="287"/>
      <c r="XCZ24" s="287"/>
      <c r="XDA24" s="287"/>
      <c r="XDB24" s="287"/>
      <c r="XDC24" s="287"/>
      <c r="XDD24" s="287"/>
      <c r="XDE24" s="287"/>
      <c r="XDF24" s="287"/>
      <c r="XDG24" s="287"/>
      <c r="XDH24" s="287"/>
      <c r="XDI24" s="632"/>
      <c r="XDJ24" s="287"/>
      <c r="XDK24" s="633"/>
      <c r="XDL24" s="287"/>
      <c r="XDM24" s="287"/>
      <c r="XDN24" s="287"/>
      <c r="XDO24" s="287"/>
      <c r="XDP24" s="287"/>
      <c r="XDQ24" s="287"/>
      <c r="XDR24" s="287"/>
      <c r="XDS24" s="287"/>
      <c r="XDT24" s="287"/>
      <c r="XDU24" s="287"/>
      <c r="XDV24" s="287"/>
      <c r="XDW24" s="287"/>
      <c r="XDX24" s="287"/>
      <c r="XDY24" s="632"/>
      <c r="XDZ24" s="287"/>
      <c r="XEA24" s="633"/>
      <c r="XEB24" s="287"/>
      <c r="XEC24" s="287"/>
      <c r="XED24" s="287"/>
      <c r="XEE24" s="287"/>
      <c r="XEF24" s="287"/>
      <c r="XEG24" s="287"/>
      <c r="XEH24" s="287"/>
      <c r="XEI24" s="287"/>
      <c r="XEJ24" s="287"/>
      <c r="XEK24" s="287"/>
      <c r="XEL24" s="287"/>
      <c r="XEM24" s="287"/>
      <c r="XEN24" s="287"/>
      <c r="XEO24" s="632"/>
      <c r="XEP24" s="287"/>
      <c r="XEQ24" s="633"/>
      <c r="XER24" s="287"/>
      <c r="XES24" s="287"/>
      <c r="XET24" s="287"/>
      <c r="XEU24" s="287"/>
      <c r="XEV24" s="287"/>
      <c r="XEW24" s="287"/>
      <c r="XEX24" s="287"/>
      <c r="XEY24" s="287"/>
      <c r="XEZ24" s="287"/>
      <c r="XFA24" s="287"/>
      <c r="XFB24" s="287"/>
      <c r="XFC24" s="287"/>
      <c r="XFD24" s="287"/>
    </row>
    <row r="25" spans="1:16384" s="68" customFormat="1" ht="24.6" x14ac:dyDescent="0.4">
      <c r="A25" s="287"/>
      <c r="B25" s="689"/>
      <c r="C25" s="687"/>
      <c r="D25" s="687"/>
      <c r="E25" s="687"/>
      <c r="F25" s="687"/>
      <c r="G25" s="687"/>
      <c r="H25" s="687"/>
      <c r="I25" s="687"/>
      <c r="J25" s="687"/>
      <c r="K25" s="687"/>
      <c r="L25" s="919" t="s">
        <v>228</v>
      </c>
      <c r="M25" s="920" t="s">
        <v>229</v>
      </c>
      <c r="N25" s="920" t="s">
        <v>230</v>
      </c>
      <c r="O25" s="920" t="s">
        <v>231</v>
      </c>
      <c r="P25" s="920" t="s">
        <v>232</v>
      </c>
      <c r="Q25" s="918" t="s">
        <v>178</v>
      </c>
      <c r="R25" s="287"/>
      <c r="S25" s="633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632"/>
      <c r="AH25" s="287"/>
      <c r="AI25" s="633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632"/>
      <c r="AX25" s="287"/>
      <c r="AY25" s="633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7"/>
      <c r="BK25" s="287"/>
      <c r="BL25" s="287"/>
      <c r="BM25" s="632"/>
      <c r="BN25" s="287"/>
      <c r="BO25" s="633"/>
      <c r="BP25" s="287"/>
      <c r="BQ25" s="287"/>
      <c r="BR25" s="287"/>
      <c r="BS25" s="287"/>
      <c r="BT25" s="287"/>
      <c r="BU25" s="287"/>
      <c r="BV25" s="287"/>
      <c r="BW25" s="287"/>
      <c r="BX25" s="287"/>
      <c r="BY25" s="287"/>
      <c r="BZ25" s="287"/>
      <c r="CA25" s="287"/>
      <c r="CB25" s="287"/>
      <c r="CC25" s="632"/>
      <c r="CD25" s="287"/>
      <c r="CE25" s="633"/>
      <c r="CF25" s="287"/>
      <c r="CG25" s="287"/>
      <c r="CH25" s="287"/>
      <c r="CI25" s="287"/>
      <c r="CJ25" s="287"/>
      <c r="CK25" s="287"/>
      <c r="CL25" s="287"/>
      <c r="CM25" s="287"/>
      <c r="CN25" s="287"/>
      <c r="CO25" s="287"/>
      <c r="CP25" s="287"/>
      <c r="CQ25" s="287"/>
      <c r="CR25" s="287"/>
      <c r="CS25" s="632"/>
      <c r="CT25" s="287"/>
      <c r="CU25" s="633"/>
      <c r="CV25" s="287"/>
      <c r="CW25" s="287"/>
      <c r="CX25" s="287"/>
      <c r="CY25" s="287"/>
      <c r="CZ25" s="287"/>
      <c r="DA25" s="287"/>
      <c r="DB25" s="287"/>
      <c r="DC25" s="287"/>
      <c r="DD25" s="287"/>
      <c r="DE25" s="287"/>
      <c r="DF25" s="287"/>
      <c r="DG25" s="287"/>
      <c r="DH25" s="287"/>
      <c r="DI25" s="632"/>
      <c r="DJ25" s="287"/>
      <c r="DK25" s="633"/>
      <c r="DL25" s="287"/>
      <c r="DM25" s="287"/>
      <c r="DN25" s="287"/>
      <c r="DO25" s="287"/>
      <c r="DP25" s="287"/>
      <c r="DQ25" s="287"/>
      <c r="DR25" s="287"/>
      <c r="DS25" s="287"/>
      <c r="DT25" s="287"/>
      <c r="DU25" s="287"/>
      <c r="DV25" s="287"/>
      <c r="DW25" s="287"/>
      <c r="DX25" s="287"/>
      <c r="DY25" s="632"/>
      <c r="DZ25" s="287"/>
      <c r="EA25" s="633"/>
      <c r="EB25" s="287"/>
      <c r="EC25" s="287"/>
      <c r="ED25" s="287"/>
      <c r="EE25" s="287"/>
      <c r="EF25" s="287"/>
      <c r="EG25" s="287"/>
      <c r="EH25" s="287"/>
      <c r="EI25" s="287"/>
      <c r="EJ25" s="287"/>
      <c r="EK25" s="287"/>
      <c r="EL25" s="287"/>
      <c r="EM25" s="287"/>
      <c r="EN25" s="287"/>
      <c r="EO25" s="632"/>
      <c r="EP25" s="287"/>
      <c r="EQ25" s="633"/>
      <c r="ER25" s="287"/>
      <c r="ES25" s="287"/>
      <c r="ET25" s="287"/>
      <c r="EU25" s="287"/>
      <c r="EV25" s="287"/>
      <c r="EW25" s="287"/>
      <c r="EX25" s="287"/>
      <c r="EY25" s="287"/>
      <c r="EZ25" s="287"/>
      <c r="FA25" s="287"/>
      <c r="FB25" s="287"/>
      <c r="FC25" s="287"/>
      <c r="FD25" s="287"/>
      <c r="FE25" s="632"/>
      <c r="FF25" s="287"/>
      <c r="FG25" s="633"/>
      <c r="FH25" s="287"/>
      <c r="FI25" s="287"/>
      <c r="FJ25" s="287"/>
      <c r="FK25" s="287"/>
      <c r="FL25" s="287"/>
      <c r="FM25" s="287"/>
      <c r="FN25" s="287"/>
      <c r="FO25" s="287"/>
      <c r="FP25" s="287"/>
      <c r="FQ25" s="287"/>
      <c r="FR25" s="287"/>
      <c r="FS25" s="287"/>
      <c r="FT25" s="287"/>
      <c r="FU25" s="632"/>
      <c r="FV25" s="287"/>
      <c r="FW25" s="633"/>
      <c r="FX25" s="287"/>
      <c r="FY25" s="287"/>
      <c r="FZ25" s="287"/>
      <c r="GA25" s="287"/>
      <c r="GB25" s="287"/>
      <c r="GC25" s="287"/>
      <c r="GD25" s="287"/>
      <c r="GE25" s="287"/>
      <c r="GF25" s="287"/>
      <c r="GG25" s="287"/>
      <c r="GH25" s="287"/>
      <c r="GI25" s="287"/>
      <c r="GJ25" s="287"/>
      <c r="GK25" s="632"/>
      <c r="GL25" s="287"/>
      <c r="GM25" s="633"/>
      <c r="GN25" s="287"/>
      <c r="GO25" s="287"/>
      <c r="GP25" s="287"/>
      <c r="GQ25" s="287"/>
      <c r="GR25" s="287"/>
      <c r="GS25" s="287"/>
      <c r="GT25" s="287"/>
      <c r="GU25" s="287"/>
      <c r="GV25" s="287"/>
      <c r="GW25" s="287"/>
      <c r="GX25" s="287"/>
      <c r="GY25" s="287"/>
      <c r="GZ25" s="287"/>
      <c r="HA25" s="632"/>
      <c r="HB25" s="287"/>
      <c r="HC25" s="633"/>
      <c r="HD25" s="287"/>
      <c r="HE25" s="287"/>
      <c r="HF25" s="287"/>
      <c r="HG25" s="287"/>
      <c r="HH25" s="287"/>
      <c r="HI25" s="287"/>
      <c r="HJ25" s="287"/>
      <c r="HK25" s="287"/>
      <c r="HL25" s="287"/>
      <c r="HM25" s="287"/>
      <c r="HN25" s="287"/>
      <c r="HO25" s="287"/>
      <c r="HP25" s="287"/>
      <c r="HQ25" s="632"/>
      <c r="HR25" s="287"/>
      <c r="HS25" s="633"/>
      <c r="HT25" s="287"/>
      <c r="HU25" s="287"/>
      <c r="HV25" s="287"/>
      <c r="HW25" s="287"/>
      <c r="HX25" s="287"/>
      <c r="HY25" s="287"/>
      <c r="HZ25" s="287"/>
      <c r="IA25" s="287"/>
      <c r="IB25" s="287"/>
      <c r="IC25" s="287"/>
      <c r="ID25" s="287"/>
      <c r="IE25" s="287"/>
      <c r="IF25" s="287"/>
      <c r="IG25" s="632"/>
      <c r="IH25" s="287"/>
      <c r="II25" s="633"/>
      <c r="IJ25" s="287"/>
      <c r="IK25" s="287"/>
      <c r="IL25" s="287"/>
      <c r="IM25" s="287"/>
      <c r="IN25" s="287"/>
      <c r="IO25" s="287"/>
      <c r="IP25" s="287"/>
      <c r="IQ25" s="287"/>
      <c r="IR25" s="287"/>
      <c r="IS25" s="287"/>
      <c r="IT25" s="287"/>
      <c r="IU25" s="287"/>
      <c r="IV25" s="287"/>
      <c r="IW25" s="632"/>
      <c r="IX25" s="287"/>
      <c r="IY25" s="633"/>
      <c r="IZ25" s="287"/>
      <c r="JA25" s="287"/>
      <c r="JB25" s="287"/>
      <c r="JC25" s="287"/>
      <c r="JD25" s="287"/>
      <c r="JE25" s="287"/>
      <c r="JF25" s="287"/>
      <c r="JG25" s="287"/>
      <c r="JH25" s="287"/>
      <c r="JI25" s="287"/>
      <c r="JJ25" s="287"/>
      <c r="JK25" s="287"/>
      <c r="JL25" s="287"/>
      <c r="JM25" s="632"/>
      <c r="JN25" s="287"/>
      <c r="JO25" s="633"/>
      <c r="JP25" s="287"/>
      <c r="JQ25" s="287"/>
      <c r="JR25" s="287"/>
      <c r="JS25" s="287"/>
      <c r="JT25" s="287"/>
      <c r="JU25" s="287"/>
      <c r="JV25" s="287"/>
      <c r="JW25" s="287"/>
      <c r="JX25" s="287"/>
      <c r="JY25" s="287"/>
      <c r="JZ25" s="287"/>
      <c r="KA25" s="287"/>
      <c r="KB25" s="287"/>
      <c r="KC25" s="632"/>
      <c r="KD25" s="287"/>
      <c r="KE25" s="633"/>
      <c r="KF25" s="287"/>
      <c r="KG25" s="287"/>
      <c r="KH25" s="287"/>
      <c r="KI25" s="287"/>
      <c r="KJ25" s="287"/>
      <c r="KK25" s="287"/>
      <c r="KL25" s="287"/>
      <c r="KM25" s="287"/>
      <c r="KN25" s="287"/>
      <c r="KO25" s="287"/>
      <c r="KP25" s="287"/>
      <c r="KQ25" s="287"/>
      <c r="KR25" s="287"/>
      <c r="KS25" s="632"/>
      <c r="KT25" s="287"/>
      <c r="KU25" s="633"/>
      <c r="KV25" s="287"/>
      <c r="KW25" s="287"/>
      <c r="KX25" s="287"/>
      <c r="KY25" s="287"/>
      <c r="KZ25" s="287"/>
      <c r="LA25" s="287"/>
      <c r="LB25" s="287"/>
      <c r="LC25" s="287"/>
      <c r="LD25" s="287"/>
      <c r="LE25" s="287"/>
      <c r="LF25" s="287"/>
      <c r="LG25" s="287"/>
      <c r="LH25" s="287"/>
      <c r="LI25" s="632"/>
      <c r="LJ25" s="287"/>
      <c r="LK25" s="633"/>
      <c r="LL25" s="287"/>
      <c r="LM25" s="287"/>
      <c r="LN25" s="287"/>
      <c r="LO25" s="287"/>
      <c r="LP25" s="287"/>
      <c r="LQ25" s="287"/>
      <c r="LR25" s="287"/>
      <c r="LS25" s="287"/>
      <c r="LT25" s="287"/>
      <c r="LU25" s="287"/>
      <c r="LV25" s="287"/>
      <c r="LW25" s="287"/>
      <c r="LX25" s="287"/>
      <c r="LY25" s="632"/>
      <c r="LZ25" s="287"/>
      <c r="MA25" s="633"/>
      <c r="MB25" s="287"/>
      <c r="MC25" s="287"/>
      <c r="MD25" s="287"/>
      <c r="ME25" s="287"/>
      <c r="MF25" s="287"/>
      <c r="MG25" s="287"/>
      <c r="MH25" s="287"/>
      <c r="MI25" s="287"/>
      <c r="MJ25" s="287"/>
      <c r="MK25" s="287"/>
      <c r="ML25" s="287"/>
      <c r="MM25" s="287"/>
      <c r="MN25" s="287"/>
      <c r="MO25" s="632"/>
      <c r="MP25" s="287"/>
      <c r="MQ25" s="633"/>
      <c r="MR25" s="287"/>
      <c r="MS25" s="287"/>
      <c r="MT25" s="287"/>
      <c r="MU25" s="287"/>
      <c r="MV25" s="287"/>
      <c r="MW25" s="287"/>
      <c r="MX25" s="287"/>
      <c r="MY25" s="287"/>
      <c r="MZ25" s="287"/>
      <c r="NA25" s="287"/>
      <c r="NB25" s="287"/>
      <c r="NC25" s="287"/>
      <c r="ND25" s="287"/>
      <c r="NE25" s="632"/>
      <c r="NF25" s="287"/>
      <c r="NG25" s="633"/>
      <c r="NH25" s="287"/>
      <c r="NI25" s="287"/>
      <c r="NJ25" s="287"/>
      <c r="NK25" s="287"/>
      <c r="NL25" s="287"/>
      <c r="NM25" s="287"/>
      <c r="NN25" s="287"/>
      <c r="NO25" s="287"/>
      <c r="NP25" s="287"/>
      <c r="NQ25" s="287"/>
      <c r="NR25" s="287"/>
      <c r="NS25" s="287"/>
      <c r="NT25" s="287"/>
      <c r="NU25" s="632"/>
      <c r="NV25" s="287"/>
      <c r="NW25" s="633"/>
      <c r="NX25" s="287"/>
      <c r="NY25" s="287"/>
      <c r="NZ25" s="287"/>
      <c r="OA25" s="287"/>
      <c r="OB25" s="287"/>
      <c r="OC25" s="287"/>
      <c r="OD25" s="287"/>
      <c r="OE25" s="287"/>
      <c r="OF25" s="287"/>
      <c r="OG25" s="287"/>
      <c r="OH25" s="287"/>
      <c r="OI25" s="287"/>
      <c r="OJ25" s="287"/>
      <c r="OK25" s="632"/>
      <c r="OL25" s="287"/>
      <c r="OM25" s="633"/>
      <c r="ON25" s="287"/>
      <c r="OO25" s="287"/>
      <c r="OP25" s="287"/>
      <c r="OQ25" s="287"/>
      <c r="OR25" s="287"/>
      <c r="OS25" s="287"/>
      <c r="OT25" s="287"/>
      <c r="OU25" s="287"/>
      <c r="OV25" s="287"/>
      <c r="OW25" s="287"/>
      <c r="OX25" s="287"/>
      <c r="OY25" s="287"/>
      <c r="OZ25" s="287"/>
      <c r="PA25" s="632"/>
      <c r="PB25" s="287"/>
      <c r="PC25" s="633"/>
      <c r="PD25" s="287"/>
      <c r="PE25" s="287"/>
      <c r="PF25" s="287"/>
      <c r="PG25" s="287"/>
      <c r="PH25" s="287"/>
      <c r="PI25" s="287"/>
      <c r="PJ25" s="287"/>
      <c r="PK25" s="287"/>
      <c r="PL25" s="287"/>
      <c r="PM25" s="287"/>
      <c r="PN25" s="287"/>
      <c r="PO25" s="287"/>
      <c r="PP25" s="287"/>
      <c r="PQ25" s="632"/>
      <c r="PR25" s="287"/>
      <c r="PS25" s="633"/>
      <c r="PT25" s="287"/>
      <c r="PU25" s="287"/>
      <c r="PV25" s="287"/>
      <c r="PW25" s="287"/>
      <c r="PX25" s="287"/>
      <c r="PY25" s="287"/>
      <c r="PZ25" s="287"/>
      <c r="QA25" s="287"/>
      <c r="QB25" s="287"/>
      <c r="QC25" s="287"/>
      <c r="QD25" s="287"/>
      <c r="QE25" s="287"/>
      <c r="QF25" s="287"/>
      <c r="QG25" s="632"/>
      <c r="QH25" s="287"/>
      <c r="QI25" s="633"/>
      <c r="QJ25" s="287"/>
      <c r="QK25" s="287"/>
      <c r="QL25" s="287"/>
      <c r="QM25" s="287"/>
      <c r="QN25" s="287"/>
      <c r="QO25" s="287"/>
      <c r="QP25" s="287"/>
      <c r="QQ25" s="287"/>
      <c r="QR25" s="287"/>
      <c r="QS25" s="287"/>
      <c r="QT25" s="287"/>
      <c r="QU25" s="287"/>
      <c r="QV25" s="287"/>
      <c r="QW25" s="632"/>
      <c r="QX25" s="287"/>
      <c r="QY25" s="633"/>
      <c r="QZ25" s="287"/>
      <c r="RA25" s="287"/>
      <c r="RB25" s="287"/>
      <c r="RC25" s="287"/>
      <c r="RD25" s="287"/>
      <c r="RE25" s="287"/>
      <c r="RF25" s="287"/>
      <c r="RG25" s="287"/>
      <c r="RH25" s="287"/>
      <c r="RI25" s="287"/>
      <c r="RJ25" s="287"/>
      <c r="RK25" s="287"/>
      <c r="RL25" s="287"/>
      <c r="RM25" s="632"/>
      <c r="RN25" s="287"/>
      <c r="RO25" s="633"/>
      <c r="RP25" s="287"/>
      <c r="RQ25" s="287"/>
      <c r="RR25" s="287"/>
      <c r="RS25" s="287"/>
      <c r="RT25" s="287"/>
      <c r="RU25" s="287"/>
      <c r="RV25" s="287"/>
      <c r="RW25" s="287"/>
      <c r="RX25" s="287"/>
      <c r="RY25" s="287"/>
      <c r="RZ25" s="287"/>
      <c r="SA25" s="287"/>
      <c r="SB25" s="287"/>
      <c r="SC25" s="632"/>
      <c r="SD25" s="287"/>
      <c r="SE25" s="633"/>
      <c r="SF25" s="287"/>
      <c r="SG25" s="287"/>
      <c r="SH25" s="287"/>
      <c r="SI25" s="287"/>
      <c r="SJ25" s="287"/>
      <c r="SK25" s="287"/>
      <c r="SL25" s="287"/>
      <c r="SM25" s="287"/>
      <c r="SN25" s="287"/>
      <c r="SO25" s="287"/>
      <c r="SP25" s="287"/>
      <c r="SQ25" s="287"/>
      <c r="SR25" s="287"/>
      <c r="SS25" s="632"/>
      <c r="ST25" s="287"/>
      <c r="SU25" s="633"/>
      <c r="SV25" s="287"/>
      <c r="SW25" s="287"/>
      <c r="SX25" s="287"/>
      <c r="SY25" s="287"/>
      <c r="SZ25" s="287"/>
      <c r="TA25" s="287"/>
      <c r="TB25" s="287"/>
      <c r="TC25" s="287"/>
      <c r="TD25" s="287"/>
      <c r="TE25" s="287"/>
      <c r="TF25" s="287"/>
      <c r="TG25" s="287"/>
      <c r="TH25" s="287"/>
      <c r="TI25" s="632"/>
      <c r="TJ25" s="287"/>
      <c r="TK25" s="633"/>
      <c r="TL25" s="287"/>
      <c r="TM25" s="287"/>
      <c r="TN25" s="287"/>
      <c r="TO25" s="287"/>
      <c r="TP25" s="287"/>
      <c r="TQ25" s="287"/>
      <c r="TR25" s="287"/>
      <c r="TS25" s="287"/>
      <c r="TT25" s="287"/>
      <c r="TU25" s="287"/>
      <c r="TV25" s="287"/>
      <c r="TW25" s="287"/>
      <c r="TX25" s="287"/>
      <c r="TY25" s="632"/>
      <c r="TZ25" s="287"/>
      <c r="UA25" s="633"/>
      <c r="UB25" s="287"/>
      <c r="UC25" s="287"/>
      <c r="UD25" s="287"/>
      <c r="UE25" s="287"/>
      <c r="UF25" s="287"/>
      <c r="UG25" s="287"/>
      <c r="UH25" s="287"/>
      <c r="UI25" s="287"/>
      <c r="UJ25" s="287"/>
      <c r="UK25" s="287"/>
      <c r="UL25" s="287"/>
      <c r="UM25" s="287"/>
      <c r="UN25" s="287"/>
      <c r="UO25" s="632"/>
      <c r="UP25" s="287"/>
      <c r="UQ25" s="633"/>
      <c r="UR25" s="287"/>
      <c r="US25" s="287"/>
      <c r="UT25" s="287"/>
      <c r="UU25" s="287"/>
      <c r="UV25" s="287"/>
      <c r="UW25" s="287"/>
      <c r="UX25" s="287"/>
      <c r="UY25" s="287"/>
      <c r="UZ25" s="287"/>
      <c r="VA25" s="287"/>
      <c r="VB25" s="287"/>
      <c r="VC25" s="287"/>
      <c r="VD25" s="287"/>
      <c r="VE25" s="632"/>
      <c r="VF25" s="287"/>
      <c r="VG25" s="633"/>
      <c r="VH25" s="287"/>
      <c r="VI25" s="287"/>
      <c r="VJ25" s="287"/>
      <c r="VK25" s="287"/>
      <c r="VL25" s="287"/>
      <c r="VM25" s="287"/>
      <c r="VN25" s="287"/>
      <c r="VO25" s="287"/>
      <c r="VP25" s="287"/>
      <c r="VQ25" s="287"/>
      <c r="VR25" s="287"/>
      <c r="VS25" s="287"/>
      <c r="VT25" s="287"/>
      <c r="VU25" s="632"/>
      <c r="VV25" s="287"/>
      <c r="VW25" s="633"/>
      <c r="VX25" s="287"/>
      <c r="VY25" s="287"/>
      <c r="VZ25" s="287"/>
      <c r="WA25" s="287"/>
      <c r="WB25" s="287"/>
      <c r="WC25" s="287"/>
      <c r="WD25" s="287"/>
      <c r="WE25" s="287"/>
      <c r="WF25" s="287"/>
      <c r="WG25" s="287"/>
      <c r="WH25" s="287"/>
      <c r="WI25" s="287"/>
      <c r="WJ25" s="287"/>
      <c r="WK25" s="632"/>
      <c r="WL25" s="287"/>
      <c r="WM25" s="633"/>
      <c r="WN25" s="287"/>
      <c r="WO25" s="287"/>
      <c r="WP25" s="287"/>
      <c r="WQ25" s="287"/>
      <c r="WR25" s="287"/>
      <c r="WS25" s="287"/>
      <c r="WT25" s="287"/>
      <c r="WU25" s="287"/>
      <c r="WV25" s="287"/>
      <c r="WW25" s="287"/>
      <c r="WX25" s="287"/>
      <c r="WY25" s="287"/>
      <c r="WZ25" s="287"/>
      <c r="XA25" s="632"/>
      <c r="XB25" s="287"/>
      <c r="XC25" s="633"/>
      <c r="XD25" s="287"/>
      <c r="XE25" s="287"/>
      <c r="XF25" s="287"/>
      <c r="XG25" s="287"/>
      <c r="XH25" s="287"/>
      <c r="XI25" s="287"/>
      <c r="XJ25" s="287"/>
      <c r="XK25" s="287"/>
      <c r="XL25" s="287"/>
      <c r="XM25" s="287"/>
      <c r="XN25" s="287"/>
      <c r="XO25" s="287"/>
      <c r="XP25" s="287"/>
      <c r="XQ25" s="632"/>
      <c r="XR25" s="287"/>
      <c r="XS25" s="633"/>
      <c r="XT25" s="287"/>
      <c r="XU25" s="287"/>
      <c r="XV25" s="287"/>
      <c r="XW25" s="287"/>
      <c r="XX25" s="287"/>
      <c r="XY25" s="287"/>
      <c r="XZ25" s="287"/>
      <c r="YA25" s="287"/>
      <c r="YB25" s="287"/>
      <c r="YC25" s="287"/>
      <c r="YD25" s="287"/>
      <c r="YE25" s="287"/>
      <c r="YF25" s="287"/>
      <c r="YG25" s="632"/>
      <c r="YH25" s="287"/>
      <c r="YI25" s="633"/>
      <c r="YJ25" s="287"/>
      <c r="YK25" s="287"/>
      <c r="YL25" s="287"/>
      <c r="YM25" s="287"/>
      <c r="YN25" s="287"/>
      <c r="YO25" s="287"/>
      <c r="YP25" s="287"/>
      <c r="YQ25" s="287"/>
      <c r="YR25" s="287"/>
      <c r="YS25" s="287"/>
      <c r="YT25" s="287"/>
      <c r="YU25" s="287"/>
      <c r="YV25" s="287"/>
      <c r="YW25" s="632"/>
      <c r="YX25" s="287"/>
      <c r="YY25" s="633"/>
      <c r="YZ25" s="287"/>
      <c r="ZA25" s="287"/>
      <c r="ZB25" s="287"/>
      <c r="ZC25" s="287"/>
      <c r="ZD25" s="287"/>
      <c r="ZE25" s="287"/>
      <c r="ZF25" s="287"/>
      <c r="ZG25" s="287"/>
      <c r="ZH25" s="287"/>
      <c r="ZI25" s="287"/>
      <c r="ZJ25" s="287"/>
      <c r="ZK25" s="287"/>
      <c r="ZL25" s="287"/>
      <c r="ZM25" s="632"/>
      <c r="ZN25" s="287"/>
      <c r="ZO25" s="633"/>
      <c r="ZP25" s="287"/>
      <c r="ZQ25" s="287"/>
      <c r="ZR25" s="287"/>
      <c r="ZS25" s="287"/>
      <c r="ZT25" s="287"/>
      <c r="ZU25" s="287"/>
      <c r="ZV25" s="287"/>
      <c r="ZW25" s="287"/>
      <c r="ZX25" s="287"/>
      <c r="ZY25" s="287"/>
      <c r="ZZ25" s="287"/>
      <c r="AAA25" s="287"/>
      <c r="AAB25" s="287"/>
      <c r="AAC25" s="632"/>
      <c r="AAD25" s="287"/>
      <c r="AAE25" s="633"/>
      <c r="AAF25" s="287"/>
      <c r="AAG25" s="287"/>
      <c r="AAH25" s="287"/>
      <c r="AAI25" s="287"/>
      <c r="AAJ25" s="287"/>
      <c r="AAK25" s="287"/>
      <c r="AAL25" s="287"/>
      <c r="AAM25" s="287"/>
      <c r="AAN25" s="287"/>
      <c r="AAO25" s="287"/>
      <c r="AAP25" s="287"/>
      <c r="AAQ25" s="287"/>
      <c r="AAR25" s="287"/>
      <c r="AAS25" s="632"/>
      <c r="AAT25" s="287"/>
      <c r="AAU25" s="633"/>
      <c r="AAV25" s="287"/>
      <c r="AAW25" s="287"/>
      <c r="AAX25" s="287"/>
      <c r="AAY25" s="287"/>
      <c r="AAZ25" s="287"/>
      <c r="ABA25" s="287"/>
      <c r="ABB25" s="287"/>
      <c r="ABC25" s="287"/>
      <c r="ABD25" s="287"/>
      <c r="ABE25" s="287"/>
      <c r="ABF25" s="287"/>
      <c r="ABG25" s="287"/>
      <c r="ABH25" s="287"/>
      <c r="ABI25" s="632"/>
      <c r="ABJ25" s="287"/>
      <c r="ABK25" s="633"/>
      <c r="ABL25" s="287"/>
      <c r="ABM25" s="287"/>
      <c r="ABN25" s="287"/>
      <c r="ABO25" s="287"/>
      <c r="ABP25" s="287"/>
      <c r="ABQ25" s="287"/>
      <c r="ABR25" s="287"/>
      <c r="ABS25" s="287"/>
      <c r="ABT25" s="287"/>
      <c r="ABU25" s="287"/>
      <c r="ABV25" s="287"/>
      <c r="ABW25" s="287"/>
      <c r="ABX25" s="287"/>
      <c r="ABY25" s="632"/>
      <c r="ABZ25" s="287"/>
      <c r="ACA25" s="633"/>
      <c r="ACB25" s="287"/>
      <c r="ACC25" s="287"/>
      <c r="ACD25" s="287"/>
      <c r="ACE25" s="287"/>
      <c r="ACF25" s="287"/>
      <c r="ACG25" s="287"/>
      <c r="ACH25" s="287"/>
      <c r="ACI25" s="287"/>
      <c r="ACJ25" s="287"/>
      <c r="ACK25" s="287"/>
      <c r="ACL25" s="287"/>
      <c r="ACM25" s="287"/>
      <c r="ACN25" s="287"/>
      <c r="ACO25" s="632"/>
      <c r="ACP25" s="287"/>
      <c r="ACQ25" s="633"/>
      <c r="ACR25" s="287"/>
      <c r="ACS25" s="287"/>
      <c r="ACT25" s="287"/>
      <c r="ACU25" s="287"/>
      <c r="ACV25" s="287"/>
      <c r="ACW25" s="287"/>
      <c r="ACX25" s="287"/>
      <c r="ACY25" s="287"/>
      <c r="ACZ25" s="287"/>
      <c r="ADA25" s="287"/>
      <c r="ADB25" s="287"/>
      <c r="ADC25" s="287"/>
      <c r="ADD25" s="287"/>
      <c r="ADE25" s="632"/>
      <c r="ADF25" s="287"/>
      <c r="ADG25" s="633"/>
      <c r="ADH25" s="287"/>
      <c r="ADI25" s="287"/>
      <c r="ADJ25" s="287"/>
      <c r="ADK25" s="287"/>
      <c r="ADL25" s="287"/>
      <c r="ADM25" s="287"/>
      <c r="ADN25" s="287"/>
      <c r="ADO25" s="287"/>
      <c r="ADP25" s="287"/>
      <c r="ADQ25" s="287"/>
      <c r="ADR25" s="287"/>
      <c r="ADS25" s="287"/>
      <c r="ADT25" s="287"/>
      <c r="ADU25" s="632"/>
      <c r="ADV25" s="287"/>
      <c r="ADW25" s="633"/>
      <c r="ADX25" s="287"/>
      <c r="ADY25" s="287"/>
      <c r="ADZ25" s="287"/>
      <c r="AEA25" s="287"/>
      <c r="AEB25" s="287"/>
      <c r="AEC25" s="287"/>
      <c r="AED25" s="287"/>
      <c r="AEE25" s="287"/>
      <c r="AEF25" s="287"/>
      <c r="AEG25" s="287"/>
      <c r="AEH25" s="287"/>
      <c r="AEI25" s="287"/>
      <c r="AEJ25" s="287"/>
      <c r="AEK25" s="632"/>
      <c r="AEL25" s="287"/>
      <c r="AEM25" s="633"/>
      <c r="AEN25" s="287"/>
      <c r="AEO25" s="287"/>
      <c r="AEP25" s="287"/>
      <c r="AEQ25" s="287"/>
      <c r="AER25" s="287"/>
      <c r="AES25" s="287"/>
      <c r="AET25" s="287"/>
      <c r="AEU25" s="287"/>
      <c r="AEV25" s="287"/>
      <c r="AEW25" s="287"/>
      <c r="AEX25" s="287"/>
      <c r="AEY25" s="287"/>
      <c r="AEZ25" s="287"/>
      <c r="AFA25" s="632"/>
      <c r="AFB25" s="287"/>
      <c r="AFC25" s="633"/>
      <c r="AFD25" s="287"/>
      <c r="AFE25" s="287"/>
      <c r="AFF25" s="287"/>
      <c r="AFG25" s="287"/>
      <c r="AFH25" s="287"/>
      <c r="AFI25" s="287"/>
      <c r="AFJ25" s="287"/>
      <c r="AFK25" s="287"/>
      <c r="AFL25" s="287"/>
      <c r="AFM25" s="287"/>
      <c r="AFN25" s="287"/>
      <c r="AFO25" s="287"/>
      <c r="AFP25" s="287"/>
      <c r="AFQ25" s="632"/>
      <c r="AFR25" s="287"/>
      <c r="AFS25" s="633"/>
      <c r="AFT25" s="287"/>
      <c r="AFU25" s="287"/>
      <c r="AFV25" s="287"/>
      <c r="AFW25" s="287"/>
      <c r="AFX25" s="287"/>
      <c r="AFY25" s="287"/>
      <c r="AFZ25" s="287"/>
      <c r="AGA25" s="287"/>
      <c r="AGB25" s="287"/>
      <c r="AGC25" s="287"/>
      <c r="AGD25" s="287"/>
      <c r="AGE25" s="287"/>
      <c r="AGF25" s="287"/>
      <c r="AGG25" s="632"/>
      <c r="AGH25" s="287"/>
      <c r="AGI25" s="633"/>
      <c r="AGJ25" s="287"/>
      <c r="AGK25" s="287"/>
      <c r="AGL25" s="287"/>
      <c r="AGM25" s="287"/>
      <c r="AGN25" s="287"/>
      <c r="AGO25" s="287"/>
      <c r="AGP25" s="287"/>
      <c r="AGQ25" s="287"/>
      <c r="AGR25" s="287"/>
      <c r="AGS25" s="287"/>
      <c r="AGT25" s="287"/>
      <c r="AGU25" s="287"/>
      <c r="AGV25" s="287"/>
      <c r="AGW25" s="632"/>
      <c r="AGX25" s="287"/>
      <c r="AGY25" s="633"/>
      <c r="AGZ25" s="287"/>
      <c r="AHA25" s="287"/>
      <c r="AHB25" s="287"/>
      <c r="AHC25" s="287"/>
      <c r="AHD25" s="287"/>
      <c r="AHE25" s="287"/>
      <c r="AHF25" s="287"/>
      <c r="AHG25" s="287"/>
      <c r="AHH25" s="287"/>
      <c r="AHI25" s="287"/>
      <c r="AHJ25" s="287"/>
      <c r="AHK25" s="287"/>
      <c r="AHL25" s="287"/>
      <c r="AHM25" s="632"/>
      <c r="AHN25" s="287"/>
      <c r="AHO25" s="633"/>
      <c r="AHP25" s="287"/>
      <c r="AHQ25" s="287"/>
      <c r="AHR25" s="287"/>
      <c r="AHS25" s="287"/>
      <c r="AHT25" s="287"/>
      <c r="AHU25" s="287"/>
      <c r="AHV25" s="287"/>
      <c r="AHW25" s="287"/>
      <c r="AHX25" s="287"/>
      <c r="AHY25" s="287"/>
      <c r="AHZ25" s="287"/>
      <c r="AIA25" s="287"/>
      <c r="AIB25" s="287"/>
      <c r="AIC25" s="632"/>
      <c r="AID25" s="287"/>
      <c r="AIE25" s="633"/>
      <c r="AIF25" s="287"/>
      <c r="AIG25" s="287"/>
      <c r="AIH25" s="287"/>
      <c r="AII25" s="287"/>
      <c r="AIJ25" s="287"/>
      <c r="AIK25" s="287"/>
      <c r="AIL25" s="287"/>
      <c r="AIM25" s="287"/>
      <c r="AIN25" s="287"/>
      <c r="AIO25" s="287"/>
      <c r="AIP25" s="287"/>
      <c r="AIQ25" s="287"/>
      <c r="AIR25" s="287"/>
      <c r="AIS25" s="632"/>
      <c r="AIT25" s="287"/>
      <c r="AIU25" s="633"/>
      <c r="AIV25" s="287"/>
      <c r="AIW25" s="287"/>
      <c r="AIX25" s="287"/>
      <c r="AIY25" s="287"/>
      <c r="AIZ25" s="287"/>
      <c r="AJA25" s="287"/>
      <c r="AJB25" s="287"/>
      <c r="AJC25" s="287"/>
      <c r="AJD25" s="287"/>
      <c r="AJE25" s="287"/>
      <c r="AJF25" s="287"/>
      <c r="AJG25" s="287"/>
      <c r="AJH25" s="287"/>
      <c r="AJI25" s="632"/>
      <c r="AJJ25" s="287"/>
      <c r="AJK25" s="633"/>
      <c r="AJL25" s="287"/>
      <c r="AJM25" s="287"/>
      <c r="AJN25" s="287"/>
      <c r="AJO25" s="287"/>
      <c r="AJP25" s="287"/>
      <c r="AJQ25" s="287"/>
      <c r="AJR25" s="287"/>
      <c r="AJS25" s="287"/>
      <c r="AJT25" s="287"/>
      <c r="AJU25" s="287"/>
      <c r="AJV25" s="287"/>
      <c r="AJW25" s="287"/>
      <c r="AJX25" s="287"/>
      <c r="AJY25" s="632"/>
      <c r="AJZ25" s="287"/>
      <c r="AKA25" s="633"/>
      <c r="AKB25" s="287"/>
      <c r="AKC25" s="287"/>
      <c r="AKD25" s="287"/>
      <c r="AKE25" s="287"/>
      <c r="AKF25" s="287"/>
      <c r="AKG25" s="287"/>
      <c r="AKH25" s="287"/>
      <c r="AKI25" s="287"/>
      <c r="AKJ25" s="287"/>
      <c r="AKK25" s="287"/>
      <c r="AKL25" s="287"/>
      <c r="AKM25" s="287"/>
      <c r="AKN25" s="287"/>
      <c r="AKO25" s="632"/>
      <c r="AKP25" s="287"/>
      <c r="AKQ25" s="633"/>
      <c r="AKR25" s="287"/>
      <c r="AKS25" s="287"/>
      <c r="AKT25" s="287"/>
      <c r="AKU25" s="287"/>
      <c r="AKV25" s="287"/>
      <c r="AKW25" s="287"/>
      <c r="AKX25" s="287"/>
      <c r="AKY25" s="287"/>
      <c r="AKZ25" s="287"/>
      <c r="ALA25" s="287"/>
      <c r="ALB25" s="287"/>
      <c r="ALC25" s="287"/>
      <c r="ALD25" s="287"/>
      <c r="ALE25" s="632"/>
      <c r="ALF25" s="287"/>
      <c r="ALG25" s="633"/>
      <c r="ALH25" s="287"/>
      <c r="ALI25" s="287"/>
      <c r="ALJ25" s="287"/>
      <c r="ALK25" s="287"/>
      <c r="ALL25" s="287"/>
      <c r="ALM25" s="287"/>
      <c r="ALN25" s="287"/>
      <c r="ALO25" s="287"/>
      <c r="ALP25" s="287"/>
      <c r="ALQ25" s="287"/>
      <c r="ALR25" s="287"/>
      <c r="ALS25" s="287"/>
      <c r="ALT25" s="287"/>
      <c r="ALU25" s="632"/>
      <c r="ALV25" s="287"/>
      <c r="ALW25" s="633"/>
      <c r="ALX25" s="287"/>
      <c r="ALY25" s="287"/>
      <c r="ALZ25" s="287"/>
      <c r="AMA25" s="287"/>
      <c r="AMB25" s="287"/>
      <c r="AMC25" s="287"/>
      <c r="AMD25" s="287"/>
      <c r="AME25" s="287"/>
      <c r="AMF25" s="287"/>
      <c r="AMG25" s="287"/>
      <c r="AMH25" s="287"/>
      <c r="AMI25" s="287"/>
      <c r="AMJ25" s="287"/>
      <c r="AMK25" s="632"/>
      <c r="AML25" s="287"/>
      <c r="AMM25" s="633"/>
      <c r="AMN25" s="287"/>
      <c r="AMO25" s="287"/>
      <c r="AMP25" s="287"/>
      <c r="AMQ25" s="287"/>
      <c r="AMR25" s="287"/>
      <c r="AMS25" s="287"/>
      <c r="AMT25" s="287"/>
      <c r="AMU25" s="287"/>
      <c r="AMV25" s="287"/>
      <c r="AMW25" s="287"/>
      <c r="AMX25" s="287"/>
      <c r="AMY25" s="287"/>
      <c r="AMZ25" s="287"/>
      <c r="ANA25" s="632"/>
      <c r="ANB25" s="287"/>
      <c r="ANC25" s="633"/>
      <c r="AND25" s="287"/>
      <c r="ANE25" s="287"/>
      <c r="ANF25" s="287"/>
      <c r="ANG25" s="287"/>
      <c r="ANH25" s="287"/>
      <c r="ANI25" s="287"/>
      <c r="ANJ25" s="287"/>
      <c r="ANK25" s="287"/>
      <c r="ANL25" s="287"/>
      <c r="ANM25" s="287"/>
      <c r="ANN25" s="287"/>
      <c r="ANO25" s="287"/>
      <c r="ANP25" s="287"/>
      <c r="ANQ25" s="632"/>
      <c r="ANR25" s="287"/>
      <c r="ANS25" s="633"/>
      <c r="ANT25" s="287"/>
      <c r="ANU25" s="287"/>
      <c r="ANV25" s="287"/>
      <c r="ANW25" s="287"/>
      <c r="ANX25" s="287"/>
      <c r="ANY25" s="287"/>
      <c r="ANZ25" s="287"/>
      <c r="AOA25" s="287"/>
      <c r="AOB25" s="287"/>
      <c r="AOC25" s="287"/>
      <c r="AOD25" s="287"/>
      <c r="AOE25" s="287"/>
      <c r="AOF25" s="287"/>
      <c r="AOG25" s="632"/>
      <c r="AOH25" s="287"/>
      <c r="AOI25" s="633"/>
      <c r="AOJ25" s="287"/>
      <c r="AOK25" s="287"/>
      <c r="AOL25" s="287"/>
      <c r="AOM25" s="287"/>
      <c r="AON25" s="287"/>
      <c r="AOO25" s="287"/>
      <c r="AOP25" s="287"/>
      <c r="AOQ25" s="287"/>
      <c r="AOR25" s="287"/>
      <c r="AOS25" s="287"/>
      <c r="AOT25" s="287"/>
      <c r="AOU25" s="287"/>
      <c r="AOV25" s="287"/>
      <c r="AOW25" s="632"/>
      <c r="AOX25" s="287"/>
      <c r="AOY25" s="633"/>
      <c r="AOZ25" s="287"/>
      <c r="APA25" s="287"/>
      <c r="APB25" s="287"/>
      <c r="APC25" s="287"/>
      <c r="APD25" s="287"/>
      <c r="APE25" s="287"/>
      <c r="APF25" s="287"/>
      <c r="APG25" s="287"/>
      <c r="APH25" s="287"/>
      <c r="API25" s="287"/>
      <c r="APJ25" s="287"/>
      <c r="APK25" s="287"/>
      <c r="APL25" s="287"/>
      <c r="APM25" s="632"/>
      <c r="APN25" s="287"/>
      <c r="APO25" s="633"/>
      <c r="APP25" s="287"/>
      <c r="APQ25" s="287"/>
      <c r="APR25" s="287"/>
      <c r="APS25" s="287"/>
      <c r="APT25" s="287"/>
      <c r="APU25" s="287"/>
      <c r="APV25" s="287"/>
      <c r="APW25" s="287"/>
      <c r="APX25" s="287"/>
      <c r="APY25" s="287"/>
      <c r="APZ25" s="287"/>
      <c r="AQA25" s="287"/>
      <c r="AQB25" s="287"/>
      <c r="AQC25" s="632"/>
      <c r="AQD25" s="287"/>
      <c r="AQE25" s="633"/>
      <c r="AQF25" s="287"/>
      <c r="AQG25" s="287"/>
      <c r="AQH25" s="287"/>
      <c r="AQI25" s="287"/>
      <c r="AQJ25" s="287"/>
      <c r="AQK25" s="287"/>
      <c r="AQL25" s="287"/>
      <c r="AQM25" s="287"/>
      <c r="AQN25" s="287"/>
      <c r="AQO25" s="287"/>
      <c r="AQP25" s="287"/>
      <c r="AQQ25" s="287"/>
      <c r="AQR25" s="287"/>
      <c r="AQS25" s="632"/>
      <c r="AQT25" s="287"/>
      <c r="AQU25" s="633"/>
      <c r="AQV25" s="287"/>
      <c r="AQW25" s="287"/>
      <c r="AQX25" s="287"/>
      <c r="AQY25" s="287"/>
      <c r="AQZ25" s="287"/>
      <c r="ARA25" s="287"/>
      <c r="ARB25" s="287"/>
      <c r="ARC25" s="287"/>
      <c r="ARD25" s="287"/>
      <c r="ARE25" s="287"/>
      <c r="ARF25" s="287"/>
      <c r="ARG25" s="287"/>
      <c r="ARH25" s="287"/>
      <c r="ARI25" s="632"/>
      <c r="ARJ25" s="287"/>
      <c r="ARK25" s="633"/>
      <c r="ARL25" s="287"/>
      <c r="ARM25" s="287"/>
      <c r="ARN25" s="287"/>
      <c r="ARO25" s="287"/>
      <c r="ARP25" s="287"/>
      <c r="ARQ25" s="287"/>
      <c r="ARR25" s="287"/>
      <c r="ARS25" s="287"/>
      <c r="ART25" s="287"/>
      <c r="ARU25" s="287"/>
      <c r="ARV25" s="287"/>
      <c r="ARW25" s="287"/>
      <c r="ARX25" s="287"/>
      <c r="ARY25" s="632"/>
      <c r="ARZ25" s="287"/>
      <c r="ASA25" s="633"/>
      <c r="ASB25" s="287"/>
      <c r="ASC25" s="287"/>
      <c r="ASD25" s="287"/>
      <c r="ASE25" s="287"/>
      <c r="ASF25" s="287"/>
      <c r="ASG25" s="287"/>
      <c r="ASH25" s="287"/>
      <c r="ASI25" s="287"/>
      <c r="ASJ25" s="287"/>
      <c r="ASK25" s="287"/>
      <c r="ASL25" s="287"/>
      <c r="ASM25" s="287"/>
      <c r="ASN25" s="287"/>
      <c r="ASO25" s="632"/>
      <c r="ASP25" s="287"/>
      <c r="ASQ25" s="633"/>
      <c r="ASR25" s="287"/>
      <c r="ASS25" s="287"/>
      <c r="AST25" s="287"/>
      <c r="ASU25" s="287"/>
      <c r="ASV25" s="287"/>
      <c r="ASW25" s="287"/>
      <c r="ASX25" s="287"/>
      <c r="ASY25" s="287"/>
      <c r="ASZ25" s="287"/>
      <c r="ATA25" s="287"/>
      <c r="ATB25" s="287"/>
      <c r="ATC25" s="287"/>
      <c r="ATD25" s="287"/>
      <c r="ATE25" s="632"/>
      <c r="ATF25" s="287"/>
      <c r="ATG25" s="633"/>
      <c r="ATH25" s="287"/>
      <c r="ATI25" s="287"/>
      <c r="ATJ25" s="287"/>
      <c r="ATK25" s="287"/>
      <c r="ATL25" s="287"/>
      <c r="ATM25" s="287"/>
      <c r="ATN25" s="287"/>
      <c r="ATO25" s="287"/>
      <c r="ATP25" s="287"/>
      <c r="ATQ25" s="287"/>
      <c r="ATR25" s="287"/>
      <c r="ATS25" s="287"/>
      <c r="ATT25" s="287"/>
      <c r="ATU25" s="632"/>
      <c r="ATV25" s="287"/>
      <c r="ATW25" s="633"/>
      <c r="ATX25" s="287"/>
      <c r="ATY25" s="287"/>
      <c r="ATZ25" s="287"/>
      <c r="AUA25" s="287"/>
      <c r="AUB25" s="287"/>
      <c r="AUC25" s="287"/>
      <c r="AUD25" s="287"/>
      <c r="AUE25" s="287"/>
      <c r="AUF25" s="287"/>
      <c r="AUG25" s="287"/>
      <c r="AUH25" s="287"/>
      <c r="AUI25" s="287"/>
      <c r="AUJ25" s="287"/>
      <c r="AUK25" s="632"/>
      <c r="AUL25" s="287"/>
      <c r="AUM25" s="633"/>
      <c r="AUN25" s="287"/>
      <c r="AUO25" s="287"/>
      <c r="AUP25" s="287"/>
      <c r="AUQ25" s="287"/>
      <c r="AUR25" s="287"/>
      <c r="AUS25" s="287"/>
      <c r="AUT25" s="287"/>
      <c r="AUU25" s="287"/>
      <c r="AUV25" s="287"/>
      <c r="AUW25" s="287"/>
      <c r="AUX25" s="287"/>
      <c r="AUY25" s="287"/>
      <c r="AUZ25" s="287"/>
      <c r="AVA25" s="632"/>
      <c r="AVB25" s="287"/>
      <c r="AVC25" s="633"/>
      <c r="AVD25" s="287"/>
      <c r="AVE25" s="287"/>
      <c r="AVF25" s="287"/>
      <c r="AVG25" s="287"/>
      <c r="AVH25" s="287"/>
      <c r="AVI25" s="287"/>
      <c r="AVJ25" s="287"/>
      <c r="AVK25" s="287"/>
      <c r="AVL25" s="287"/>
      <c r="AVM25" s="287"/>
      <c r="AVN25" s="287"/>
      <c r="AVO25" s="287"/>
      <c r="AVP25" s="287"/>
      <c r="AVQ25" s="632"/>
      <c r="AVR25" s="287"/>
      <c r="AVS25" s="633"/>
      <c r="AVT25" s="287"/>
      <c r="AVU25" s="287"/>
      <c r="AVV25" s="287"/>
      <c r="AVW25" s="287"/>
      <c r="AVX25" s="287"/>
      <c r="AVY25" s="287"/>
      <c r="AVZ25" s="287"/>
      <c r="AWA25" s="287"/>
      <c r="AWB25" s="287"/>
      <c r="AWC25" s="287"/>
      <c r="AWD25" s="287"/>
      <c r="AWE25" s="287"/>
      <c r="AWF25" s="287"/>
      <c r="AWG25" s="632"/>
      <c r="AWH25" s="287"/>
      <c r="AWI25" s="633"/>
      <c r="AWJ25" s="287"/>
      <c r="AWK25" s="287"/>
      <c r="AWL25" s="287"/>
      <c r="AWM25" s="287"/>
      <c r="AWN25" s="287"/>
      <c r="AWO25" s="287"/>
      <c r="AWP25" s="287"/>
      <c r="AWQ25" s="287"/>
      <c r="AWR25" s="287"/>
      <c r="AWS25" s="287"/>
      <c r="AWT25" s="287"/>
      <c r="AWU25" s="287"/>
      <c r="AWV25" s="287"/>
      <c r="AWW25" s="632"/>
      <c r="AWX25" s="287"/>
      <c r="AWY25" s="633"/>
      <c r="AWZ25" s="287"/>
      <c r="AXA25" s="287"/>
      <c r="AXB25" s="287"/>
      <c r="AXC25" s="287"/>
      <c r="AXD25" s="287"/>
      <c r="AXE25" s="287"/>
      <c r="AXF25" s="287"/>
      <c r="AXG25" s="287"/>
      <c r="AXH25" s="287"/>
      <c r="AXI25" s="287"/>
      <c r="AXJ25" s="287"/>
      <c r="AXK25" s="287"/>
      <c r="AXL25" s="287"/>
      <c r="AXM25" s="632"/>
      <c r="AXN25" s="287"/>
      <c r="AXO25" s="633"/>
      <c r="AXP25" s="287"/>
      <c r="AXQ25" s="287"/>
      <c r="AXR25" s="287"/>
      <c r="AXS25" s="287"/>
      <c r="AXT25" s="287"/>
      <c r="AXU25" s="287"/>
      <c r="AXV25" s="287"/>
      <c r="AXW25" s="287"/>
      <c r="AXX25" s="287"/>
      <c r="AXY25" s="287"/>
      <c r="AXZ25" s="287"/>
      <c r="AYA25" s="287"/>
      <c r="AYB25" s="287"/>
      <c r="AYC25" s="632"/>
      <c r="AYD25" s="287"/>
      <c r="AYE25" s="633"/>
      <c r="AYF25" s="287"/>
      <c r="AYG25" s="287"/>
      <c r="AYH25" s="287"/>
      <c r="AYI25" s="287"/>
      <c r="AYJ25" s="287"/>
      <c r="AYK25" s="287"/>
      <c r="AYL25" s="287"/>
      <c r="AYM25" s="287"/>
      <c r="AYN25" s="287"/>
      <c r="AYO25" s="287"/>
      <c r="AYP25" s="287"/>
      <c r="AYQ25" s="287"/>
      <c r="AYR25" s="287"/>
      <c r="AYS25" s="632"/>
      <c r="AYT25" s="287"/>
      <c r="AYU25" s="633"/>
      <c r="AYV25" s="287"/>
      <c r="AYW25" s="287"/>
      <c r="AYX25" s="287"/>
      <c r="AYY25" s="287"/>
      <c r="AYZ25" s="287"/>
      <c r="AZA25" s="287"/>
      <c r="AZB25" s="287"/>
      <c r="AZC25" s="287"/>
      <c r="AZD25" s="287"/>
      <c r="AZE25" s="287"/>
      <c r="AZF25" s="287"/>
      <c r="AZG25" s="287"/>
      <c r="AZH25" s="287"/>
      <c r="AZI25" s="632"/>
      <c r="AZJ25" s="287"/>
      <c r="AZK25" s="633"/>
      <c r="AZL25" s="287"/>
      <c r="AZM25" s="287"/>
      <c r="AZN25" s="287"/>
      <c r="AZO25" s="287"/>
      <c r="AZP25" s="287"/>
      <c r="AZQ25" s="287"/>
      <c r="AZR25" s="287"/>
      <c r="AZS25" s="287"/>
      <c r="AZT25" s="287"/>
      <c r="AZU25" s="287"/>
      <c r="AZV25" s="287"/>
      <c r="AZW25" s="287"/>
      <c r="AZX25" s="287"/>
      <c r="AZY25" s="632"/>
      <c r="AZZ25" s="287"/>
      <c r="BAA25" s="633"/>
      <c r="BAB25" s="287"/>
      <c r="BAC25" s="287"/>
      <c r="BAD25" s="287"/>
      <c r="BAE25" s="287"/>
      <c r="BAF25" s="287"/>
      <c r="BAG25" s="287"/>
      <c r="BAH25" s="287"/>
      <c r="BAI25" s="287"/>
      <c r="BAJ25" s="287"/>
      <c r="BAK25" s="287"/>
      <c r="BAL25" s="287"/>
      <c r="BAM25" s="287"/>
      <c r="BAN25" s="287"/>
      <c r="BAO25" s="632"/>
      <c r="BAP25" s="287"/>
      <c r="BAQ25" s="633"/>
      <c r="BAR25" s="287"/>
      <c r="BAS25" s="287"/>
      <c r="BAT25" s="287"/>
      <c r="BAU25" s="287"/>
      <c r="BAV25" s="287"/>
      <c r="BAW25" s="287"/>
      <c r="BAX25" s="287"/>
      <c r="BAY25" s="287"/>
      <c r="BAZ25" s="287"/>
      <c r="BBA25" s="287"/>
      <c r="BBB25" s="287"/>
      <c r="BBC25" s="287"/>
      <c r="BBD25" s="287"/>
      <c r="BBE25" s="632"/>
      <c r="BBF25" s="287"/>
      <c r="BBG25" s="633"/>
      <c r="BBH25" s="287"/>
      <c r="BBI25" s="287"/>
      <c r="BBJ25" s="287"/>
      <c r="BBK25" s="287"/>
      <c r="BBL25" s="287"/>
      <c r="BBM25" s="287"/>
      <c r="BBN25" s="287"/>
      <c r="BBO25" s="287"/>
      <c r="BBP25" s="287"/>
      <c r="BBQ25" s="287"/>
      <c r="BBR25" s="287"/>
      <c r="BBS25" s="287"/>
      <c r="BBT25" s="287"/>
      <c r="BBU25" s="632"/>
      <c r="BBV25" s="287"/>
      <c r="BBW25" s="633"/>
      <c r="BBX25" s="287"/>
      <c r="BBY25" s="287"/>
      <c r="BBZ25" s="287"/>
      <c r="BCA25" s="287"/>
      <c r="BCB25" s="287"/>
      <c r="BCC25" s="287"/>
      <c r="BCD25" s="287"/>
      <c r="BCE25" s="287"/>
      <c r="BCF25" s="287"/>
      <c r="BCG25" s="287"/>
      <c r="BCH25" s="287"/>
      <c r="BCI25" s="287"/>
      <c r="BCJ25" s="287"/>
      <c r="BCK25" s="632"/>
      <c r="BCL25" s="287"/>
      <c r="BCM25" s="633"/>
      <c r="BCN25" s="287"/>
      <c r="BCO25" s="287"/>
      <c r="BCP25" s="287"/>
      <c r="BCQ25" s="287"/>
      <c r="BCR25" s="287"/>
      <c r="BCS25" s="287"/>
      <c r="BCT25" s="287"/>
      <c r="BCU25" s="287"/>
      <c r="BCV25" s="287"/>
      <c r="BCW25" s="287"/>
      <c r="BCX25" s="287"/>
      <c r="BCY25" s="287"/>
      <c r="BCZ25" s="287"/>
      <c r="BDA25" s="632"/>
      <c r="BDB25" s="287"/>
      <c r="BDC25" s="633"/>
      <c r="BDD25" s="287"/>
      <c r="BDE25" s="287"/>
      <c r="BDF25" s="287"/>
      <c r="BDG25" s="287"/>
      <c r="BDH25" s="287"/>
      <c r="BDI25" s="287"/>
      <c r="BDJ25" s="287"/>
      <c r="BDK25" s="287"/>
      <c r="BDL25" s="287"/>
      <c r="BDM25" s="287"/>
      <c r="BDN25" s="287"/>
      <c r="BDO25" s="287"/>
      <c r="BDP25" s="287"/>
      <c r="BDQ25" s="632"/>
      <c r="BDR25" s="287"/>
      <c r="BDS25" s="633"/>
      <c r="BDT25" s="287"/>
      <c r="BDU25" s="287"/>
      <c r="BDV25" s="287"/>
      <c r="BDW25" s="287"/>
      <c r="BDX25" s="287"/>
      <c r="BDY25" s="287"/>
      <c r="BDZ25" s="287"/>
      <c r="BEA25" s="287"/>
      <c r="BEB25" s="287"/>
      <c r="BEC25" s="287"/>
      <c r="BED25" s="287"/>
      <c r="BEE25" s="287"/>
      <c r="BEF25" s="287"/>
      <c r="BEG25" s="632"/>
      <c r="BEH25" s="287"/>
      <c r="BEI25" s="633"/>
      <c r="BEJ25" s="287"/>
      <c r="BEK25" s="287"/>
      <c r="BEL25" s="287"/>
      <c r="BEM25" s="287"/>
      <c r="BEN25" s="287"/>
      <c r="BEO25" s="287"/>
      <c r="BEP25" s="287"/>
      <c r="BEQ25" s="287"/>
      <c r="BER25" s="287"/>
      <c r="BES25" s="287"/>
      <c r="BET25" s="287"/>
      <c r="BEU25" s="287"/>
      <c r="BEV25" s="287"/>
      <c r="BEW25" s="632"/>
      <c r="BEX25" s="287"/>
      <c r="BEY25" s="633"/>
      <c r="BEZ25" s="287"/>
      <c r="BFA25" s="287"/>
      <c r="BFB25" s="287"/>
      <c r="BFC25" s="287"/>
      <c r="BFD25" s="287"/>
      <c r="BFE25" s="287"/>
      <c r="BFF25" s="287"/>
      <c r="BFG25" s="287"/>
      <c r="BFH25" s="287"/>
      <c r="BFI25" s="287"/>
      <c r="BFJ25" s="287"/>
      <c r="BFK25" s="287"/>
      <c r="BFL25" s="287"/>
      <c r="BFM25" s="632"/>
      <c r="BFN25" s="287"/>
      <c r="BFO25" s="633"/>
      <c r="BFP25" s="287"/>
      <c r="BFQ25" s="287"/>
      <c r="BFR25" s="287"/>
      <c r="BFS25" s="287"/>
      <c r="BFT25" s="287"/>
      <c r="BFU25" s="287"/>
      <c r="BFV25" s="287"/>
      <c r="BFW25" s="287"/>
      <c r="BFX25" s="287"/>
      <c r="BFY25" s="287"/>
      <c r="BFZ25" s="287"/>
      <c r="BGA25" s="287"/>
      <c r="BGB25" s="287"/>
      <c r="BGC25" s="632"/>
      <c r="BGD25" s="287"/>
      <c r="BGE25" s="633"/>
      <c r="BGF25" s="287"/>
      <c r="BGG25" s="287"/>
      <c r="BGH25" s="287"/>
      <c r="BGI25" s="287"/>
      <c r="BGJ25" s="287"/>
      <c r="BGK25" s="287"/>
      <c r="BGL25" s="287"/>
      <c r="BGM25" s="287"/>
      <c r="BGN25" s="287"/>
      <c r="BGO25" s="287"/>
      <c r="BGP25" s="287"/>
      <c r="BGQ25" s="287"/>
      <c r="BGR25" s="287"/>
      <c r="BGS25" s="632"/>
      <c r="BGT25" s="287"/>
      <c r="BGU25" s="633"/>
      <c r="BGV25" s="287"/>
      <c r="BGW25" s="287"/>
      <c r="BGX25" s="287"/>
      <c r="BGY25" s="287"/>
      <c r="BGZ25" s="287"/>
      <c r="BHA25" s="287"/>
      <c r="BHB25" s="287"/>
      <c r="BHC25" s="287"/>
      <c r="BHD25" s="287"/>
      <c r="BHE25" s="287"/>
      <c r="BHF25" s="287"/>
      <c r="BHG25" s="287"/>
      <c r="BHH25" s="287"/>
      <c r="BHI25" s="632"/>
      <c r="BHJ25" s="287"/>
      <c r="BHK25" s="633"/>
      <c r="BHL25" s="287"/>
      <c r="BHM25" s="287"/>
      <c r="BHN25" s="287"/>
      <c r="BHO25" s="287"/>
      <c r="BHP25" s="287"/>
      <c r="BHQ25" s="287"/>
      <c r="BHR25" s="287"/>
      <c r="BHS25" s="287"/>
      <c r="BHT25" s="287"/>
      <c r="BHU25" s="287"/>
      <c r="BHV25" s="287"/>
      <c r="BHW25" s="287"/>
      <c r="BHX25" s="287"/>
      <c r="BHY25" s="632"/>
      <c r="BHZ25" s="287"/>
      <c r="BIA25" s="633"/>
      <c r="BIB25" s="287"/>
      <c r="BIC25" s="287"/>
      <c r="BID25" s="287"/>
      <c r="BIE25" s="287"/>
      <c r="BIF25" s="287"/>
      <c r="BIG25" s="287"/>
      <c r="BIH25" s="287"/>
      <c r="BII25" s="287"/>
      <c r="BIJ25" s="287"/>
      <c r="BIK25" s="287"/>
      <c r="BIL25" s="287"/>
      <c r="BIM25" s="287"/>
      <c r="BIN25" s="287"/>
      <c r="BIO25" s="632"/>
      <c r="BIP25" s="287"/>
      <c r="BIQ25" s="633"/>
      <c r="BIR25" s="287"/>
      <c r="BIS25" s="287"/>
      <c r="BIT25" s="287"/>
      <c r="BIU25" s="287"/>
      <c r="BIV25" s="287"/>
      <c r="BIW25" s="287"/>
      <c r="BIX25" s="287"/>
      <c r="BIY25" s="287"/>
      <c r="BIZ25" s="287"/>
      <c r="BJA25" s="287"/>
      <c r="BJB25" s="287"/>
      <c r="BJC25" s="287"/>
      <c r="BJD25" s="287"/>
      <c r="BJE25" s="632"/>
      <c r="BJF25" s="287"/>
      <c r="BJG25" s="633"/>
      <c r="BJH25" s="287"/>
      <c r="BJI25" s="287"/>
      <c r="BJJ25" s="287"/>
      <c r="BJK25" s="287"/>
      <c r="BJL25" s="287"/>
      <c r="BJM25" s="287"/>
      <c r="BJN25" s="287"/>
      <c r="BJO25" s="287"/>
      <c r="BJP25" s="287"/>
      <c r="BJQ25" s="287"/>
      <c r="BJR25" s="287"/>
      <c r="BJS25" s="287"/>
      <c r="BJT25" s="287"/>
      <c r="BJU25" s="632"/>
      <c r="BJV25" s="287"/>
      <c r="BJW25" s="633"/>
      <c r="BJX25" s="287"/>
      <c r="BJY25" s="287"/>
      <c r="BJZ25" s="287"/>
      <c r="BKA25" s="287"/>
      <c r="BKB25" s="287"/>
      <c r="BKC25" s="287"/>
      <c r="BKD25" s="287"/>
      <c r="BKE25" s="287"/>
      <c r="BKF25" s="287"/>
      <c r="BKG25" s="287"/>
      <c r="BKH25" s="287"/>
      <c r="BKI25" s="287"/>
      <c r="BKJ25" s="287"/>
      <c r="BKK25" s="632"/>
      <c r="BKL25" s="287"/>
      <c r="BKM25" s="633"/>
      <c r="BKN25" s="287"/>
      <c r="BKO25" s="287"/>
      <c r="BKP25" s="287"/>
      <c r="BKQ25" s="287"/>
      <c r="BKR25" s="287"/>
      <c r="BKS25" s="287"/>
      <c r="BKT25" s="287"/>
      <c r="BKU25" s="287"/>
      <c r="BKV25" s="287"/>
      <c r="BKW25" s="287"/>
      <c r="BKX25" s="287"/>
      <c r="BKY25" s="287"/>
      <c r="BKZ25" s="287"/>
      <c r="BLA25" s="632"/>
      <c r="BLB25" s="287"/>
      <c r="BLC25" s="633"/>
      <c r="BLD25" s="287"/>
      <c r="BLE25" s="287"/>
      <c r="BLF25" s="287"/>
      <c r="BLG25" s="287"/>
      <c r="BLH25" s="287"/>
      <c r="BLI25" s="287"/>
      <c r="BLJ25" s="287"/>
      <c r="BLK25" s="287"/>
      <c r="BLL25" s="287"/>
      <c r="BLM25" s="287"/>
      <c r="BLN25" s="287"/>
      <c r="BLO25" s="287"/>
      <c r="BLP25" s="287"/>
      <c r="BLQ25" s="632"/>
      <c r="BLR25" s="287"/>
      <c r="BLS25" s="633"/>
      <c r="BLT25" s="287"/>
      <c r="BLU25" s="287"/>
      <c r="BLV25" s="287"/>
      <c r="BLW25" s="287"/>
      <c r="BLX25" s="287"/>
      <c r="BLY25" s="287"/>
      <c r="BLZ25" s="287"/>
      <c r="BMA25" s="287"/>
      <c r="BMB25" s="287"/>
      <c r="BMC25" s="287"/>
      <c r="BMD25" s="287"/>
      <c r="BME25" s="287"/>
      <c r="BMF25" s="287"/>
      <c r="BMG25" s="632"/>
      <c r="BMH25" s="287"/>
      <c r="BMI25" s="633"/>
      <c r="BMJ25" s="287"/>
      <c r="BMK25" s="287"/>
      <c r="BML25" s="287"/>
      <c r="BMM25" s="287"/>
      <c r="BMN25" s="287"/>
      <c r="BMO25" s="287"/>
      <c r="BMP25" s="287"/>
      <c r="BMQ25" s="287"/>
      <c r="BMR25" s="287"/>
      <c r="BMS25" s="287"/>
      <c r="BMT25" s="287"/>
      <c r="BMU25" s="287"/>
      <c r="BMV25" s="287"/>
      <c r="BMW25" s="632"/>
      <c r="BMX25" s="287"/>
      <c r="BMY25" s="633"/>
      <c r="BMZ25" s="287"/>
      <c r="BNA25" s="287"/>
      <c r="BNB25" s="287"/>
      <c r="BNC25" s="287"/>
      <c r="BND25" s="287"/>
      <c r="BNE25" s="287"/>
      <c r="BNF25" s="287"/>
      <c r="BNG25" s="287"/>
      <c r="BNH25" s="287"/>
      <c r="BNI25" s="287"/>
      <c r="BNJ25" s="287"/>
      <c r="BNK25" s="287"/>
      <c r="BNL25" s="287"/>
      <c r="BNM25" s="632"/>
      <c r="BNN25" s="287"/>
      <c r="BNO25" s="633"/>
      <c r="BNP25" s="287"/>
      <c r="BNQ25" s="287"/>
      <c r="BNR25" s="287"/>
      <c r="BNS25" s="287"/>
      <c r="BNT25" s="287"/>
      <c r="BNU25" s="287"/>
      <c r="BNV25" s="287"/>
      <c r="BNW25" s="287"/>
      <c r="BNX25" s="287"/>
      <c r="BNY25" s="287"/>
      <c r="BNZ25" s="287"/>
      <c r="BOA25" s="287"/>
      <c r="BOB25" s="287"/>
      <c r="BOC25" s="632"/>
      <c r="BOD25" s="287"/>
      <c r="BOE25" s="633"/>
      <c r="BOF25" s="287"/>
      <c r="BOG25" s="287"/>
      <c r="BOH25" s="287"/>
      <c r="BOI25" s="287"/>
      <c r="BOJ25" s="287"/>
      <c r="BOK25" s="287"/>
      <c r="BOL25" s="287"/>
      <c r="BOM25" s="287"/>
      <c r="BON25" s="287"/>
      <c r="BOO25" s="287"/>
      <c r="BOP25" s="287"/>
      <c r="BOQ25" s="287"/>
      <c r="BOR25" s="287"/>
      <c r="BOS25" s="632"/>
      <c r="BOT25" s="287"/>
      <c r="BOU25" s="633"/>
      <c r="BOV25" s="287"/>
      <c r="BOW25" s="287"/>
      <c r="BOX25" s="287"/>
      <c r="BOY25" s="287"/>
      <c r="BOZ25" s="287"/>
      <c r="BPA25" s="287"/>
      <c r="BPB25" s="287"/>
      <c r="BPC25" s="287"/>
      <c r="BPD25" s="287"/>
      <c r="BPE25" s="287"/>
      <c r="BPF25" s="287"/>
      <c r="BPG25" s="287"/>
      <c r="BPH25" s="287"/>
      <c r="BPI25" s="632"/>
      <c r="BPJ25" s="287"/>
      <c r="BPK25" s="633"/>
      <c r="BPL25" s="287"/>
      <c r="BPM25" s="287"/>
      <c r="BPN25" s="287"/>
      <c r="BPO25" s="287"/>
      <c r="BPP25" s="287"/>
      <c r="BPQ25" s="287"/>
      <c r="BPR25" s="287"/>
      <c r="BPS25" s="287"/>
      <c r="BPT25" s="287"/>
      <c r="BPU25" s="287"/>
      <c r="BPV25" s="287"/>
      <c r="BPW25" s="287"/>
      <c r="BPX25" s="287"/>
      <c r="BPY25" s="632"/>
      <c r="BPZ25" s="287"/>
      <c r="BQA25" s="633"/>
      <c r="BQB25" s="287"/>
      <c r="BQC25" s="287"/>
      <c r="BQD25" s="287"/>
      <c r="BQE25" s="287"/>
      <c r="BQF25" s="287"/>
      <c r="BQG25" s="287"/>
      <c r="BQH25" s="287"/>
      <c r="BQI25" s="287"/>
      <c r="BQJ25" s="287"/>
      <c r="BQK25" s="287"/>
      <c r="BQL25" s="287"/>
      <c r="BQM25" s="287"/>
      <c r="BQN25" s="287"/>
      <c r="BQO25" s="632"/>
      <c r="BQP25" s="287"/>
      <c r="BQQ25" s="633"/>
      <c r="BQR25" s="287"/>
      <c r="BQS25" s="287"/>
      <c r="BQT25" s="287"/>
      <c r="BQU25" s="287"/>
      <c r="BQV25" s="287"/>
      <c r="BQW25" s="287"/>
      <c r="BQX25" s="287"/>
      <c r="BQY25" s="287"/>
      <c r="BQZ25" s="287"/>
      <c r="BRA25" s="287"/>
      <c r="BRB25" s="287"/>
      <c r="BRC25" s="287"/>
      <c r="BRD25" s="287"/>
      <c r="BRE25" s="632"/>
      <c r="BRF25" s="287"/>
      <c r="BRG25" s="633"/>
      <c r="BRH25" s="287"/>
      <c r="BRI25" s="287"/>
      <c r="BRJ25" s="287"/>
      <c r="BRK25" s="287"/>
      <c r="BRL25" s="287"/>
      <c r="BRM25" s="287"/>
      <c r="BRN25" s="287"/>
      <c r="BRO25" s="287"/>
      <c r="BRP25" s="287"/>
      <c r="BRQ25" s="287"/>
      <c r="BRR25" s="287"/>
      <c r="BRS25" s="287"/>
      <c r="BRT25" s="287"/>
      <c r="BRU25" s="632"/>
      <c r="BRV25" s="287"/>
      <c r="BRW25" s="633"/>
      <c r="BRX25" s="287"/>
      <c r="BRY25" s="287"/>
      <c r="BRZ25" s="287"/>
      <c r="BSA25" s="287"/>
      <c r="BSB25" s="287"/>
      <c r="BSC25" s="287"/>
      <c r="BSD25" s="287"/>
      <c r="BSE25" s="287"/>
      <c r="BSF25" s="287"/>
      <c r="BSG25" s="287"/>
      <c r="BSH25" s="287"/>
      <c r="BSI25" s="287"/>
      <c r="BSJ25" s="287"/>
      <c r="BSK25" s="632"/>
      <c r="BSL25" s="287"/>
      <c r="BSM25" s="633"/>
      <c r="BSN25" s="287"/>
      <c r="BSO25" s="287"/>
      <c r="BSP25" s="287"/>
      <c r="BSQ25" s="287"/>
      <c r="BSR25" s="287"/>
      <c r="BSS25" s="287"/>
      <c r="BST25" s="287"/>
      <c r="BSU25" s="287"/>
      <c r="BSV25" s="287"/>
      <c r="BSW25" s="287"/>
      <c r="BSX25" s="287"/>
      <c r="BSY25" s="287"/>
      <c r="BSZ25" s="287"/>
      <c r="BTA25" s="632"/>
      <c r="BTB25" s="287"/>
      <c r="BTC25" s="633"/>
      <c r="BTD25" s="287"/>
      <c r="BTE25" s="287"/>
      <c r="BTF25" s="287"/>
      <c r="BTG25" s="287"/>
      <c r="BTH25" s="287"/>
      <c r="BTI25" s="287"/>
      <c r="BTJ25" s="287"/>
      <c r="BTK25" s="287"/>
      <c r="BTL25" s="287"/>
      <c r="BTM25" s="287"/>
      <c r="BTN25" s="287"/>
      <c r="BTO25" s="287"/>
      <c r="BTP25" s="287"/>
      <c r="BTQ25" s="632"/>
      <c r="BTR25" s="287"/>
      <c r="BTS25" s="633"/>
      <c r="BTT25" s="287"/>
      <c r="BTU25" s="287"/>
      <c r="BTV25" s="287"/>
      <c r="BTW25" s="287"/>
      <c r="BTX25" s="287"/>
      <c r="BTY25" s="287"/>
      <c r="BTZ25" s="287"/>
      <c r="BUA25" s="287"/>
      <c r="BUB25" s="287"/>
      <c r="BUC25" s="287"/>
      <c r="BUD25" s="287"/>
      <c r="BUE25" s="287"/>
      <c r="BUF25" s="287"/>
      <c r="BUG25" s="632"/>
      <c r="BUH25" s="287"/>
      <c r="BUI25" s="633"/>
      <c r="BUJ25" s="287"/>
      <c r="BUK25" s="287"/>
      <c r="BUL25" s="287"/>
      <c r="BUM25" s="287"/>
      <c r="BUN25" s="287"/>
      <c r="BUO25" s="287"/>
      <c r="BUP25" s="287"/>
      <c r="BUQ25" s="287"/>
      <c r="BUR25" s="287"/>
      <c r="BUS25" s="287"/>
      <c r="BUT25" s="287"/>
      <c r="BUU25" s="287"/>
      <c r="BUV25" s="287"/>
      <c r="BUW25" s="632"/>
      <c r="BUX25" s="287"/>
      <c r="BUY25" s="633"/>
      <c r="BUZ25" s="287"/>
      <c r="BVA25" s="287"/>
      <c r="BVB25" s="287"/>
      <c r="BVC25" s="287"/>
      <c r="BVD25" s="287"/>
      <c r="BVE25" s="287"/>
      <c r="BVF25" s="287"/>
      <c r="BVG25" s="287"/>
      <c r="BVH25" s="287"/>
      <c r="BVI25" s="287"/>
      <c r="BVJ25" s="287"/>
      <c r="BVK25" s="287"/>
      <c r="BVL25" s="287"/>
      <c r="BVM25" s="632"/>
      <c r="BVN25" s="287"/>
      <c r="BVO25" s="633"/>
      <c r="BVP25" s="287"/>
      <c r="BVQ25" s="287"/>
      <c r="BVR25" s="287"/>
      <c r="BVS25" s="287"/>
      <c r="BVT25" s="287"/>
      <c r="BVU25" s="287"/>
      <c r="BVV25" s="287"/>
      <c r="BVW25" s="287"/>
      <c r="BVX25" s="287"/>
      <c r="BVY25" s="287"/>
      <c r="BVZ25" s="287"/>
      <c r="BWA25" s="287"/>
      <c r="BWB25" s="287"/>
      <c r="BWC25" s="632"/>
      <c r="BWD25" s="287"/>
      <c r="BWE25" s="633"/>
      <c r="BWF25" s="287"/>
      <c r="BWG25" s="287"/>
      <c r="BWH25" s="287"/>
      <c r="BWI25" s="287"/>
      <c r="BWJ25" s="287"/>
      <c r="BWK25" s="287"/>
      <c r="BWL25" s="287"/>
      <c r="BWM25" s="287"/>
      <c r="BWN25" s="287"/>
      <c r="BWO25" s="287"/>
      <c r="BWP25" s="287"/>
      <c r="BWQ25" s="287"/>
      <c r="BWR25" s="287"/>
      <c r="BWS25" s="632"/>
      <c r="BWT25" s="287"/>
      <c r="BWU25" s="633"/>
      <c r="BWV25" s="287"/>
      <c r="BWW25" s="287"/>
      <c r="BWX25" s="287"/>
      <c r="BWY25" s="287"/>
      <c r="BWZ25" s="287"/>
      <c r="BXA25" s="287"/>
      <c r="BXB25" s="287"/>
      <c r="BXC25" s="287"/>
      <c r="BXD25" s="287"/>
      <c r="BXE25" s="287"/>
      <c r="BXF25" s="287"/>
      <c r="BXG25" s="287"/>
      <c r="BXH25" s="287"/>
      <c r="BXI25" s="632"/>
      <c r="BXJ25" s="287"/>
      <c r="BXK25" s="633"/>
      <c r="BXL25" s="287"/>
      <c r="BXM25" s="287"/>
      <c r="BXN25" s="287"/>
      <c r="BXO25" s="287"/>
      <c r="BXP25" s="287"/>
      <c r="BXQ25" s="287"/>
      <c r="BXR25" s="287"/>
      <c r="BXS25" s="287"/>
      <c r="BXT25" s="287"/>
      <c r="BXU25" s="287"/>
      <c r="BXV25" s="287"/>
      <c r="BXW25" s="287"/>
      <c r="BXX25" s="287"/>
      <c r="BXY25" s="632"/>
      <c r="BXZ25" s="287"/>
      <c r="BYA25" s="633"/>
      <c r="BYB25" s="287"/>
      <c r="BYC25" s="287"/>
      <c r="BYD25" s="287"/>
      <c r="BYE25" s="287"/>
      <c r="BYF25" s="287"/>
      <c r="BYG25" s="287"/>
      <c r="BYH25" s="287"/>
      <c r="BYI25" s="287"/>
      <c r="BYJ25" s="287"/>
      <c r="BYK25" s="287"/>
      <c r="BYL25" s="287"/>
      <c r="BYM25" s="287"/>
      <c r="BYN25" s="287"/>
      <c r="BYO25" s="632"/>
      <c r="BYP25" s="287"/>
      <c r="BYQ25" s="633"/>
      <c r="BYR25" s="287"/>
      <c r="BYS25" s="287"/>
      <c r="BYT25" s="287"/>
      <c r="BYU25" s="287"/>
      <c r="BYV25" s="287"/>
      <c r="BYW25" s="287"/>
      <c r="BYX25" s="287"/>
      <c r="BYY25" s="287"/>
      <c r="BYZ25" s="287"/>
      <c r="BZA25" s="287"/>
      <c r="BZB25" s="287"/>
      <c r="BZC25" s="287"/>
      <c r="BZD25" s="287"/>
      <c r="BZE25" s="632"/>
      <c r="BZF25" s="287"/>
      <c r="BZG25" s="633"/>
      <c r="BZH25" s="287"/>
      <c r="BZI25" s="287"/>
      <c r="BZJ25" s="287"/>
      <c r="BZK25" s="287"/>
      <c r="BZL25" s="287"/>
      <c r="BZM25" s="287"/>
      <c r="BZN25" s="287"/>
      <c r="BZO25" s="287"/>
      <c r="BZP25" s="287"/>
      <c r="BZQ25" s="287"/>
      <c r="BZR25" s="287"/>
      <c r="BZS25" s="287"/>
      <c r="BZT25" s="287"/>
      <c r="BZU25" s="632"/>
      <c r="BZV25" s="287"/>
      <c r="BZW25" s="633"/>
      <c r="BZX25" s="287"/>
      <c r="BZY25" s="287"/>
      <c r="BZZ25" s="287"/>
      <c r="CAA25" s="287"/>
      <c r="CAB25" s="287"/>
      <c r="CAC25" s="287"/>
      <c r="CAD25" s="287"/>
      <c r="CAE25" s="287"/>
      <c r="CAF25" s="287"/>
      <c r="CAG25" s="287"/>
      <c r="CAH25" s="287"/>
      <c r="CAI25" s="287"/>
      <c r="CAJ25" s="287"/>
      <c r="CAK25" s="632"/>
      <c r="CAL25" s="287"/>
      <c r="CAM25" s="633"/>
      <c r="CAN25" s="287"/>
      <c r="CAO25" s="287"/>
      <c r="CAP25" s="287"/>
      <c r="CAQ25" s="287"/>
      <c r="CAR25" s="287"/>
      <c r="CAS25" s="287"/>
      <c r="CAT25" s="287"/>
      <c r="CAU25" s="287"/>
      <c r="CAV25" s="287"/>
      <c r="CAW25" s="287"/>
      <c r="CAX25" s="287"/>
      <c r="CAY25" s="287"/>
      <c r="CAZ25" s="287"/>
      <c r="CBA25" s="632"/>
      <c r="CBB25" s="287"/>
      <c r="CBC25" s="633"/>
      <c r="CBD25" s="287"/>
      <c r="CBE25" s="287"/>
      <c r="CBF25" s="287"/>
      <c r="CBG25" s="287"/>
      <c r="CBH25" s="287"/>
      <c r="CBI25" s="287"/>
      <c r="CBJ25" s="287"/>
      <c r="CBK25" s="287"/>
      <c r="CBL25" s="287"/>
      <c r="CBM25" s="287"/>
      <c r="CBN25" s="287"/>
      <c r="CBO25" s="287"/>
      <c r="CBP25" s="287"/>
      <c r="CBQ25" s="632"/>
      <c r="CBR25" s="287"/>
      <c r="CBS25" s="633"/>
      <c r="CBT25" s="287"/>
      <c r="CBU25" s="287"/>
      <c r="CBV25" s="287"/>
      <c r="CBW25" s="287"/>
      <c r="CBX25" s="287"/>
      <c r="CBY25" s="287"/>
      <c r="CBZ25" s="287"/>
      <c r="CCA25" s="287"/>
      <c r="CCB25" s="287"/>
      <c r="CCC25" s="287"/>
      <c r="CCD25" s="287"/>
      <c r="CCE25" s="287"/>
      <c r="CCF25" s="287"/>
      <c r="CCG25" s="632"/>
      <c r="CCH25" s="287"/>
      <c r="CCI25" s="633"/>
      <c r="CCJ25" s="287"/>
      <c r="CCK25" s="287"/>
      <c r="CCL25" s="287"/>
      <c r="CCM25" s="287"/>
      <c r="CCN25" s="287"/>
      <c r="CCO25" s="287"/>
      <c r="CCP25" s="287"/>
      <c r="CCQ25" s="287"/>
      <c r="CCR25" s="287"/>
      <c r="CCS25" s="287"/>
      <c r="CCT25" s="287"/>
      <c r="CCU25" s="287"/>
      <c r="CCV25" s="287"/>
      <c r="CCW25" s="632"/>
      <c r="CCX25" s="287"/>
      <c r="CCY25" s="633"/>
      <c r="CCZ25" s="287"/>
      <c r="CDA25" s="287"/>
      <c r="CDB25" s="287"/>
      <c r="CDC25" s="287"/>
      <c r="CDD25" s="287"/>
      <c r="CDE25" s="287"/>
      <c r="CDF25" s="287"/>
      <c r="CDG25" s="287"/>
      <c r="CDH25" s="287"/>
      <c r="CDI25" s="287"/>
      <c r="CDJ25" s="287"/>
      <c r="CDK25" s="287"/>
      <c r="CDL25" s="287"/>
      <c r="CDM25" s="632"/>
      <c r="CDN25" s="287"/>
      <c r="CDO25" s="633"/>
      <c r="CDP25" s="287"/>
      <c r="CDQ25" s="287"/>
      <c r="CDR25" s="287"/>
      <c r="CDS25" s="287"/>
      <c r="CDT25" s="287"/>
      <c r="CDU25" s="287"/>
      <c r="CDV25" s="287"/>
      <c r="CDW25" s="287"/>
      <c r="CDX25" s="287"/>
      <c r="CDY25" s="287"/>
      <c r="CDZ25" s="287"/>
      <c r="CEA25" s="287"/>
      <c r="CEB25" s="287"/>
      <c r="CEC25" s="632"/>
      <c r="CED25" s="287"/>
      <c r="CEE25" s="633"/>
      <c r="CEF25" s="287"/>
      <c r="CEG25" s="287"/>
      <c r="CEH25" s="287"/>
      <c r="CEI25" s="287"/>
      <c r="CEJ25" s="287"/>
      <c r="CEK25" s="287"/>
      <c r="CEL25" s="287"/>
      <c r="CEM25" s="287"/>
      <c r="CEN25" s="287"/>
      <c r="CEO25" s="287"/>
      <c r="CEP25" s="287"/>
      <c r="CEQ25" s="287"/>
      <c r="CER25" s="287"/>
      <c r="CES25" s="632"/>
      <c r="CET25" s="287"/>
      <c r="CEU25" s="633"/>
      <c r="CEV25" s="287"/>
      <c r="CEW25" s="287"/>
      <c r="CEX25" s="287"/>
      <c r="CEY25" s="287"/>
      <c r="CEZ25" s="287"/>
      <c r="CFA25" s="287"/>
      <c r="CFB25" s="287"/>
      <c r="CFC25" s="287"/>
      <c r="CFD25" s="287"/>
      <c r="CFE25" s="287"/>
      <c r="CFF25" s="287"/>
      <c r="CFG25" s="287"/>
      <c r="CFH25" s="287"/>
      <c r="CFI25" s="632"/>
      <c r="CFJ25" s="287"/>
      <c r="CFK25" s="633"/>
      <c r="CFL25" s="287"/>
      <c r="CFM25" s="287"/>
      <c r="CFN25" s="287"/>
      <c r="CFO25" s="287"/>
      <c r="CFP25" s="287"/>
      <c r="CFQ25" s="287"/>
      <c r="CFR25" s="287"/>
      <c r="CFS25" s="287"/>
      <c r="CFT25" s="287"/>
      <c r="CFU25" s="287"/>
      <c r="CFV25" s="287"/>
      <c r="CFW25" s="287"/>
      <c r="CFX25" s="287"/>
      <c r="CFY25" s="632"/>
      <c r="CFZ25" s="287"/>
      <c r="CGA25" s="633"/>
      <c r="CGB25" s="287"/>
      <c r="CGC25" s="287"/>
      <c r="CGD25" s="287"/>
      <c r="CGE25" s="287"/>
      <c r="CGF25" s="287"/>
      <c r="CGG25" s="287"/>
      <c r="CGH25" s="287"/>
      <c r="CGI25" s="287"/>
      <c r="CGJ25" s="287"/>
      <c r="CGK25" s="287"/>
      <c r="CGL25" s="287"/>
      <c r="CGM25" s="287"/>
      <c r="CGN25" s="287"/>
      <c r="CGO25" s="632"/>
      <c r="CGP25" s="287"/>
      <c r="CGQ25" s="633"/>
      <c r="CGR25" s="287"/>
      <c r="CGS25" s="287"/>
      <c r="CGT25" s="287"/>
      <c r="CGU25" s="287"/>
      <c r="CGV25" s="287"/>
      <c r="CGW25" s="287"/>
      <c r="CGX25" s="287"/>
      <c r="CGY25" s="287"/>
      <c r="CGZ25" s="287"/>
      <c r="CHA25" s="287"/>
      <c r="CHB25" s="287"/>
      <c r="CHC25" s="287"/>
      <c r="CHD25" s="287"/>
      <c r="CHE25" s="632"/>
      <c r="CHF25" s="287"/>
      <c r="CHG25" s="633"/>
      <c r="CHH25" s="287"/>
      <c r="CHI25" s="287"/>
      <c r="CHJ25" s="287"/>
      <c r="CHK25" s="287"/>
      <c r="CHL25" s="287"/>
      <c r="CHM25" s="287"/>
      <c r="CHN25" s="287"/>
      <c r="CHO25" s="287"/>
      <c r="CHP25" s="287"/>
      <c r="CHQ25" s="287"/>
      <c r="CHR25" s="287"/>
      <c r="CHS25" s="287"/>
      <c r="CHT25" s="287"/>
      <c r="CHU25" s="632"/>
      <c r="CHV25" s="287"/>
      <c r="CHW25" s="633"/>
      <c r="CHX25" s="287"/>
      <c r="CHY25" s="287"/>
      <c r="CHZ25" s="287"/>
      <c r="CIA25" s="287"/>
      <c r="CIB25" s="287"/>
      <c r="CIC25" s="287"/>
      <c r="CID25" s="287"/>
      <c r="CIE25" s="287"/>
      <c r="CIF25" s="287"/>
      <c r="CIG25" s="287"/>
      <c r="CIH25" s="287"/>
      <c r="CII25" s="287"/>
      <c r="CIJ25" s="287"/>
      <c r="CIK25" s="632"/>
      <c r="CIL25" s="287"/>
      <c r="CIM25" s="633"/>
      <c r="CIN25" s="287"/>
      <c r="CIO25" s="287"/>
      <c r="CIP25" s="287"/>
      <c r="CIQ25" s="287"/>
      <c r="CIR25" s="287"/>
      <c r="CIS25" s="287"/>
      <c r="CIT25" s="287"/>
      <c r="CIU25" s="287"/>
      <c r="CIV25" s="287"/>
      <c r="CIW25" s="287"/>
      <c r="CIX25" s="287"/>
      <c r="CIY25" s="287"/>
      <c r="CIZ25" s="287"/>
      <c r="CJA25" s="632"/>
      <c r="CJB25" s="287"/>
      <c r="CJC25" s="633"/>
      <c r="CJD25" s="287"/>
      <c r="CJE25" s="287"/>
      <c r="CJF25" s="287"/>
      <c r="CJG25" s="287"/>
      <c r="CJH25" s="287"/>
      <c r="CJI25" s="287"/>
      <c r="CJJ25" s="287"/>
      <c r="CJK25" s="287"/>
      <c r="CJL25" s="287"/>
      <c r="CJM25" s="287"/>
      <c r="CJN25" s="287"/>
      <c r="CJO25" s="287"/>
      <c r="CJP25" s="287"/>
      <c r="CJQ25" s="632"/>
      <c r="CJR25" s="287"/>
      <c r="CJS25" s="633"/>
      <c r="CJT25" s="287"/>
      <c r="CJU25" s="287"/>
      <c r="CJV25" s="287"/>
      <c r="CJW25" s="287"/>
      <c r="CJX25" s="287"/>
      <c r="CJY25" s="287"/>
      <c r="CJZ25" s="287"/>
      <c r="CKA25" s="287"/>
      <c r="CKB25" s="287"/>
      <c r="CKC25" s="287"/>
      <c r="CKD25" s="287"/>
      <c r="CKE25" s="287"/>
      <c r="CKF25" s="287"/>
      <c r="CKG25" s="632"/>
      <c r="CKH25" s="287"/>
      <c r="CKI25" s="633"/>
      <c r="CKJ25" s="287"/>
      <c r="CKK25" s="287"/>
      <c r="CKL25" s="287"/>
      <c r="CKM25" s="287"/>
      <c r="CKN25" s="287"/>
      <c r="CKO25" s="287"/>
      <c r="CKP25" s="287"/>
      <c r="CKQ25" s="287"/>
      <c r="CKR25" s="287"/>
      <c r="CKS25" s="287"/>
      <c r="CKT25" s="287"/>
      <c r="CKU25" s="287"/>
      <c r="CKV25" s="287"/>
      <c r="CKW25" s="632"/>
      <c r="CKX25" s="287"/>
      <c r="CKY25" s="633"/>
      <c r="CKZ25" s="287"/>
      <c r="CLA25" s="287"/>
      <c r="CLB25" s="287"/>
      <c r="CLC25" s="287"/>
      <c r="CLD25" s="287"/>
      <c r="CLE25" s="287"/>
      <c r="CLF25" s="287"/>
      <c r="CLG25" s="287"/>
      <c r="CLH25" s="287"/>
      <c r="CLI25" s="287"/>
      <c r="CLJ25" s="287"/>
      <c r="CLK25" s="287"/>
      <c r="CLL25" s="287"/>
      <c r="CLM25" s="632"/>
      <c r="CLN25" s="287"/>
      <c r="CLO25" s="633"/>
      <c r="CLP25" s="287"/>
      <c r="CLQ25" s="287"/>
      <c r="CLR25" s="287"/>
      <c r="CLS25" s="287"/>
      <c r="CLT25" s="287"/>
      <c r="CLU25" s="287"/>
      <c r="CLV25" s="287"/>
      <c r="CLW25" s="287"/>
      <c r="CLX25" s="287"/>
      <c r="CLY25" s="287"/>
      <c r="CLZ25" s="287"/>
      <c r="CMA25" s="287"/>
      <c r="CMB25" s="287"/>
      <c r="CMC25" s="632"/>
      <c r="CMD25" s="287"/>
      <c r="CME25" s="633"/>
      <c r="CMF25" s="287"/>
      <c r="CMG25" s="287"/>
      <c r="CMH25" s="287"/>
      <c r="CMI25" s="287"/>
      <c r="CMJ25" s="287"/>
      <c r="CMK25" s="287"/>
      <c r="CML25" s="287"/>
      <c r="CMM25" s="287"/>
      <c r="CMN25" s="287"/>
      <c r="CMO25" s="287"/>
      <c r="CMP25" s="287"/>
      <c r="CMQ25" s="287"/>
      <c r="CMR25" s="287"/>
      <c r="CMS25" s="632"/>
      <c r="CMT25" s="287"/>
      <c r="CMU25" s="633"/>
      <c r="CMV25" s="287"/>
      <c r="CMW25" s="287"/>
      <c r="CMX25" s="287"/>
      <c r="CMY25" s="287"/>
      <c r="CMZ25" s="287"/>
      <c r="CNA25" s="287"/>
      <c r="CNB25" s="287"/>
      <c r="CNC25" s="287"/>
      <c r="CND25" s="287"/>
      <c r="CNE25" s="287"/>
      <c r="CNF25" s="287"/>
      <c r="CNG25" s="287"/>
      <c r="CNH25" s="287"/>
      <c r="CNI25" s="632"/>
      <c r="CNJ25" s="287"/>
      <c r="CNK25" s="633"/>
      <c r="CNL25" s="287"/>
      <c r="CNM25" s="287"/>
      <c r="CNN25" s="287"/>
      <c r="CNO25" s="287"/>
      <c r="CNP25" s="287"/>
      <c r="CNQ25" s="287"/>
      <c r="CNR25" s="287"/>
      <c r="CNS25" s="287"/>
      <c r="CNT25" s="287"/>
      <c r="CNU25" s="287"/>
      <c r="CNV25" s="287"/>
      <c r="CNW25" s="287"/>
      <c r="CNX25" s="287"/>
      <c r="CNY25" s="632"/>
      <c r="CNZ25" s="287"/>
      <c r="COA25" s="633"/>
      <c r="COB25" s="287"/>
      <c r="COC25" s="287"/>
      <c r="COD25" s="287"/>
      <c r="COE25" s="287"/>
      <c r="COF25" s="287"/>
      <c r="COG25" s="287"/>
      <c r="COH25" s="287"/>
      <c r="COI25" s="287"/>
      <c r="COJ25" s="287"/>
      <c r="COK25" s="287"/>
      <c r="COL25" s="287"/>
      <c r="COM25" s="287"/>
      <c r="CON25" s="287"/>
      <c r="COO25" s="632"/>
      <c r="COP25" s="287"/>
      <c r="COQ25" s="633"/>
      <c r="COR25" s="287"/>
      <c r="COS25" s="287"/>
      <c r="COT25" s="287"/>
      <c r="COU25" s="287"/>
      <c r="COV25" s="287"/>
      <c r="COW25" s="287"/>
      <c r="COX25" s="287"/>
      <c r="COY25" s="287"/>
      <c r="COZ25" s="287"/>
      <c r="CPA25" s="287"/>
      <c r="CPB25" s="287"/>
      <c r="CPC25" s="287"/>
      <c r="CPD25" s="287"/>
      <c r="CPE25" s="632"/>
      <c r="CPF25" s="287"/>
      <c r="CPG25" s="633"/>
      <c r="CPH25" s="287"/>
      <c r="CPI25" s="287"/>
      <c r="CPJ25" s="287"/>
      <c r="CPK25" s="287"/>
      <c r="CPL25" s="287"/>
      <c r="CPM25" s="287"/>
      <c r="CPN25" s="287"/>
      <c r="CPO25" s="287"/>
      <c r="CPP25" s="287"/>
      <c r="CPQ25" s="287"/>
      <c r="CPR25" s="287"/>
      <c r="CPS25" s="287"/>
      <c r="CPT25" s="287"/>
      <c r="CPU25" s="632"/>
      <c r="CPV25" s="287"/>
      <c r="CPW25" s="633"/>
      <c r="CPX25" s="287"/>
      <c r="CPY25" s="287"/>
      <c r="CPZ25" s="287"/>
      <c r="CQA25" s="287"/>
      <c r="CQB25" s="287"/>
      <c r="CQC25" s="287"/>
      <c r="CQD25" s="287"/>
      <c r="CQE25" s="287"/>
      <c r="CQF25" s="287"/>
      <c r="CQG25" s="287"/>
      <c r="CQH25" s="287"/>
      <c r="CQI25" s="287"/>
      <c r="CQJ25" s="287"/>
      <c r="CQK25" s="632"/>
      <c r="CQL25" s="287"/>
      <c r="CQM25" s="633"/>
      <c r="CQN25" s="287"/>
      <c r="CQO25" s="287"/>
      <c r="CQP25" s="287"/>
      <c r="CQQ25" s="287"/>
      <c r="CQR25" s="287"/>
      <c r="CQS25" s="287"/>
      <c r="CQT25" s="287"/>
      <c r="CQU25" s="287"/>
      <c r="CQV25" s="287"/>
      <c r="CQW25" s="287"/>
      <c r="CQX25" s="287"/>
      <c r="CQY25" s="287"/>
      <c r="CQZ25" s="287"/>
      <c r="CRA25" s="632"/>
      <c r="CRB25" s="287"/>
      <c r="CRC25" s="633"/>
      <c r="CRD25" s="287"/>
      <c r="CRE25" s="287"/>
      <c r="CRF25" s="287"/>
      <c r="CRG25" s="287"/>
      <c r="CRH25" s="287"/>
      <c r="CRI25" s="287"/>
      <c r="CRJ25" s="287"/>
      <c r="CRK25" s="287"/>
      <c r="CRL25" s="287"/>
      <c r="CRM25" s="287"/>
      <c r="CRN25" s="287"/>
      <c r="CRO25" s="287"/>
      <c r="CRP25" s="287"/>
      <c r="CRQ25" s="632"/>
      <c r="CRR25" s="287"/>
      <c r="CRS25" s="633"/>
      <c r="CRT25" s="287"/>
      <c r="CRU25" s="287"/>
      <c r="CRV25" s="287"/>
      <c r="CRW25" s="287"/>
      <c r="CRX25" s="287"/>
      <c r="CRY25" s="287"/>
      <c r="CRZ25" s="287"/>
      <c r="CSA25" s="287"/>
      <c r="CSB25" s="287"/>
      <c r="CSC25" s="287"/>
      <c r="CSD25" s="287"/>
      <c r="CSE25" s="287"/>
      <c r="CSF25" s="287"/>
      <c r="CSG25" s="632"/>
      <c r="CSH25" s="287"/>
      <c r="CSI25" s="633"/>
      <c r="CSJ25" s="287"/>
      <c r="CSK25" s="287"/>
      <c r="CSL25" s="287"/>
      <c r="CSM25" s="287"/>
      <c r="CSN25" s="287"/>
      <c r="CSO25" s="287"/>
      <c r="CSP25" s="287"/>
      <c r="CSQ25" s="287"/>
      <c r="CSR25" s="287"/>
      <c r="CSS25" s="287"/>
      <c r="CST25" s="287"/>
      <c r="CSU25" s="287"/>
      <c r="CSV25" s="287"/>
      <c r="CSW25" s="632"/>
      <c r="CSX25" s="287"/>
      <c r="CSY25" s="633"/>
      <c r="CSZ25" s="287"/>
      <c r="CTA25" s="287"/>
      <c r="CTB25" s="287"/>
      <c r="CTC25" s="287"/>
      <c r="CTD25" s="287"/>
      <c r="CTE25" s="287"/>
      <c r="CTF25" s="287"/>
      <c r="CTG25" s="287"/>
      <c r="CTH25" s="287"/>
      <c r="CTI25" s="287"/>
      <c r="CTJ25" s="287"/>
      <c r="CTK25" s="287"/>
      <c r="CTL25" s="287"/>
      <c r="CTM25" s="632"/>
      <c r="CTN25" s="287"/>
      <c r="CTO25" s="633"/>
      <c r="CTP25" s="287"/>
      <c r="CTQ25" s="287"/>
      <c r="CTR25" s="287"/>
      <c r="CTS25" s="287"/>
      <c r="CTT25" s="287"/>
      <c r="CTU25" s="287"/>
      <c r="CTV25" s="287"/>
      <c r="CTW25" s="287"/>
      <c r="CTX25" s="287"/>
      <c r="CTY25" s="287"/>
      <c r="CTZ25" s="287"/>
      <c r="CUA25" s="287"/>
      <c r="CUB25" s="287"/>
      <c r="CUC25" s="632"/>
      <c r="CUD25" s="287"/>
      <c r="CUE25" s="633"/>
      <c r="CUF25" s="287"/>
      <c r="CUG25" s="287"/>
      <c r="CUH25" s="287"/>
      <c r="CUI25" s="287"/>
      <c r="CUJ25" s="287"/>
      <c r="CUK25" s="287"/>
      <c r="CUL25" s="287"/>
      <c r="CUM25" s="287"/>
      <c r="CUN25" s="287"/>
      <c r="CUO25" s="287"/>
      <c r="CUP25" s="287"/>
      <c r="CUQ25" s="287"/>
      <c r="CUR25" s="287"/>
      <c r="CUS25" s="632"/>
      <c r="CUT25" s="287"/>
      <c r="CUU25" s="633"/>
      <c r="CUV25" s="287"/>
      <c r="CUW25" s="287"/>
      <c r="CUX25" s="287"/>
      <c r="CUY25" s="287"/>
      <c r="CUZ25" s="287"/>
      <c r="CVA25" s="287"/>
      <c r="CVB25" s="287"/>
      <c r="CVC25" s="287"/>
      <c r="CVD25" s="287"/>
      <c r="CVE25" s="287"/>
      <c r="CVF25" s="287"/>
      <c r="CVG25" s="287"/>
      <c r="CVH25" s="287"/>
      <c r="CVI25" s="632"/>
      <c r="CVJ25" s="287"/>
      <c r="CVK25" s="633"/>
      <c r="CVL25" s="287"/>
      <c r="CVM25" s="287"/>
      <c r="CVN25" s="287"/>
      <c r="CVO25" s="287"/>
      <c r="CVP25" s="287"/>
      <c r="CVQ25" s="287"/>
      <c r="CVR25" s="287"/>
      <c r="CVS25" s="287"/>
      <c r="CVT25" s="287"/>
      <c r="CVU25" s="287"/>
      <c r="CVV25" s="287"/>
      <c r="CVW25" s="287"/>
      <c r="CVX25" s="287"/>
      <c r="CVY25" s="632"/>
      <c r="CVZ25" s="287"/>
      <c r="CWA25" s="633"/>
      <c r="CWB25" s="287"/>
      <c r="CWC25" s="287"/>
      <c r="CWD25" s="287"/>
      <c r="CWE25" s="287"/>
      <c r="CWF25" s="287"/>
      <c r="CWG25" s="287"/>
      <c r="CWH25" s="287"/>
      <c r="CWI25" s="287"/>
      <c r="CWJ25" s="287"/>
      <c r="CWK25" s="287"/>
      <c r="CWL25" s="287"/>
      <c r="CWM25" s="287"/>
      <c r="CWN25" s="287"/>
      <c r="CWO25" s="632"/>
      <c r="CWP25" s="287"/>
      <c r="CWQ25" s="633"/>
      <c r="CWR25" s="287"/>
      <c r="CWS25" s="287"/>
      <c r="CWT25" s="287"/>
      <c r="CWU25" s="287"/>
      <c r="CWV25" s="287"/>
      <c r="CWW25" s="287"/>
      <c r="CWX25" s="287"/>
      <c r="CWY25" s="287"/>
      <c r="CWZ25" s="287"/>
      <c r="CXA25" s="287"/>
      <c r="CXB25" s="287"/>
      <c r="CXC25" s="287"/>
      <c r="CXD25" s="287"/>
      <c r="CXE25" s="632"/>
      <c r="CXF25" s="287"/>
      <c r="CXG25" s="633"/>
      <c r="CXH25" s="287"/>
      <c r="CXI25" s="287"/>
      <c r="CXJ25" s="287"/>
      <c r="CXK25" s="287"/>
      <c r="CXL25" s="287"/>
      <c r="CXM25" s="287"/>
      <c r="CXN25" s="287"/>
      <c r="CXO25" s="287"/>
      <c r="CXP25" s="287"/>
      <c r="CXQ25" s="287"/>
      <c r="CXR25" s="287"/>
      <c r="CXS25" s="287"/>
      <c r="CXT25" s="287"/>
      <c r="CXU25" s="632"/>
      <c r="CXV25" s="287"/>
      <c r="CXW25" s="633"/>
      <c r="CXX25" s="287"/>
      <c r="CXY25" s="287"/>
      <c r="CXZ25" s="287"/>
      <c r="CYA25" s="287"/>
      <c r="CYB25" s="287"/>
      <c r="CYC25" s="287"/>
      <c r="CYD25" s="287"/>
      <c r="CYE25" s="287"/>
      <c r="CYF25" s="287"/>
      <c r="CYG25" s="287"/>
      <c r="CYH25" s="287"/>
      <c r="CYI25" s="287"/>
      <c r="CYJ25" s="287"/>
      <c r="CYK25" s="632"/>
      <c r="CYL25" s="287"/>
      <c r="CYM25" s="633"/>
      <c r="CYN25" s="287"/>
      <c r="CYO25" s="287"/>
      <c r="CYP25" s="287"/>
      <c r="CYQ25" s="287"/>
      <c r="CYR25" s="287"/>
      <c r="CYS25" s="287"/>
      <c r="CYT25" s="287"/>
      <c r="CYU25" s="287"/>
      <c r="CYV25" s="287"/>
      <c r="CYW25" s="287"/>
      <c r="CYX25" s="287"/>
      <c r="CYY25" s="287"/>
      <c r="CYZ25" s="287"/>
      <c r="CZA25" s="632"/>
      <c r="CZB25" s="287"/>
      <c r="CZC25" s="633"/>
      <c r="CZD25" s="287"/>
      <c r="CZE25" s="287"/>
      <c r="CZF25" s="287"/>
      <c r="CZG25" s="287"/>
      <c r="CZH25" s="287"/>
      <c r="CZI25" s="287"/>
      <c r="CZJ25" s="287"/>
      <c r="CZK25" s="287"/>
      <c r="CZL25" s="287"/>
      <c r="CZM25" s="287"/>
      <c r="CZN25" s="287"/>
      <c r="CZO25" s="287"/>
      <c r="CZP25" s="287"/>
      <c r="CZQ25" s="632"/>
      <c r="CZR25" s="287"/>
      <c r="CZS25" s="633"/>
      <c r="CZT25" s="287"/>
      <c r="CZU25" s="287"/>
      <c r="CZV25" s="287"/>
      <c r="CZW25" s="287"/>
      <c r="CZX25" s="287"/>
      <c r="CZY25" s="287"/>
      <c r="CZZ25" s="287"/>
      <c r="DAA25" s="287"/>
      <c r="DAB25" s="287"/>
      <c r="DAC25" s="287"/>
      <c r="DAD25" s="287"/>
      <c r="DAE25" s="287"/>
      <c r="DAF25" s="287"/>
      <c r="DAG25" s="632"/>
      <c r="DAH25" s="287"/>
      <c r="DAI25" s="633"/>
      <c r="DAJ25" s="287"/>
      <c r="DAK25" s="287"/>
      <c r="DAL25" s="287"/>
      <c r="DAM25" s="287"/>
      <c r="DAN25" s="287"/>
      <c r="DAO25" s="287"/>
      <c r="DAP25" s="287"/>
      <c r="DAQ25" s="287"/>
      <c r="DAR25" s="287"/>
      <c r="DAS25" s="287"/>
      <c r="DAT25" s="287"/>
      <c r="DAU25" s="287"/>
      <c r="DAV25" s="287"/>
      <c r="DAW25" s="632"/>
      <c r="DAX25" s="287"/>
      <c r="DAY25" s="633"/>
      <c r="DAZ25" s="287"/>
      <c r="DBA25" s="287"/>
      <c r="DBB25" s="287"/>
      <c r="DBC25" s="287"/>
      <c r="DBD25" s="287"/>
      <c r="DBE25" s="287"/>
      <c r="DBF25" s="287"/>
      <c r="DBG25" s="287"/>
      <c r="DBH25" s="287"/>
      <c r="DBI25" s="287"/>
      <c r="DBJ25" s="287"/>
      <c r="DBK25" s="287"/>
      <c r="DBL25" s="287"/>
      <c r="DBM25" s="632"/>
      <c r="DBN25" s="287"/>
      <c r="DBO25" s="633"/>
      <c r="DBP25" s="287"/>
      <c r="DBQ25" s="287"/>
      <c r="DBR25" s="287"/>
      <c r="DBS25" s="287"/>
      <c r="DBT25" s="287"/>
      <c r="DBU25" s="287"/>
      <c r="DBV25" s="287"/>
      <c r="DBW25" s="287"/>
      <c r="DBX25" s="287"/>
      <c r="DBY25" s="287"/>
      <c r="DBZ25" s="287"/>
      <c r="DCA25" s="287"/>
      <c r="DCB25" s="287"/>
      <c r="DCC25" s="632"/>
      <c r="DCD25" s="287"/>
      <c r="DCE25" s="633"/>
      <c r="DCF25" s="287"/>
      <c r="DCG25" s="287"/>
      <c r="DCH25" s="287"/>
      <c r="DCI25" s="287"/>
      <c r="DCJ25" s="287"/>
      <c r="DCK25" s="287"/>
      <c r="DCL25" s="287"/>
      <c r="DCM25" s="287"/>
      <c r="DCN25" s="287"/>
      <c r="DCO25" s="287"/>
      <c r="DCP25" s="287"/>
      <c r="DCQ25" s="287"/>
      <c r="DCR25" s="287"/>
      <c r="DCS25" s="632"/>
      <c r="DCT25" s="287"/>
      <c r="DCU25" s="633"/>
      <c r="DCV25" s="287"/>
      <c r="DCW25" s="287"/>
      <c r="DCX25" s="287"/>
      <c r="DCY25" s="287"/>
      <c r="DCZ25" s="287"/>
      <c r="DDA25" s="287"/>
      <c r="DDB25" s="287"/>
      <c r="DDC25" s="287"/>
      <c r="DDD25" s="287"/>
      <c r="DDE25" s="287"/>
      <c r="DDF25" s="287"/>
      <c r="DDG25" s="287"/>
      <c r="DDH25" s="287"/>
      <c r="DDI25" s="632"/>
      <c r="DDJ25" s="287"/>
      <c r="DDK25" s="633"/>
      <c r="DDL25" s="287"/>
      <c r="DDM25" s="287"/>
      <c r="DDN25" s="287"/>
      <c r="DDO25" s="287"/>
      <c r="DDP25" s="287"/>
      <c r="DDQ25" s="287"/>
      <c r="DDR25" s="287"/>
      <c r="DDS25" s="287"/>
      <c r="DDT25" s="287"/>
      <c r="DDU25" s="287"/>
      <c r="DDV25" s="287"/>
      <c r="DDW25" s="287"/>
      <c r="DDX25" s="287"/>
      <c r="DDY25" s="632"/>
      <c r="DDZ25" s="287"/>
      <c r="DEA25" s="633"/>
      <c r="DEB25" s="287"/>
      <c r="DEC25" s="287"/>
      <c r="DED25" s="287"/>
      <c r="DEE25" s="287"/>
      <c r="DEF25" s="287"/>
      <c r="DEG25" s="287"/>
      <c r="DEH25" s="287"/>
      <c r="DEI25" s="287"/>
      <c r="DEJ25" s="287"/>
      <c r="DEK25" s="287"/>
      <c r="DEL25" s="287"/>
      <c r="DEM25" s="287"/>
      <c r="DEN25" s="287"/>
      <c r="DEO25" s="632"/>
      <c r="DEP25" s="287"/>
      <c r="DEQ25" s="633"/>
      <c r="DER25" s="287"/>
      <c r="DES25" s="287"/>
      <c r="DET25" s="287"/>
      <c r="DEU25" s="287"/>
      <c r="DEV25" s="287"/>
      <c r="DEW25" s="287"/>
      <c r="DEX25" s="287"/>
      <c r="DEY25" s="287"/>
      <c r="DEZ25" s="287"/>
      <c r="DFA25" s="287"/>
      <c r="DFB25" s="287"/>
      <c r="DFC25" s="287"/>
      <c r="DFD25" s="287"/>
      <c r="DFE25" s="632"/>
      <c r="DFF25" s="287"/>
      <c r="DFG25" s="633"/>
      <c r="DFH25" s="287"/>
      <c r="DFI25" s="287"/>
      <c r="DFJ25" s="287"/>
      <c r="DFK25" s="287"/>
      <c r="DFL25" s="287"/>
      <c r="DFM25" s="287"/>
      <c r="DFN25" s="287"/>
      <c r="DFO25" s="287"/>
      <c r="DFP25" s="287"/>
      <c r="DFQ25" s="287"/>
      <c r="DFR25" s="287"/>
      <c r="DFS25" s="287"/>
      <c r="DFT25" s="287"/>
      <c r="DFU25" s="632"/>
      <c r="DFV25" s="287"/>
      <c r="DFW25" s="633"/>
      <c r="DFX25" s="287"/>
      <c r="DFY25" s="287"/>
      <c r="DFZ25" s="287"/>
      <c r="DGA25" s="287"/>
      <c r="DGB25" s="287"/>
      <c r="DGC25" s="287"/>
      <c r="DGD25" s="287"/>
      <c r="DGE25" s="287"/>
      <c r="DGF25" s="287"/>
      <c r="DGG25" s="287"/>
      <c r="DGH25" s="287"/>
      <c r="DGI25" s="287"/>
      <c r="DGJ25" s="287"/>
      <c r="DGK25" s="632"/>
      <c r="DGL25" s="287"/>
      <c r="DGM25" s="633"/>
      <c r="DGN25" s="287"/>
      <c r="DGO25" s="287"/>
      <c r="DGP25" s="287"/>
      <c r="DGQ25" s="287"/>
      <c r="DGR25" s="287"/>
      <c r="DGS25" s="287"/>
      <c r="DGT25" s="287"/>
      <c r="DGU25" s="287"/>
      <c r="DGV25" s="287"/>
      <c r="DGW25" s="287"/>
      <c r="DGX25" s="287"/>
      <c r="DGY25" s="287"/>
      <c r="DGZ25" s="287"/>
      <c r="DHA25" s="632"/>
      <c r="DHB25" s="287"/>
      <c r="DHC25" s="633"/>
      <c r="DHD25" s="287"/>
      <c r="DHE25" s="287"/>
      <c r="DHF25" s="287"/>
      <c r="DHG25" s="287"/>
      <c r="DHH25" s="287"/>
      <c r="DHI25" s="287"/>
      <c r="DHJ25" s="287"/>
      <c r="DHK25" s="287"/>
      <c r="DHL25" s="287"/>
      <c r="DHM25" s="287"/>
      <c r="DHN25" s="287"/>
      <c r="DHO25" s="287"/>
      <c r="DHP25" s="287"/>
      <c r="DHQ25" s="632"/>
      <c r="DHR25" s="287"/>
      <c r="DHS25" s="633"/>
      <c r="DHT25" s="287"/>
      <c r="DHU25" s="287"/>
      <c r="DHV25" s="287"/>
      <c r="DHW25" s="287"/>
      <c r="DHX25" s="287"/>
      <c r="DHY25" s="287"/>
      <c r="DHZ25" s="287"/>
      <c r="DIA25" s="287"/>
      <c r="DIB25" s="287"/>
      <c r="DIC25" s="287"/>
      <c r="DID25" s="287"/>
      <c r="DIE25" s="287"/>
      <c r="DIF25" s="287"/>
      <c r="DIG25" s="632"/>
      <c r="DIH25" s="287"/>
      <c r="DII25" s="633"/>
      <c r="DIJ25" s="287"/>
      <c r="DIK25" s="287"/>
      <c r="DIL25" s="287"/>
      <c r="DIM25" s="287"/>
      <c r="DIN25" s="287"/>
      <c r="DIO25" s="287"/>
      <c r="DIP25" s="287"/>
      <c r="DIQ25" s="287"/>
      <c r="DIR25" s="287"/>
      <c r="DIS25" s="287"/>
      <c r="DIT25" s="287"/>
      <c r="DIU25" s="287"/>
      <c r="DIV25" s="287"/>
      <c r="DIW25" s="632"/>
      <c r="DIX25" s="287"/>
      <c r="DIY25" s="633"/>
      <c r="DIZ25" s="287"/>
      <c r="DJA25" s="287"/>
      <c r="DJB25" s="287"/>
      <c r="DJC25" s="287"/>
      <c r="DJD25" s="287"/>
      <c r="DJE25" s="287"/>
      <c r="DJF25" s="287"/>
      <c r="DJG25" s="287"/>
      <c r="DJH25" s="287"/>
      <c r="DJI25" s="287"/>
      <c r="DJJ25" s="287"/>
      <c r="DJK25" s="287"/>
      <c r="DJL25" s="287"/>
      <c r="DJM25" s="632"/>
      <c r="DJN25" s="287"/>
      <c r="DJO25" s="633"/>
      <c r="DJP25" s="287"/>
      <c r="DJQ25" s="287"/>
      <c r="DJR25" s="287"/>
      <c r="DJS25" s="287"/>
      <c r="DJT25" s="287"/>
      <c r="DJU25" s="287"/>
      <c r="DJV25" s="287"/>
      <c r="DJW25" s="287"/>
      <c r="DJX25" s="287"/>
      <c r="DJY25" s="287"/>
      <c r="DJZ25" s="287"/>
      <c r="DKA25" s="287"/>
      <c r="DKB25" s="287"/>
      <c r="DKC25" s="632"/>
      <c r="DKD25" s="287"/>
      <c r="DKE25" s="633"/>
      <c r="DKF25" s="287"/>
      <c r="DKG25" s="287"/>
      <c r="DKH25" s="287"/>
      <c r="DKI25" s="287"/>
      <c r="DKJ25" s="287"/>
      <c r="DKK25" s="287"/>
      <c r="DKL25" s="287"/>
      <c r="DKM25" s="287"/>
      <c r="DKN25" s="287"/>
      <c r="DKO25" s="287"/>
      <c r="DKP25" s="287"/>
      <c r="DKQ25" s="287"/>
      <c r="DKR25" s="287"/>
      <c r="DKS25" s="632"/>
      <c r="DKT25" s="287"/>
      <c r="DKU25" s="633"/>
      <c r="DKV25" s="287"/>
      <c r="DKW25" s="287"/>
      <c r="DKX25" s="287"/>
      <c r="DKY25" s="287"/>
      <c r="DKZ25" s="287"/>
      <c r="DLA25" s="287"/>
      <c r="DLB25" s="287"/>
      <c r="DLC25" s="287"/>
      <c r="DLD25" s="287"/>
      <c r="DLE25" s="287"/>
      <c r="DLF25" s="287"/>
      <c r="DLG25" s="287"/>
      <c r="DLH25" s="287"/>
      <c r="DLI25" s="632"/>
      <c r="DLJ25" s="287"/>
      <c r="DLK25" s="633"/>
      <c r="DLL25" s="287"/>
      <c r="DLM25" s="287"/>
      <c r="DLN25" s="287"/>
      <c r="DLO25" s="287"/>
      <c r="DLP25" s="287"/>
      <c r="DLQ25" s="287"/>
      <c r="DLR25" s="287"/>
      <c r="DLS25" s="287"/>
      <c r="DLT25" s="287"/>
      <c r="DLU25" s="287"/>
      <c r="DLV25" s="287"/>
      <c r="DLW25" s="287"/>
      <c r="DLX25" s="287"/>
      <c r="DLY25" s="632"/>
      <c r="DLZ25" s="287"/>
      <c r="DMA25" s="633"/>
      <c r="DMB25" s="287"/>
      <c r="DMC25" s="287"/>
      <c r="DMD25" s="287"/>
      <c r="DME25" s="287"/>
      <c r="DMF25" s="287"/>
      <c r="DMG25" s="287"/>
      <c r="DMH25" s="287"/>
      <c r="DMI25" s="287"/>
      <c r="DMJ25" s="287"/>
      <c r="DMK25" s="287"/>
      <c r="DML25" s="287"/>
      <c r="DMM25" s="287"/>
      <c r="DMN25" s="287"/>
      <c r="DMO25" s="632"/>
      <c r="DMP25" s="287"/>
      <c r="DMQ25" s="633"/>
      <c r="DMR25" s="287"/>
      <c r="DMS25" s="287"/>
      <c r="DMT25" s="287"/>
      <c r="DMU25" s="287"/>
      <c r="DMV25" s="287"/>
      <c r="DMW25" s="287"/>
      <c r="DMX25" s="287"/>
      <c r="DMY25" s="287"/>
      <c r="DMZ25" s="287"/>
      <c r="DNA25" s="287"/>
      <c r="DNB25" s="287"/>
      <c r="DNC25" s="287"/>
      <c r="DND25" s="287"/>
      <c r="DNE25" s="632"/>
      <c r="DNF25" s="287"/>
      <c r="DNG25" s="633"/>
      <c r="DNH25" s="287"/>
      <c r="DNI25" s="287"/>
      <c r="DNJ25" s="287"/>
      <c r="DNK25" s="287"/>
      <c r="DNL25" s="287"/>
      <c r="DNM25" s="287"/>
      <c r="DNN25" s="287"/>
      <c r="DNO25" s="287"/>
      <c r="DNP25" s="287"/>
      <c r="DNQ25" s="287"/>
      <c r="DNR25" s="287"/>
      <c r="DNS25" s="287"/>
      <c r="DNT25" s="287"/>
      <c r="DNU25" s="632"/>
      <c r="DNV25" s="287"/>
      <c r="DNW25" s="633"/>
      <c r="DNX25" s="287"/>
      <c r="DNY25" s="287"/>
      <c r="DNZ25" s="287"/>
      <c r="DOA25" s="287"/>
      <c r="DOB25" s="287"/>
      <c r="DOC25" s="287"/>
      <c r="DOD25" s="287"/>
      <c r="DOE25" s="287"/>
      <c r="DOF25" s="287"/>
      <c r="DOG25" s="287"/>
      <c r="DOH25" s="287"/>
      <c r="DOI25" s="287"/>
      <c r="DOJ25" s="287"/>
      <c r="DOK25" s="632"/>
      <c r="DOL25" s="287"/>
      <c r="DOM25" s="633"/>
      <c r="DON25" s="287"/>
      <c r="DOO25" s="287"/>
      <c r="DOP25" s="287"/>
      <c r="DOQ25" s="287"/>
      <c r="DOR25" s="287"/>
      <c r="DOS25" s="287"/>
      <c r="DOT25" s="287"/>
      <c r="DOU25" s="287"/>
      <c r="DOV25" s="287"/>
      <c r="DOW25" s="287"/>
      <c r="DOX25" s="287"/>
      <c r="DOY25" s="287"/>
      <c r="DOZ25" s="287"/>
      <c r="DPA25" s="632"/>
      <c r="DPB25" s="287"/>
      <c r="DPC25" s="633"/>
      <c r="DPD25" s="287"/>
      <c r="DPE25" s="287"/>
      <c r="DPF25" s="287"/>
      <c r="DPG25" s="287"/>
      <c r="DPH25" s="287"/>
      <c r="DPI25" s="287"/>
      <c r="DPJ25" s="287"/>
      <c r="DPK25" s="287"/>
      <c r="DPL25" s="287"/>
      <c r="DPM25" s="287"/>
      <c r="DPN25" s="287"/>
      <c r="DPO25" s="287"/>
      <c r="DPP25" s="287"/>
      <c r="DPQ25" s="632"/>
      <c r="DPR25" s="287"/>
      <c r="DPS25" s="633"/>
      <c r="DPT25" s="287"/>
      <c r="DPU25" s="287"/>
      <c r="DPV25" s="287"/>
      <c r="DPW25" s="287"/>
      <c r="DPX25" s="287"/>
      <c r="DPY25" s="287"/>
      <c r="DPZ25" s="287"/>
      <c r="DQA25" s="287"/>
      <c r="DQB25" s="287"/>
      <c r="DQC25" s="287"/>
      <c r="DQD25" s="287"/>
      <c r="DQE25" s="287"/>
      <c r="DQF25" s="287"/>
      <c r="DQG25" s="632"/>
      <c r="DQH25" s="287"/>
      <c r="DQI25" s="633"/>
      <c r="DQJ25" s="287"/>
      <c r="DQK25" s="287"/>
      <c r="DQL25" s="287"/>
      <c r="DQM25" s="287"/>
      <c r="DQN25" s="287"/>
      <c r="DQO25" s="287"/>
      <c r="DQP25" s="287"/>
      <c r="DQQ25" s="287"/>
      <c r="DQR25" s="287"/>
      <c r="DQS25" s="287"/>
      <c r="DQT25" s="287"/>
      <c r="DQU25" s="287"/>
      <c r="DQV25" s="287"/>
      <c r="DQW25" s="632"/>
      <c r="DQX25" s="287"/>
      <c r="DQY25" s="633"/>
      <c r="DQZ25" s="287"/>
      <c r="DRA25" s="287"/>
      <c r="DRB25" s="287"/>
      <c r="DRC25" s="287"/>
      <c r="DRD25" s="287"/>
      <c r="DRE25" s="287"/>
      <c r="DRF25" s="287"/>
      <c r="DRG25" s="287"/>
      <c r="DRH25" s="287"/>
      <c r="DRI25" s="287"/>
      <c r="DRJ25" s="287"/>
      <c r="DRK25" s="287"/>
      <c r="DRL25" s="287"/>
      <c r="DRM25" s="632"/>
      <c r="DRN25" s="287"/>
      <c r="DRO25" s="633"/>
      <c r="DRP25" s="287"/>
      <c r="DRQ25" s="287"/>
      <c r="DRR25" s="287"/>
      <c r="DRS25" s="287"/>
      <c r="DRT25" s="287"/>
      <c r="DRU25" s="287"/>
      <c r="DRV25" s="287"/>
      <c r="DRW25" s="287"/>
      <c r="DRX25" s="287"/>
      <c r="DRY25" s="287"/>
      <c r="DRZ25" s="287"/>
      <c r="DSA25" s="287"/>
      <c r="DSB25" s="287"/>
      <c r="DSC25" s="632"/>
      <c r="DSD25" s="287"/>
      <c r="DSE25" s="633"/>
      <c r="DSF25" s="287"/>
      <c r="DSG25" s="287"/>
      <c r="DSH25" s="287"/>
      <c r="DSI25" s="287"/>
      <c r="DSJ25" s="287"/>
      <c r="DSK25" s="287"/>
      <c r="DSL25" s="287"/>
      <c r="DSM25" s="287"/>
      <c r="DSN25" s="287"/>
      <c r="DSO25" s="287"/>
      <c r="DSP25" s="287"/>
      <c r="DSQ25" s="287"/>
      <c r="DSR25" s="287"/>
      <c r="DSS25" s="632"/>
      <c r="DST25" s="287"/>
      <c r="DSU25" s="633"/>
      <c r="DSV25" s="287"/>
      <c r="DSW25" s="287"/>
      <c r="DSX25" s="287"/>
      <c r="DSY25" s="287"/>
      <c r="DSZ25" s="287"/>
      <c r="DTA25" s="287"/>
      <c r="DTB25" s="287"/>
      <c r="DTC25" s="287"/>
      <c r="DTD25" s="287"/>
      <c r="DTE25" s="287"/>
      <c r="DTF25" s="287"/>
      <c r="DTG25" s="287"/>
      <c r="DTH25" s="287"/>
      <c r="DTI25" s="632"/>
      <c r="DTJ25" s="287"/>
      <c r="DTK25" s="633"/>
      <c r="DTL25" s="287"/>
      <c r="DTM25" s="287"/>
      <c r="DTN25" s="287"/>
      <c r="DTO25" s="287"/>
      <c r="DTP25" s="287"/>
      <c r="DTQ25" s="287"/>
      <c r="DTR25" s="287"/>
      <c r="DTS25" s="287"/>
      <c r="DTT25" s="287"/>
      <c r="DTU25" s="287"/>
      <c r="DTV25" s="287"/>
      <c r="DTW25" s="287"/>
      <c r="DTX25" s="287"/>
      <c r="DTY25" s="632"/>
      <c r="DTZ25" s="287"/>
      <c r="DUA25" s="633"/>
      <c r="DUB25" s="287"/>
      <c r="DUC25" s="287"/>
      <c r="DUD25" s="287"/>
      <c r="DUE25" s="287"/>
      <c r="DUF25" s="287"/>
      <c r="DUG25" s="287"/>
      <c r="DUH25" s="287"/>
      <c r="DUI25" s="287"/>
      <c r="DUJ25" s="287"/>
      <c r="DUK25" s="287"/>
      <c r="DUL25" s="287"/>
      <c r="DUM25" s="287"/>
      <c r="DUN25" s="287"/>
      <c r="DUO25" s="632"/>
      <c r="DUP25" s="287"/>
      <c r="DUQ25" s="633"/>
      <c r="DUR25" s="287"/>
      <c r="DUS25" s="287"/>
      <c r="DUT25" s="287"/>
      <c r="DUU25" s="287"/>
      <c r="DUV25" s="287"/>
      <c r="DUW25" s="287"/>
      <c r="DUX25" s="287"/>
      <c r="DUY25" s="287"/>
      <c r="DUZ25" s="287"/>
      <c r="DVA25" s="287"/>
      <c r="DVB25" s="287"/>
      <c r="DVC25" s="287"/>
      <c r="DVD25" s="287"/>
      <c r="DVE25" s="632"/>
      <c r="DVF25" s="287"/>
      <c r="DVG25" s="633"/>
      <c r="DVH25" s="287"/>
      <c r="DVI25" s="287"/>
      <c r="DVJ25" s="287"/>
      <c r="DVK25" s="287"/>
      <c r="DVL25" s="287"/>
      <c r="DVM25" s="287"/>
      <c r="DVN25" s="287"/>
      <c r="DVO25" s="287"/>
      <c r="DVP25" s="287"/>
      <c r="DVQ25" s="287"/>
      <c r="DVR25" s="287"/>
      <c r="DVS25" s="287"/>
      <c r="DVT25" s="287"/>
      <c r="DVU25" s="632"/>
      <c r="DVV25" s="287"/>
      <c r="DVW25" s="633"/>
      <c r="DVX25" s="287"/>
      <c r="DVY25" s="287"/>
      <c r="DVZ25" s="287"/>
      <c r="DWA25" s="287"/>
      <c r="DWB25" s="287"/>
      <c r="DWC25" s="287"/>
      <c r="DWD25" s="287"/>
      <c r="DWE25" s="287"/>
      <c r="DWF25" s="287"/>
      <c r="DWG25" s="287"/>
      <c r="DWH25" s="287"/>
      <c r="DWI25" s="287"/>
      <c r="DWJ25" s="287"/>
      <c r="DWK25" s="632"/>
      <c r="DWL25" s="287"/>
      <c r="DWM25" s="633"/>
      <c r="DWN25" s="287"/>
      <c r="DWO25" s="287"/>
      <c r="DWP25" s="287"/>
      <c r="DWQ25" s="287"/>
      <c r="DWR25" s="287"/>
      <c r="DWS25" s="287"/>
      <c r="DWT25" s="287"/>
      <c r="DWU25" s="287"/>
      <c r="DWV25" s="287"/>
      <c r="DWW25" s="287"/>
      <c r="DWX25" s="287"/>
      <c r="DWY25" s="287"/>
      <c r="DWZ25" s="287"/>
      <c r="DXA25" s="632"/>
      <c r="DXB25" s="287"/>
      <c r="DXC25" s="633"/>
      <c r="DXD25" s="287"/>
      <c r="DXE25" s="287"/>
      <c r="DXF25" s="287"/>
      <c r="DXG25" s="287"/>
      <c r="DXH25" s="287"/>
      <c r="DXI25" s="287"/>
      <c r="DXJ25" s="287"/>
      <c r="DXK25" s="287"/>
      <c r="DXL25" s="287"/>
      <c r="DXM25" s="287"/>
      <c r="DXN25" s="287"/>
      <c r="DXO25" s="287"/>
      <c r="DXP25" s="287"/>
      <c r="DXQ25" s="632"/>
      <c r="DXR25" s="287"/>
      <c r="DXS25" s="633"/>
      <c r="DXT25" s="287"/>
      <c r="DXU25" s="287"/>
      <c r="DXV25" s="287"/>
      <c r="DXW25" s="287"/>
      <c r="DXX25" s="287"/>
      <c r="DXY25" s="287"/>
      <c r="DXZ25" s="287"/>
      <c r="DYA25" s="287"/>
      <c r="DYB25" s="287"/>
      <c r="DYC25" s="287"/>
      <c r="DYD25" s="287"/>
      <c r="DYE25" s="287"/>
      <c r="DYF25" s="287"/>
      <c r="DYG25" s="632"/>
      <c r="DYH25" s="287"/>
      <c r="DYI25" s="633"/>
      <c r="DYJ25" s="287"/>
      <c r="DYK25" s="287"/>
      <c r="DYL25" s="287"/>
      <c r="DYM25" s="287"/>
      <c r="DYN25" s="287"/>
      <c r="DYO25" s="287"/>
      <c r="DYP25" s="287"/>
      <c r="DYQ25" s="287"/>
      <c r="DYR25" s="287"/>
      <c r="DYS25" s="287"/>
      <c r="DYT25" s="287"/>
      <c r="DYU25" s="287"/>
      <c r="DYV25" s="287"/>
      <c r="DYW25" s="632"/>
      <c r="DYX25" s="287"/>
      <c r="DYY25" s="633"/>
      <c r="DYZ25" s="287"/>
      <c r="DZA25" s="287"/>
      <c r="DZB25" s="287"/>
      <c r="DZC25" s="287"/>
      <c r="DZD25" s="287"/>
      <c r="DZE25" s="287"/>
      <c r="DZF25" s="287"/>
      <c r="DZG25" s="287"/>
      <c r="DZH25" s="287"/>
      <c r="DZI25" s="287"/>
      <c r="DZJ25" s="287"/>
      <c r="DZK25" s="287"/>
      <c r="DZL25" s="287"/>
      <c r="DZM25" s="632"/>
      <c r="DZN25" s="287"/>
      <c r="DZO25" s="633"/>
      <c r="DZP25" s="287"/>
      <c r="DZQ25" s="287"/>
      <c r="DZR25" s="287"/>
      <c r="DZS25" s="287"/>
      <c r="DZT25" s="287"/>
      <c r="DZU25" s="287"/>
      <c r="DZV25" s="287"/>
      <c r="DZW25" s="287"/>
      <c r="DZX25" s="287"/>
      <c r="DZY25" s="287"/>
      <c r="DZZ25" s="287"/>
      <c r="EAA25" s="287"/>
      <c r="EAB25" s="287"/>
      <c r="EAC25" s="632"/>
      <c r="EAD25" s="287"/>
      <c r="EAE25" s="633"/>
      <c r="EAF25" s="287"/>
      <c r="EAG25" s="287"/>
      <c r="EAH25" s="287"/>
      <c r="EAI25" s="287"/>
      <c r="EAJ25" s="287"/>
      <c r="EAK25" s="287"/>
      <c r="EAL25" s="287"/>
      <c r="EAM25" s="287"/>
      <c r="EAN25" s="287"/>
      <c r="EAO25" s="287"/>
      <c r="EAP25" s="287"/>
      <c r="EAQ25" s="287"/>
      <c r="EAR25" s="287"/>
      <c r="EAS25" s="632"/>
      <c r="EAT25" s="287"/>
      <c r="EAU25" s="633"/>
      <c r="EAV25" s="287"/>
      <c r="EAW25" s="287"/>
      <c r="EAX25" s="287"/>
      <c r="EAY25" s="287"/>
      <c r="EAZ25" s="287"/>
      <c r="EBA25" s="287"/>
      <c r="EBB25" s="287"/>
      <c r="EBC25" s="287"/>
      <c r="EBD25" s="287"/>
      <c r="EBE25" s="287"/>
      <c r="EBF25" s="287"/>
      <c r="EBG25" s="287"/>
      <c r="EBH25" s="287"/>
      <c r="EBI25" s="632"/>
      <c r="EBJ25" s="287"/>
      <c r="EBK25" s="633"/>
      <c r="EBL25" s="287"/>
      <c r="EBM25" s="287"/>
      <c r="EBN25" s="287"/>
      <c r="EBO25" s="287"/>
      <c r="EBP25" s="287"/>
      <c r="EBQ25" s="287"/>
      <c r="EBR25" s="287"/>
      <c r="EBS25" s="287"/>
      <c r="EBT25" s="287"/>
      <c r="EBU25" s="287"/>
      <c r="EBV25" s="287"/>
      <c r="EBW25" s="287"/>
      <c r="EBX25" s="287"/>
      <c r="EBY25" s="632"/>
      <c r="EBZ25" s="287"/>
      <c r="ECA25" s="633"/>
      <c r="ECB25" s="287"/>
      <c r="ECC25" s="287"/>
      <c r="ECD25" s="287"/>
      <c r="ECE25" s="287"/>
      <c r="ECF25" s="287"/>
      <c r="ECG25" s="287"/>
      <c r="ECH25" s="287"/>
      <c r="ECI25" s="287"/>
      <c r="ECJ25" s="287"/>
      <c r="ECK25" s="287"/>
      <c r="ECL25" s="287"/>
      <c r="ECM25" s="287"/>
      <c r="ECN25" s="287"/>
      <c r="ECO25" s="632"/>
      <c r="ECP25" s="287"/>
      <c r="ECQ25" s="633"/>
      <c r="ECR25" s="287"/>
      <c r="ECS25" s="287"/>
      <c r="ECT25" s="287"/>
      <c r="ECU25" s="287"/>
      <c r="ECV25" s="287"/>
      <c r="ECW25" s="287"/>
      <c r="ECX25" s="287"/>
      <c r="ECY25" s="287"/>
      <c r="ECZ25" s="287"/>
      <c r="EDA25" s="287"/>
      <c r="EDB25" s="287"/>
      <c r="EDC25" s="287"/>
      <c r="EDD25" s="287"/>
      <c r="EDE25" s="632"/>
      <c r="EDF25" s="287"/>
      <c r="EDG25" s="633"/>
      <c r="EDH25" s="287"/>
      <c r="EDI25" s="287"/>
      <c r="EDJ25" s="287"/>
      <c r="EDK25" s="287"/>
      <c r="EDL25" s="287"/>
      <c r="EDM25" s="287"/>
      <c r="EDN25" s="287"/>
      <c r="EDO25" s="287"/>
      <c r="EDP25" s="287"/>
      <c r="EDQ25" s="287"/>
      <c r="EDR25" s="287"/>
      <c r="EDS25" s="287"/>
      <c r="EDT25" s="287"/>
      <c r="EDU25" s="632"/>
      <c r="EDV25" s="287"/>
      <c r="EDW25" s="633"/>
      <c r="EDX25" s="287"/>
      <c r="EDY25" s="287"/>
      <c r="EDZ25" s="287"/>
      <c r="EEA25" s="287"/>
      <c r="EEB25" s="287"/>
      <c r="EEC25" s="287"/>
      <c r="EED25" s="287"/>
      <c r="EEE25" s="287"/>
      <c r="EEF25" s="287"/>
      <c r="EEG25" s="287"/>
      <c r="EEH25" s="287"/>
      <c r="EEI25" s="287"/>
      <c r="EEJ25" s="287"/>
      <c r="EEK25" s="632"/>
      <c r="EEL25" s="287"/>
      <c r="EEM25" s="633"/>
      <c r="EEN25" s="287"/>
      <c r="EEO25" s="287"/>
      <c r="EEP25" s="287"/>
      <c r="EEQ25" s="287"/>
      <c r="EER25" s="287"/>
      <c r="EES25" s="287"/>
      <c r="EET25" s="287"/>
      <c r="EEU25" s="287"/>
      <c r="EEV25" s="287"/>
      <c r="EEW25" s="287"/>
      <c r="EEX25" s="287"/>
      <c r="EEY25" s="287"/>
      <c r="EEZ25" s="287"/>
      <c r="EFA25" s="632"/>
      <c r="EFB25" s="287"/>
      <c r="EFC25" s="633"/>
      <c r="EFD25" s="287"/>
      <c r="EFE25" s="287"/>
      <c r="EFF25" s="287"/>
      <c r="EFG25" s="287"/>
      <c r="EFH25" s="287"/>
      <c r="EFI25" s="287"/>
      <c r="EFJ25" s="287"/>
      <c r="EFK25" s="287"/>
      <c r="EFL25" s="287"/>
      <c r="EFM25" s="287"/>
      <c r="EFN25" s="287"/>
      <c r="EFO25" s="287"/>
      <c r="EFP25" s="287"/>
      <c r="EFQ25" s="632"/>
      <c r="EFR25" s="287"/>
      <c r="EFS25" s="633"/>
      <c r="EFT25" s="287"/>
      <c r="EFU25" s="287"/>
      <c r="EFV25" s="287"/>
      <c r="EFW25" s="287"/>
      <c r="EFX25" s="287"/>
      <c r="EFY25" s="287"/>
      <c r="EFZ25" s="287"/>
      <c r="EGA25" s="287"/>
      <c r="EGB25" s="287"/>
      <c r="EGC25" s="287"/>
      <c r="EGD25" s="287"/>
      <c r="EGE25" s="287"/>
      <c r="EGF25" s="287"/>
      <c r="EGG25" s="632"/>
      <c r="EGH25" s="287"/>
      <c r="EGI25" s="633"/>
      <c r="EGJ25" s="287"/>
      <c r="EGK25" s="287"/>
      <c r="EGL25" s="287"/>
      <c r="EGM25" s="287"/>
      <c r="EGN25" s="287"/>
      <c r="EGO25" s="287"/>
      <c r="EGP25" s="287"/>
      <c r="EGQ25" s="287"/>
      <c r="EGR25" s="287"/>
      <c r="EGS25" s="287"/>
      <c r="EGT25" s="287"/>
      <c r="EGU25" s="287"/>
      <c r="EGV25" s="287"/>
      <c r="EGW25" s="632"/>
      <c r="EGX25" s="287"/>
      <c r="EGY25" s="633"/>
      <c r="EGZ25" s="287"/>
      <c r="EHA25" s="287"/>
      <c r="EHB25" s="287"/>
      <c r="EHC25" s="287"/>
      <c r="EHD25" s="287"/>
      <c r="EHE25" s="287"/>
      <c r="EHF25" s="287"/>
      <c r="EHG25" s="287"/>
      <c r="EHH25" s="287"/>
      <c r="EHI25" s="287"/>
      <c r="EHJ25" s="287"/>
      <c r="EHK25" s="287"/>
      <c r="EHL25" s="287"/>
      <c r="EHM25" s="632"/>
      <c r="EHN25" s="287"/>
      <c r="EHO25" s="633"/>
      <c r="EHP25" s="287"/>
      <c r="EHQ25" s="287"/>
      <c r="EHR25" s="287"/>
      <c r="EHS25" s="287"/>
      <c r="EHT25" s="287"/>
      <c r="EHU25" s="287"/>
      <c r="EHV25" s="287"/>
      <c r="EHW25" s="287"/>
      <c r="EHX25" s="287"/>
      <c r="EHY25" s="287"/>
      <c r="EHZ25" s="287"/>
      <c r="EIA25" s="287"/>
      <c r="EIB25" s="287"/>
      <c r="EIC25" s="632"/>
      <c r="EID25" s="287"/>
      <c r="EIE25" s="633"/>
      <c r="EIF25" s="287"/>
      <c r="EIG25" s="287"/>
      <c r="EIH25" s="287"/>
      <c r="EII25" s="287"/>
      <c r="EIJ25" s="287"/>
      <c r="EIK25" s="287"/>
      <c r="EIL25" s="287"/>
      <c r="EIM25" s="287"/>
      <c r="EIN25" s="287"/>
      <c r="EIO25" s="287"/>
      <c r="EIP25" s="287"/>
      <c r="EIQ25" s="287"/>
      <c r="EIR25" s="287"/>
      <c r="EIS25" s="632"/>
      <c r="EIT25" s="287"/>
      <c r="EIU25" s="633"/>
      <c r="EIV25" s="287"/>
      <c r="EIW25" s="287"/>
      <c r="EIX25" s="287"/>
      <c r="EIY25" s="287"/>
      <c r="EIZ25" s="287"/>
      <c r="EJA25" s="287"/>
      <c r="EJB25" s="287"/>
      <c r="EJC25" s="287"/>
      <c r="EJD25" s="287"/>
      <c r="EJE25" s="287"/>
      <c r="EJF25" s="287"/>
      <c r="EJG25" s="287"/>
      <c r="EJH25" s="287"/>
      <c r="EJI25" s="632"/>
      <c r="EJJ25" s="287"/>
      <c r="EJK25" s="633"/>
      <c r="EJL25" s="287"/>
      <c r="EJM25" s="287"/>
      <c r="EJN25" s="287"/>
      <c r="EJO25" s="287"/>
      <c r="EJP25" s="287"/>
      <c r="EJQ25" s="287"/>
      <c r="EJR25" s="287"/>
      <c r="EJS25" s="287"/>
      <c r="EJT25" s="287"/>
      <c r="EJU25" s="287"/>
      <c r="EJV25" s="287"/>
      <c r="EJW25" s="287"/>
      <c r="EJX25" s="287"/>
      <c r="EJY25" s="632"/>
      <c r="EJZ25" s="287"/>
      <c r="EKA25" s="633"/>
      <c r="EKB25" s="287"/>
      <c r="EKC25" s="287"/>
      <c r="EKD25" s="287"/>
      <c r="EKE25" s="287"/>
      <c r="EKF25" s="287"/>
      <c r="EKG25" s="287"/>
      <c r="EKH25" s="287"/>
      <c r="EKI25" s="287"/>
      <c r="EKJ25" s="287"/>
      <c r="EKK25" s="287"/>
      <c r="EKL25" s="287"/>
      <c r="EKM25" s="287"/>
      <c r="EKN25" s="287"/>
      <c r="EKO25" s="632"/>
      <c r="EKP25" s="287"/>
      <c r="EKQ25" s="633"/>
      <c r="EKR25" s="287"/>
      <c r="EKS25" s="287"/>
      <c r="EKT25" s="287"/>
      <c r="EKU25" s="287"/>
      <c r="EKV25" s="287"/>
      <c r="EKW25" s="287"/>
      <c r="EKX25" s="287"/>
      <c r="EKY25" s="287"/>
      <c r="EKZ25" s="287"/>
      <c r="ELA25" s="287"/>
      <c r="ELB25" s="287"/>
      <c r="ELC25" s="287"/>
      <c r="ELD25" s="287"/>
      <c r="ELE25" s="632"/>
      <c r="ELF25" s="287"/>
      <c r="ELG25" s="633"/>
      <c r="ELH25" s="287"/>
      <c r="ELI25" s="287"/>
      <c r="ELJ25" s="287"/>
      <c r="ELK25" s="287"/>
      <c r="ELL25" s="287"/>
      <c r="ELM25" s="287"/>
      <c r="ELN25" s="287"/>
      <c r="ELO25" s="287"/>
      <c r="ELP25" s="287"/>
      <c r="ELQ25" s="287"/>
      <c r="ELR25" s="287"/>
      <c r="ELS25" s="287"/>
      <c r="ELT25" s="287"/>
      <c r="ELU25" s="632"/>
      <c r="ELV25" s="287"/>
      <c r="ELW25" s="633"/>
      <c r="ELX25" s="287"/>
      <c r="ELY25" s="287"/>
      <c r="ELZ25" s="287"/>
      <c r="EMA25" s="287"/>
      <c r="EMB25" s="287"/>
      <c r="EMC25" s="287"/>
      <c r="EMD25" s="287"/>
      <c r="EME25" s="287"/>
      <c r="EMF25" s="287"/>
      <c r="EMG25" s="287"/>
      <c r="EMH25" s="287"/>
      <c r="EMI25" s="287"/>
      <c r="EMJ25" s="287"/>
      <c r="EMK25" s="632"/>
      <c r="EML25" s="287"/>
      <c r="EMM25" s="633"/>
      <c r="EMN25" s="287"/>
      <c r="EMO25" s="287"/>
      <c r="EMP25" s="287"/>
      <c r="EMQ25" s="287"/>
      <c r="EMR25" s="287"/>
      <c r="EMS25" s="287"/>
      <c r="EMT25" s="287"/>
      <c r="EMU25" s="287"/>
      <c r="EMV25" s="287"/>
      <c r="EMW25" s="287"/>
      <c r="EMX25" s="287"/>
      <c r="EMY25" s="287"/>
      <c r="EMZ25" s="287"/>
      <c r="ENA25" s="632"/>
      <c r="ENB25" s="287"/>
      <c r="ENC25" s="633"/>
      <c r="END25" s="287"/>
      <c r="ENE25" s="287"/>
      <c r="ENF25" s="287"/>
      <c r="ENG25" s="287"/>
      <c r="ENH25" s="287"/>
      <c r="ENI25" s="287"/>
      <c r="ENJ25" s="287"/>
      <c r="ENK25" s="287"/>
      <c r="ENL25" s="287"/>
      <c r="ENM25" s="287"/>
      <c r="ENN25" s="287"/>
      <c r="ENO25" s="287"/>
      <c r="ENP25" s="287"/>
      <c r="ENQ25" s="632"/>
      <c r="ENR25" s="287"/>
      <c r="ENS25" s="633"/>
      <c r="ENT25" s="287"/>
      <c r="ENU25" s="287"/>
      <c r="ENV25" s="287"/>
      <c r="ENW25" s="287"/>
      <c r="ENX25" s="287"/>
      <c r="ENY25" s="287"/>
      <c r="ENZ25" s="287"/>
      <c r="EOA25" s="287"/>
      <c r="EOB25" s="287"/>
      <c r="EOC25" s="287"/>
      <c r="EOD25" s="287"/>
      <c r="EOE25" s="287"/>
      <c r="EOF25" s="287"/>
      <c r="EOG25" s="632"/>
      <c r="EOH25" s="287"/>
      <c r="EOI25" s="633"/>
      <c r="EOJ25" s="287"/>
      <c r="EOK25" s="287"/>
      <c r="EOL25" s="287"/>
      <c r="EOM25" s="287"/>
      <c r="EON25" s="287"/>
      <c r="EOO25" s="287"/>
      <c r="EOP25" s="287"/>
      <c r="EOQ25" s="287"/>
      <c r="EOR25" s="287"/>
      <c r="EOS25" s="287"/>
      <c r="EOT25" s="287"/>
      <c r="EOU25" s="287"/>
      <c r="EOV25" s="287"/>
      <c r="EOW25" s="632"/>
      <c r="EOX25" s="287"/>
      <c r="EOY25" s="633"/>
      <c r="EOZ25" s="287"/>
      <c r="EPA25" s="287"/>
      <c r="EPB25" s="287"/>
      <c r="EPC25" s="287"/>
      <c r="EPD25" s="287"/>
      <c r="EPE25" s="287"/>
      <c r="EPF25" s="287"/>
      <c r="EPG25" s="287"/>
      <c r="EPH25" s="287"/>
      <c r="EPI25" s="287"/>
      <c r="EPJ25" s="287"/>
      <c r="EPK25" s="287"/>
      <c r="EPL25" s="287"/>
      <c r="EPM25" s="632"/>
      <c r="EPN25" s="287"/>
      <c r="EPO25" s="633"/>
      <c r="EPP25" s="287"/>
      <c r="EPQ25" s="287"/>
      <c r="EPR25" s="287"/>
      <c r="EPS25" s="287"/>
      <c r="EPT25" s="287"/>
      <c r="EPU25" s="287"/>
      <c r="EPV25" s="287"/>
      <c r="EPW25" s="287"/>
      <c r="EPX25" s="287"/>
      <c r="EPY25" s="287"/>
      <c r="EPZ25" s="287"/>
      <c r="EQA25" s="287"/>
      <c r="EQB25" s="287"/>
      <c r="EQC25" s="632"/>
      <c r="EQD25" s="287"/>
      <c r="EQE25" s="633"/>
      <c r="EQF25" s="287"/>
      <c r="EQG25" s="287"/>
      <c r="EQH25" s="287"/>
      <c r="EQI25" s="287"/>
      <c r="EQJ25" s="287"/>
      <c r="EQK25" s="287"/>
      <c r="EQL25" s="287"/>
      <c r="EQM25" s="287"/>
      <c r="EQN25" s="287"/>
      <c r="EQO25" s="287"/>
      <c r="EQP25" s="287"/>
      <c r="EQQ25" s="287"/>
      <c r="EQR25" s="287"/>
      <c r="EQS25" s="632"/>
      <c r="EQT25" s="287"/>
      <c r="EQU25" s="633"/>
      <c r="EQV25" s="287"/>
      <c r="EQW25" s="287"/>
      <c r="EQX25" s="287"/>
      <c r="EQY25" s="287"/>
      <c r="EQZ25" s="287"/>
      <c r="ERA25" s="287"/>
      <c r="ERB25" s="287"/>
      <c r="ERC25" s="287"/>
      <c r="ERD25" s="287"/>
      <c r="ERE25" s="287"/>
      <c r="ERF25" s="287"/>
      <c r="ERG25" s="287"/>
      <c r="ERH25" s="287"/>
      <c r="ERI25" s="632"/>
      <c r="ERJ25" s="287"/>
      <c r="ERK25" s="633"/>
      <c r="ERL25" s="287"/>
      <c r="ERM25" s="287"/>
      <c r="ERN25" s="287"/>
      <c r="ERO25" s="287"/>
      <c r="ERP25" s="287"/>
      <c r="ERQ25" s="287"/>
      <c r="ERR25" s="287"/>
      <c r="ERS25" s="287"/>
      <c r="ERT25" s="287"/>
      <c r="ERU25" s="287"/>
      <c r="ERV25" s="287"/>
      <c r="ERW25" s="287"/>
      <c r="ERX25" s="287"/>
      <c r="ERY25" s="632"/>
      <c r="ERZ25" s="287"/>
      <c r="ESA25" s="633"/>
      <c r="ESB25" s="287"/>
      <c r="ESC25" s="287"/>
      <c r="ESD25" s="287"/>
      <c r="ESE25" s="287"/>
      <c r="ESF25" s="287"/>
      <c r="ESG25" s="287"/>
      <c r="ESH25" s="287"/>
      <c r="ESI25" s="287"/>
      <c r="ESJ25" s="287"/>
      <c r="ESK25" s="287"/>
      <c r="ESL25" s="287"/>
      <c r="ESM25" s="287"/>
      <c r="ESN25" s="287"/>
      <c r="ESO25" s="632"/>
      <c r="ESP25" s="287"/>
      <c r="ESQ25" s="633"/>
      <c r="ESR25" s="287"/>
      <c r="ESS25" s="287"/>
      <c r="EST25" s="287"/>
      <c r="ESU25" s="287"/>
      <c r="ESV25" s="287"/>
      <c r="ESW25" s="287"/>
      <c r="ESX25" s="287"/>
      <c r="ESY25" s="287"/>
      <c r="ESZ25" s="287"/>
      <c r="ETA25" s="287"/>
      <c r="ETB25" s="287"/>
      <c r="ETC25" s="287"/>
      <c r="ETD25" s="287"/>
      <c r="ETE25" s="632"/>
      <c r="ETF25" s="287"/>
      <c r="ETG25" s="633"/>
      <c r="ETH25" s="287"/>
      <c r="ETI25" s="287"/>
      <c r="ETJ25" s="287"/>
      <c r="ETK25" s="287"/>
      <c r="ETL25" s="287"/>
      <c r="ETM25" s="287"/>
      <c r="ETN25" s="287"/>
      <c r="ETO25" s="287"/>
      <c r="ETP25" s="287"/>
      <c r="ETQ25" s="287"/>
      <c r="ETR25" s="287"/>
      <c r="ETS25" s="287"/>
      <c r="ETT25" s="287"/>
      <c r="ETU25" s="632"/>
      <c r="ETV25" s="287"/>
      <c r="ETW25" s="633"/>
      <c r="ETX25" s="287"/>
      <c r="ETY25" s="287"/>
      <c r="ETZ25" s="287"/>
      <c r="EUA25" s="287"/>
      <c r="EUB25" s="287"/>
      <c r="EUC25" s="287"/>
      <c r="EUD25" s="287"/>
      <c r="EUE25" s="287"/>
      <c r="EUF25" s="287"/>
      <c r="EUG25" s="287"/>
      <c r="EUH25" s="287"/>
      <c r="EUI25" s="287"/>
      <c r="EUJ25" s="287"/>
      <c r="EUK25" s="632"/>
      <c r="EUL25" s="287"/>
      <c r="EUM25" s="633"/>
      <c r="EUN25" s="287"/>
      <c r="EUO25" s="287"/>
      <c r="EUP25" s="287"/>
      <c r="EUQ25" s="287"/>
      <c r="EUR25" s="287"/>
      <c r="EUS25" s="287"/>
      <c r="EUT25" s="287"/>
      <c r="EUU25" s="287"/>
      <c r="EUV25" s="287"/>
      <c r="EUW25" s="287"/>
      <c r="EUX25" s="287"/>
      <c r="EUY25" s="287"/>
      <c r="EUZ25" s="287"/>
      <c r="EVA25" s="632"/>
      <c r="EVB25" s="287"/>
      <c r="EVC25" s="633"/>
      <c r="EVD25" s="287"/>
      <c r="EVE25" s="287"/>
      <c r="EVF25" s="287"/>
      <c r="EVG25" s="287"/>
      <c r="EVH25" s="287"/>
      <c r="EVI25" s="287"/>
      <c r="EVJ25" s="287"/>
      <c r="EVK25" s="287"/>
      <c r="EVL25" s="287"/>
      <c r="EVM25" s="287"/>
      <c r="EVN25" s="287"/>
      <c r="EVO25" s="287"/>
      <c r="EVP25" s="287"/>
      <c r="EVQ25" s="632"/>
      <c r="EVR25" s="287"/>
      <c r="EVS25" s="633"/>
      <c r="EVT25" s="287"/>
      <c r="EVU25" s="287"/>
      <c r="EVV25" s="287"/>
      <c r="EVW25" s="287"/>
      <c r="EVX25" s="287"/>
      <c r="EVY25" s="287"/>
      <c r="EVZ25" s="287"/>
      <c r="EWA25" s="287"/>
      <c r="EWB25" s="287"/>
      <c r="EWC25" s="287"/>
      <c r="EWD25" s="287"/>
      <c r="EWE25" s="287"/>
      <c r="EWF25" s="287"/>
      <c r="EWG25" s="632"/>
      <c r="EWH25" s="287"/>
      <c r="EWI25" s="633"/>
      <c r="EWJ25" s="287"/>
      <c r="EWK25" s="287"/>
      <c r="EWL25" s="287"/>
      <c r="EWM25" s="287"/>
      <c r="EWN25" s="287"/>
      <c r="EWO25" s="287"/>
      <c r="EWP25" s="287"/>
      <c r="EWQ25" s="287"/>
      <c r="EWR25" s="287"/>
      <c r="EWS25" s="287"/>
      <c r="EWT25" s="287"/>
      <c r="EWU25" s="287"/>
      <c r="EWV25" s="287"/>
      <c r="EWW25" s="632"/>
      <c r="EWX25" s="287"/>
      <c r="EWY25" s="633"/>
      <c r="EWZ25" s="287"/>
      <c r="EXA25" s="287"/>
      <c r="EXB25" s="287"/>
      <c r="EXC25" s="287"/>
      <c r="EXD25" s="287"/>
      <c r="EXE25" s="287"/>
      <c r="EXF25" s="287"/>
      <c r="EXG25" s="287"/>
      <c r="EXH25" s="287"/>
      <c r="EXI25" s="287"/>
      <c r="EXJ25" s="287"/>
      <c r="EXK25" s="287"/>
      <c r="EXL25" s="287"/>
      <c r="EXM25" s="632"/>
      <c r="EXN25" s="287"/>
      <c r="EXO25" s="633"/>
      <c r="EXP25" s="287"/>
      <c r="EXQ25" s="287"/>
      <c r="EXR25" s="287"/>
      <c r="EXS25" s="287"/>
      <c r="EXT25" s="287"/>
      <c r="EXU25" s="287"/>
      <c r="EXV25" s="287"/>
      <c r="EXW25" s="287"/>
      <c r="EXX25" s="287"/>
      <c r="EXY25" s="287"/>
      <c r="EXZ25" s="287"/>
      <c r="EYA25" s="287"/>
      <c r="EYB25" s="287"/>
      <c r="EYC25" s="632"/>
      <c r="EYD25" s="287"/>
      <c r="EYE25" s="633"/>
      <c r="EYF25" s="287"/>
      <c r="EYG25" s="287"/>
      <c r="EYH25" s="287"/>
      <c r="EYI25" s="287"/>
      <c r="EYJ25" s="287"/>
      <c r="EYK25" s="287"/>
      <c r="EYL25" s="287"/>
      <c r="EYM25" s="287"/>
      <c r="EYN25" s="287"/>
      <c r="EYO25" s="287"/>
      <c r="EYP25" s="287"/>
      <c r="EYQ25" s="287"/>
      <c r="EYR25" s="287"/>
      <c r="EYS25" s="632"/>
      <c r="EYT25" s="287"/>
      <c r="EYU25" s="633"/>
      <c r="EYV25" s="287"/>
      <c r="EYW25" s="287"/>
      <c r="EYX25" s="287"/>
      <c r="EYY25" s="287"/>
      <c r="EYZ25" s="287"/>
      <c r="EZA25" s="287"/>
      <c r="EZB25" s="287"/>
      <c r="EZC25" s="287"/>
      <c r="EZD25" s="287"/>
      <c r="EZE25" s="287"/>
      <c r="EZF25" s="287"/>
      <c r="EZG25" s="287"/>
      <c r="EZH25" s="287"/>
      <c r="EZI25" s="632"/>
      <c r="EZJ25" s="287"/>
      <c r="EZK25" s="633"/>
      <c r="EZL25" s="287"/>
      <c r="EZM25" s="287"/>
      <c r="EZN25" s="287"/>
      <c r="EZO25" s="287"/>
      <c r="EZP25" s="287"/>
      <c r="EZQ25" s="287"/>
      <c r="EZR25" s="287"/>
      <c r="EZS25" s="287"/>
      <c r="EZT25" s="287"/>
      <c r="EZU25" s="287"/>
      <c r="EZV25" s="287"/>
      <c r="EZW25" s="287"/>
      <c r="EZX25" s="287"/>
      <c r="EZY25" s="632"/>
      <c r="EZZ25" s="287"/>
      <c r="FAA25" s="633"/>
      <c r="FAB25" s="287"/>
      <c r="FAC25" s="287"/>
      <c r="FAD25" s="287"/>
      <c r="FAE25" s="287"/>
      <c r="FAF25" s="287"/>
      <c r="FAG25" s="287"/>
      <c r="FAH25" s="287"/>
      <c r="FAI25" s="287"/>
      <c r="FAJ25" s="287"/>
      <c r="FAK25" s="287"/>
      <c r="FAL25" s="287"/>
      <c r="FAM25" s="287"/>
      <c r="FAN25" s="287"/>
      <c r="FAO25" s="632"/>
      <c r="FAP25" s="287"/>
      <c r="FAQ25" s="633"/>
      <c r="FAR25" s="287"/>
      <c r="FAS25" s="287"/>
      <c r="FAT25" s="287"/>
      <c r="FAU25" s="287"/>
      <c r="FAV25" s="287"/>
      <c r="FAW25" s="287"/>
      <c r="FAX25" s="287"/>
      <c r="FAY25" s="287"/>
      <c r="FAZ25" s="287"/>
      <c r="FBA25" s="287"/>
      <c r="FBB25" s="287"/>
      <c r="FBC25" s="287"/>
      <c r="FBD25" s="287"/>
      <c r="FBE25" s="632"/>
      <c r="FBF25" s="287"/>
      <c r="FBG25" s="633"/>
      <c r="FBH25" s="287"/>
      <c r="FBI25" s="287"/>
      <c r="FBJ25" s="287"/>
      <c r="FBK25" s="287"/>
      <c r="FBL25" s="287"/>
      <c r="FBM25" s="287"/>
      <c r="FBN25" s="287"/>
      <c r="FBO25" s="287"/>
      <c r="FBP25" s="287"/>
      <c r="FBQ25" s="287"/>
      <c r="FBR25" s="287"/>
      <c r="FBS25" s="287"/>
      <c r="FBT25" s="287"/>
      <c r="FBU25" s="632"/>
      <c r="FBV25" s="287"/>
      <c r="FBW25" s="633"/>
      <c r="FBX25" s="287"/>
      <c r="FBY25" s="287"/>
      <c r="FBZ25" s="287"/>
      <c r="FCA25" s="287"/>
      <c r="FCB25" s="287"/>
      <c r="FCC25" s="287"/>
      <c r="FCD25" s="287"/>
      <c r="FCE25" s="287"/>
      <c r="FCF25" s="287"/>
      <c r="FCG25" s="287"/>
      <c r="FCH25" s="287"/>
      <c r="FCI25" s="287"/>
      <c r="FCJ25" s="287"/>
      <c r="FCK25" s="632"/>
      <c r="FCL25" s="287"/>
      <c r="FCM25" s="633"/>
      <c r="FCN25" s="287"/>
      <c r="FCO25" s="287"/>
      <c r="FCP25" s="287"/>
      <c r="FCQ25" s="287"/>
      <c r="FCR25" s="287"/>
      <c r="FCS25" s="287"/>
      <c r="FCT25" s="287"/>
      <c r="FCU25" s="287"/>
      <c r="FCV25" s="287"/>
      <c r="FCW25" s="287"/>
      <c r="FCX25" s="287"/>
      <c r="FCY25" s="287"/>
      <c r="FCZ25" s="287"/>
      <c r="FDA25" s="632"/>
      <c r="FDB25" s="287"/>
      <c r="FDC25" s="633"/>
      <c r="FDD25" s="287"/>
      <c r="FDE25" s="287"/>
      <c r="FDF25" s="287"/>
      <c r="FDG25" s="287"/>
      <c r="FDH25" s="287"/>
      <c r="FDI25" s="287"/>
      <c r="FDJ25" s="287"/>
      <c r="FDK25" s="287"/>
      <c r="FDL25" s="287"/>
      <c r="FDM25" s="287"/>
      <c r="FDN25" s="287"/>
      <c r="FDO25" s="287"/>
      <c r="FDP25" s="287"/>
      <c r="FDQ25" s="632"/>
      <c r="FDR25" s="287"/>
      <c r="FDS25" s="633"/>
      <c r="FDT25" s="287"/>
      <c r="FDU25" s="287"/>
      <c r="FDV25" s="287"/>
      <c r="FDW25" s="287"/>
      <c r="FDX25" s="287"/>
      <c r="FDY25" s="287"/>
      <c r="FDZ25" s="287"/>
      <c r="FEA25" s="287"/>
      <c r="FEB25" s="287"/>
      <c r="FEC25" s="287"/>
      <c r="FED25" s="287"/>
      <c r="FEE25" s="287"/>
      <c r="FEF25" s="287"/>
      <c r="FEG25" s="632"/>
      <c r="FEH25" s="287"/>
      <c r="FEI25" s="633"/>
      <c r="FEJ25" s="287"/>
      <c r="FEK25" s="287"/>
      <c r="FEL25" s="287"/>
      <c r="FEM25" s="287"/>
      <c r="FEN25" s="287"/>
      <c r="FEO25" s="287"/>
      <c r="FEP25" s="287"/>
      <c r="FEQ25" s="287"/>
      <c r="FER25" s="287"/>
      <c r="FES25" s="287"/>
      <c r="FET25" s="287"/>
      <c r="FEU25" s="287"/>
      <c r="FEV25" s="287"/>
      <c r="FEW25" s="632"/>
      <c r="FEX25" s="287"/>
      <c r="FEY25" s="633"/>
      <c r="FEZ25" s="287"/>
      <c r="FFA25" s="287"/>
      <c r="FFB25" s="287"/>
      <c r="FFC25" s="287"/>
      <c r="FFD25" s="287"/>
      <c r="FFE25" s="287"/>
      <c r="FFF25" s="287"/>
      <c r="FFG25" s="287"/>
      <c r="FFH25" s="287"/>
      <c r="FFI25" s="287"/>
      <c r="FFJ25" s="287"/>
      <c r="FFK25" s="287"/>
      <c r="FFL25" s="287"/>
      <c r="FFM25" s="632"/>
      <c r="FFN25" s="287"/>
      <c r="FFO25" s="633"/>
      <c r="FFP25" s="287"/>
      <c r="FFQ25" s="287"/>
      <c r="FFR25" s="287"/>
      <c r="FFS25" s="287"/>
      <c r="FFT25" s="287"/>
      <c r="FFU25" s="287"/>
      <c r="FFV25" s="287"/>
      <c r="FFW25" s="287"/>
      <c r="FFX25" s="287"/>
      <c r="FFY25" s="287"/>
      <c r="FFZ25" s="287"/>
      <c r="FGA25" s="287"/>
      <c r="FGB25" s="287"/>
      <c r="FGC25" s="632"/>
      <c r="FGD25" s="287"/>
      <c r="FGE25" s="633"/>
      <c r="FGF25" s="287"/>
      <c r="FGG25" s="287"/>
      <c r="FGH25" s="287"/>
      <c r="FGI25" s="287"/>
      <c r="FGJ25" s="287"/>
      <c r="FGK25" s="287"/>
      <c r="FGL25" s="287"/>
      <c r="FGM25" s="287"/>
      <c r="FGN25" s="287"/>
      <c r="FGO25" s="287"/>
      <c r="FGP25" s="287"/>
      <c r="FGQ25" s="287"/>
      <c r="FGR25" s="287"/>
      <c r="FGS25" s="632"/>
      <c r="FGT25" s="287"/>
      <c r="FGU25" s="633"/>
      <c r="FGV25" s="287"/>
      <c r="FGW25" s="287"/>
      <c r="FGX25" s="287"/>
      <c r="FGY25" s="287"/>
      <c r="FGZ25" s="287"/>
      <c r="FHA25" s="287"/>
      <c r="FHB25" s="287"/>
      <c r="FHC25" s="287"/>
      <c r="FHD25" s="287"/>
      <c r="FHE25" s="287"/>
      <c r="FHF25" s="287"/>
      <c r="FHG25" s="287"/>
      <c r="FHH25" s="287"/>
      <c r="FHI25" s="632"/>
      <c r="FHJ25" s="287"/>
      <c r="FHK25" s="633"/>
      <c r="FHL25" s="287"/>
      <c r="FHM25" s="287"/>
      <c r="FHN25" s="287"/>
      <c r="FHO25" s="287"/>
      <c r="FHP25" s="287"/>
      <c r="FHQ25" s="287"/>
      <c r="FHR25" s="287"/>
      <c r="FHS25" s="287"/>
      <c r="FHT25" s="287"/>
      <c r="FHU25" s="287"/>
      <c r="FHV25" s="287"/>
      <c r="FHW25" s="287"/>
      <c r="FHX25" s="287"/>
      <c r="FHY25" s="632"/>
      <c r="FHZ25" s="287"/>
      <c r="FIA25" s="633"/>
      <c r="FIB25" s="287"/>
      <c r="FIC25" s="287"/>
      <c r="FID25" s="287"/>
      <c r="FIE25" s="287"/>
      <c r="FIF25" s="287"/>
      <c r="FIG25" s="287"/>
      <c r="FIH25" s="287"/>
      <c r="FII25" s="287"/>
      <c r="FIJ25" s="287"/>
      <c r="FIK25" s="287"/>
      <c r="FIL25" s="287"/>
      <c r="FIM25" s="287"/>
      <c r="FIN25" s="287"/>
      <c r="FIO25" s="632"/>
      <c r="FIP25" s="287"/>
      <c r="FIQ25" s="633"/>
      <c r="FIR25" s="287"/>
      <c r="FIS25" s="287"/>
      <c r="FIT25" s="287"/>
      <c r="FIU25" s="287"/>
      <c r="FIV25" s="287"/>
      <c r="FIW25" s="287"/>
      <c r="FIX25" s="287"/>
      <c r="FIY25" s="287"/>
      <c r="FIZ25" s="287"/>
      <c r="FJA25" s="287"/>
      <c r="FJB25" s="287"/>
      <c r="FJC25" s="287"/>
      <c r="FJD25" s="287"/>
      <c r="FJE25" s="632"/>
      <c r="FJF25" s="287"/>
      <c r="FJG25" s="633"/>
      <c r="FJH25" s="287"/>
      <c r="FJI25" s="287"/>
      <c r="FJJ25" s="287"/>
      <c r="FJK25" s="287"/>
      <c r="FJL25" s="287"/>
      <c r="FJM25" s="287"/>
      <c r="FJN25" s="287"/>
      <c r="FJO25" s="287"/>
      <c r="FJP25" s="287"/>
      <c r="FJQ25" s="287"/>
      <c r="FJR25" s="287"/>
      <c r="FJS25" s="287"/>
      <c r="FJT25" s="287"/>
      <c r="FJU25" s="632"/>
      <c r="FJV25" s="287"/>
      <c r="FJW25" s="633"/>
      <c r="FJX25" s="287"/>
      <c r="FJY25" s="287"/>
      <c r="FJZ25" s="287"/>
      <c r="FKA25" s="287"/>
      <c r="FKB25" s="287"/>
      <c r="FKC25" s="287"/>
      <c r="FKD25" s="287"/>
      <c r="FKE25" s="287"/>
      <c r="FKF25" s="287"/>
      <c r="FKG25" s="287"/>
      <c r="FKH25" s="287"/>
      <c r="FKI25" s="287"/>
      <c r="FKJ25" s="287"/>
      <c r="FKK25" s="632"/>
      <c r="FKL25" s="287"/>
      <c r="FKM25" s="633"/>
      <c r="FKN25" s="287"/>
      <c r="FKO25" s="287"/>
      <c r="FKP25" s="287"/>
      <c r="FKQ25" s="287"/>
      <c r="FKR25" s="287"/>
      <c r="FKS25" s="287"/>
      <c r="FKT25" s="287"/>
      <c r="FKU25" s="287"/>
      <c r="FKV25" s="287"/>
      <c r="FKW25" s="287"/>
      <c r="FKX25" s="287"/>
      <c r="FKY25" s="287"/>
      <c r="FKZ25" s="287"/>
      <c r="FLA25" s="632"/>
      <c r="FLB25" s="287"/>
      <c r="FLC25" s="633"/>
      <c r="FLD25" s="287"/>
      <c r="FLE25" s="287"/>
      <c r="FLF25" s="287"/>
      <c r="FLG25" s="287"/>
      <c r="FLH25" s="287"/>
      <c r="FLI25" s="287"/>
      <c r="FLJ25" s="287"/>
      <c r="FLK25" s="287"/>
      <c r="FLL25" s="287"/>
      <c r="FLM25" s="287"/>
      <c r="FLN25" s="287"/>
      <c r="FLO25" s="287"/>
      <c r="FLP25" s="287"/>
      <c r="FLQ25" s="632"/>
      <c r="FLR25" s="287"/>
      <c r="FLS25" s="633"/>
      <c r="FLT25" s="287"/>
      <c r="FLU25" s="287"/>
      <c r="FLV25" s="287"/>
      <c r="FLW25" s="287"/>
      <c r="FLX25" s="287"/>
      <c r="FLY25" s="287"/>
      <c r="FLZ25" s="287"/>
      <c r="FMA25" s="287"/>
      <c r="FMB25" s="287"/>
      <c r="FMC25" s="287"/>
      <c r="FMD25" s="287"/>
      <c r="FME25" s="287"/>
      <c r="FMF25" s="287"/>
      <c r="FMG25" s="632"/>
      <c r="FMH25" s="287"/>
      <c r="FMI25" s="633"/>
      <c r="FMJ25" s="287"/>
      <c r="FMK25" s="287"/>
      <c r="FML25" s="287"/>
      <c r="FMM25" s="287"/>
      <c r="FMN25" s="287"/>
      <c r="FMO25" s="287"/>
      <c r="FMP25" s="287"/>
      <c r="FMQ25" s="287"/>
      <c r="FMR25" s="287"/>
      <c r="FMS25" s="287"/>
      <c r="FMT25" s="287"/>
      <c r="FMU25" s="287"/>
      <c r="FMV25" s="287"/>
      <c r="FMW25" s="632"/>
      <c r="FMX25" s="287"/>
      <c r="FMY25" s="633"/>
      <c r="FMZ25" s="287"/>
      <c r="FNA25" s="287"/>
      <c r="FNB25" s="287"/>
      <c r="FNC25" s="287"/>
      <c r="FND25" s="287"/>
      <c r="FNE25" s="287"/>
      <c r="FNF25" s="287"/>
      <c r="FNG25" s="287"/>
      <c r="FNH25" s="287"/>
      <c r="FNI25" s="287"/>
      <c r="FNJ25" s="287"/>
      <c r="FNK25" s="287"/>
      <c r="FNL25" s="287"/>
      <c r="FNM25" s="632"/>
      <c r="FNN25" s="287"/>
      <c r="FNO25" s="633"/>
      <c r="FNP25" s="287"/>
      <c r="FNQ25" s="287"/>
      <c r="FNR25" s="287"/>
      <c r="FNS25" s="287"/>
      <c r="FNT25" s="287"/>
      <c r="FNU25" s="287"/>
      <c r="FNV25" s="287"/>
      <c r="FNW25" s="287"/>
      <c r="FNX25" s="287"/>
      <c r="FNY25" s="287"/>
      <c r="FNZ25" s="287"/>
      <c r="FOA25" s="287"/>
      <c r="FOB25" s="287"/>
      <c r="FOC25" s="632"/>
      <c r="FOD25" s="287"/>
      <c r="FOE25" s="633"/>
      <c r="FOF25" s="287"/>
      <c r="FOG25" s="287"/>
      <c r="FOH25" s="287"/>
      <c r="FOI25" s="287"/>
      <c r="FOJ25" s="287"/>
      <c r="FOK25" s="287"/>
      <c r="FOL25" s="287"/>
      <c r="FOM25" s="287"/>
      <c r="FON25" s="287"/>
      <c r="FOO25" s="287"/>
      <c r="FOP25" s="287"/>
      <c r="FOQ25" s="287"/>
      <c r="FOR25" s="287"/>
      <c r="FOS25" s="632"/>
      <c r="FOT25" s="287"/>
      <c r="FOU25" s="633"/>
      <c r="FOV25" s="287"/>
      <c r="FOW25" s="287"/>
      <c r="FOX25" s="287"/>
      <c r="FOY25" s="287"/>
      <c r="FOZ25" s="287"/>
      <c r="FPA25" s="287"/>
      <c r="FPB25" s="287"/>
      <c r="FPC25" s="287"/>
      <c r="FPD25" s="287"/>
      <c r="FPE25" s="287"/>
      <c r="FPF25" s="287"/>
      <c r="FPG25" s="287"/>
      <c r="FPH25" s="287"/>
      <c r="FPI25" s="632"/>
      <c r="FPJ25" s="287"/>
      <c r="FPK25" s="633"/>
      <c r="FPL25" s="287"/>
      <c r="FPM25" s="287"/>
      <c r="FPN25" s="287"/>
      <c r="FPO25" s="287"/>
      <c r="FPP25" s="287"/>
      <c r="FPQ25" s="287"/>
      <c r="FPR25" s="287"/>
      <c r="FPS25" s="287"/>
      <c r="FPT25" s="287"/>
      <c r="FPU25" s="287"/>
      <c r="FPV25" s="287"/>
      <c r="FPW25" s="287"/>
      <c r="FPX25" s="287"/>
      <c r="FPY25" s="632"/>
      <c r="FPZ25" s="287"/>
      <c r="FQA25" s="633"/>
      <c r="FQB25" s="287"/>
      <c r="FQC25" s="287"/>
      <c r="FQD25" s="287"/>
      <c r="FQE25" s="287"/>
      <c r="FQF25" s="287"/>
      <c r="FQG25" s="287"/>
      <c r="FQH25" s="287"/>
      <c r="FQI25" s="287"/>
      <c r="FQJ25" s="287"/>
      <c r="FQK25" s="287"/>
      <c r="FQL25" s="287"/>
      <c r="FQM25" s="287"/>
      <c r="FQN25" s="287"/>
      <c r="FQO25" s="632"/>
      <c r="FQP25" s="287"/>
      <c r="FQQ25" s="633"/>
      <c r="FQR25" s="287"/>
      <c r="FQS25" s="287"/>
      <c r="FQT25" s="287"/>
      <c r="FQU25" s="287"/>
      <c r="FQV25" s="287"/>
      <c r="FQW25" s="287"/>
      <c r="FQX25" s="287"/>
      <c r="FQY25" s="287"/>
      <c r="FQZ25" s="287"/>
      <c r="FRA25" s="287"/>
      <c r="FRB25" s="287"/>
      <c r="FRC25" s="287"/>
      <c r="FRD25" s="287"/>
      <c r="FRE25" s="632"/>
      <c r="FRF25" s="287"/>
      <c r="FRG25" s="633"/>
      <c r="FRH25" s="287"/>
      <c r="FRI25" s="287"/>
      <c r="FRJ25" s="287"/>
      <c r="FRK25" s="287"/>
      <c r="FRL25" s="287"/>
      <c r="FRM25" s="287"/>
      <c r="FRN25" s="287"/>
      <c r="FRO25" s="287"/>
      <c r="FRP25" s="287"/>
      <c r="FRQ25" s="287"/>
      <c r="FRR25" s="287"/>
      <c r="FRS25" s="287"/>
      <c r="FRT25" s="287"/>
      <c r="FRU25" s="632"/>
      <c r="FRV25" s="287"/>
      <c r="FRW25" s="633"/>
      <c r="FRX25" s="287"/>
      <c r="FRY25" s="287"/>
      <c r="FRZ25" s="287"/>
      <c r="FSA25" s="287"/>
      <c r="FSB25" s="287"/>
      <c r="FSC25" s="287"/>
      <c r="FSD25" s="287"/>
      <c r="FSE25" s="287"/>
      <c r="FSF25" s="287"/>
      <c r="FSG25" s="287"/>
      <c r="FSH25" s="287"/>
      <c r="FSI25" s="287"/>
      <c r="FSJ25" s="287"/>
      <c r="FSK25" s="632"/>
      <c r="FSL25" s="287"/>
      <c r="FSM25" s="633"/>
      <c r="FSN25" s="287"/>
      <c r="FSO25" s="287"/>
      <c r="FSP25" s="287"/>
      <c r="FSQ25" s="287"/>
      <c r="FSR25" s="287"/>
      <c r="FSS25" s="287"/>
      <c r="FST25" s="287"/>
      <c r="FSU25" s="287"/>
      <c r="FSV25" s="287"/>
      <c r="FSW25" s="287"/>
      <c r="FSX25" s="287"/>
      <c r="FSY25" s="287"/>
      <c r="FSZ25" s="287"/>
      <c r="FTA25" s="632"/>
      <c r="FTB25" s="287"/>
      <c r="FTC25" s="633"/>
      <c r="FTD25" s="287"/>
      <c r="FTE25" s="287"/>
      <c r="FTF25" s="287"/>
      <c r="FTG25" s="287"/>
      <c r="FTH25" s="287"/>
      <c r="FTI25" s="287"/>
      <c r="FTJ25" s="287"/>
      <c r="FTK25" s="287"/>
      <c r="FTL25" s="287"/>
      <c r="FTM25" s="287"/>
      <c r="FTN25" s="287"/>
      <c r="FTO25" s="287"/>
      <c r="FTP25" s="287"/>
      <c r="FTQ25" s="632"/>
      <c r="FTR25" s="287"/>
      <c r="FTS25" s="633"/>
      <c r="FTT25" s="287"/>
      <c r="FTU25" s="287"/>
      <c r="FTV25" s="287"/>
      <c r="FTW25" s="287"/>
      <c r="FTX25" s="287"/>
      <c r="FTY25" s="287"/>
      <c r="FTZ25" s="287"/>
      <c r="FUA25" s="287"/>
      <c r="FUB25" s="287"/>
      <c r="FUC25" s="287"/>
      <c r="FUD25" s="287"/>
      <c r="FUE25" s="287"/>
      <c r="FUF25" s="287"/>
      <c r="FUG25" s="632"/>
      <c r="FUH25" s="287"/>
      <c r="FUI25" s="633"/>
      <c r="FUJ25" s="287"/>
      <c r="FUK25" s="287"/>
      <c r="FUL25" s="287"/>
      <c r="FUM25" s="287"/>
      <c r="FUN25" s="287"/>
      <c r="FUO25" s="287"/>
      <c r="FUP25" s="287"/>
      <c r="FUQ25" s="287"/>
      <c r="FUR25" s="287"/>
      <c r="FUS25" s="287"/>
      <c r="FUT25" s="287"/>
      <c r="FUU25" s="287"/>
      <c r="FUV25" s="287"/>
      <c r="FUW25" s="632"/>
      <c r="FUX25" s="287"/>
      <c r="FUY25" s="633"/>
      <c r="FUZ25" s="287"/>
      <c r="FVA25" s="287"/>
      <c r="FVB25" s="287"/>
      <c r="FVC25" s="287"/>
      <c r="FVD25" s="287"/>
      <c r="FVE25" s="287"/>
      <c r="FVF25" s="287"/>
      <c r="FVG25" s="287"/>
      <c r="FVH25" s="287"/>
      <c r="FVI25" s="287"/>
      <c r="FVJ25" s="287"/>
      <c r="FVK25" s="287"/>
      <c r="FVL25" s="287"/>
      <c r="FVM25" s="632"/>
      <c r="FVN25" s="287"/>
      <c r="FVO25" s="633"/>
      <c r="FVP25" s="287"/>
      <c r="FVQ25" s="287"/>
      <c r="FVR25" s="287"/>
      <c r="FVS25" s="287"/>
      <c r="FVT25" s="287"/>
      <c r="FVU25" s="287"/>
      <c r="FVV25" s="287"/>
      <c r="FVW25" s="287"/>
      <c r="FVX25" s="287"/>
      <c r="FVY25" s="287"/>
      <c r="FVZ25" s="287"/>
      <c r="FWA25" s="287"/>
      <c r="FWB25" s="287"/>
      <c r="FWC25" s="632"/>
      <c r="FWD25" s="287"/>
      <c r="FWE25" s="633"/>
      <c r="FWF25" s="287"/>
      <c r="FWG25" s="287"/>
      <c r="FWH25" s="287"/>
      <c r="FWI25" s="287"/>
      <c r="FWJ25" s="287"/>
      <c r="FWK25" s="287"/>
      <c r="FWL25" s="287"/>
      <c r="FWM25" s="287"/>
      <c r="FWN25" s="287"/>
      <c r="FWO25" s="287"/>
      <c r="FWP25" s="287"/>
      <c r="FWQ25" s="287"/>
      <c r="FWR25" s="287"/>
      <c r="FWS25" s="632"/>
      <c r="FWT25" s="287"/>
      <c r="FWU25" s="633"/>
      <c r="FWV25" s="287"/>
      <c r="FWW25" s="287"/>
      <c r="FWX25" s="287"/>
      <c r="FWY25" s="287"/>
      <c r="FWZ25" s="287"/>
      <c r="FXA25" s="287"/>
      <c r="FXB25" s="287"/>
      <c r="FXC25" s="287"/>
      <c r="FXD25" s="287"/>
      <c r="FXE25" s="287"/>
      <c r="FXF25" s="287"/>
      <c r="FXG25" s="287"/>
      <c r="FXH25" s="287"/>
      <c r="FXI25" s="632"/>
      <c r="FXJ25" s="287"/>
      <c r="FXK25" s="633"/>
      <c r="FXL25" s="287"/>
      <c r="FXM25" s="287"/>
      <c r="FXN25" s="287"/>
      <c r="FXO25" s="287"/>
      <c r="FXP25" s="287"/>
      <c r="FXQ25" s="287"/>
      <c r="FXR25" s="287"/>
      <c r="FXS25" s="287"/>
      <c r="FXT25" s="287"/>
      <c r="FXU25" s="287"/>
      <c r="FXV25" s="287"/>
      <c r="FXW25" s="287"/>
      <c r="FXX25" s="287"/>
      <c r="FXY25" s="632"/>
      <c r="FXZ25" s="287"/>
      <c r="FYA25" s="633"/>
      <c r="FYB25" s="287"/>
      <c r="FYC25" s="287"/>
      <c r="FYD25" s="287"/>
      <c r="FYE25" s="287"/>
      <c r="FYF25" s="287"/>
      <c r="FYG25" s="287"/>
      <c r="FYH25" s="287"/>
      <c r="FYI25" s="287"/>
      <c r="FYJ25" s="287"/>
      <c r="FYK25" s="287"/>
      <c r="FYL25" s="287"/>
      <c r="FYM25" s="287"/>
      <c r="FYN25" s="287"/>
      <c r="FYO25" s="632"/>
      <c r="FYP25" s="287"/>
      <c r="FYQ25" s="633"/>
      <c r="FYR25" s="287"/>
      <c r="FYS25" s="287"/>
      <c r="FYT25" s="287"/>
      <c r="FYU25" s="287"/>
      <c r="FYV25" s="287"/>
      <c r="FYW25" s="287"/>
      <c r="FYX25" s="287"/>
      <c r="FYY25" s="287"/>
      <c r="FYZ25" s="287"/>
      <c r="FZA25" s="287"/>
      <c r="FZB25" s="287"/>
      <c r="FZC25" s="287"/>
      <c r="FZD25" s="287"/>
      <c r="FZE25" s="632"/>
      <c r="FZF25" s="287"/>
      <c r="FZG25" s="633"/>
      <c r="FZH25" s="287"/>
      <c r="FZI25" s="287"/>
      <c r="FZJ25" s="287"/>
      <c r="FZK25" s="287"/>
      <c r="FZL25" s="287"/>
      <c r="FZM25" s="287"/>
      <c r="FZN25" s="287"/>
      <c r="FZO25" s="287"/>
      <c r="FZP25" s="287"/>
      <c r="FZQ25" s="287"/>
      <c r="FZR25" s="287"/>
      <c r="FZS25" s="287"/>
      <c r="FZT25" s="287"/>
      <c r="FZU25" s="632"/>
      <c r="FZV25" s="287"/>
      <c r="FZW25" s="633"/>
      <c r="FZX25" s="287"/>
      <c r="FZY25" s="287"/>
      <c r="FZZ25" s="287"/>
      <c r="GAA25" s="287"/>
      <c r="GAB25" s="287"/>
      <c r="GAC25" s="287"/>
      <c r="GAD25" s="287"/>
      <c r="GAE25" s="287"/>
      <c r="GAF25" s="287"/>
      <c r="GAG25" s="287"/>
      <c r="GAH25" s="287"/>
      <c r="GAI25" s="287"/>
      <c r="GAJ25" s="287"/>
      <c r="GAK25" s="632"/>
      <c r="GAL25" s="287"/>
      <c r="GAM25" s="633"/>
      <c r="GAN25" s="287"/>
      <c r="GAO25" s="287"/>
      <c r="GAP25" s="287"/>
      <c r="GAQ25" s="287"/>
      <c r="GAR25" s="287"/>
      <c r="GAS25" s="287"/>
      <c r="GAT25" s="287"/>
      <c r="GAU25" s="287"/>
      <c r="GAV25" s="287"/>
      <c r="GAW25" s="287"/>
      <c r="GAX25" s="287"/>
      <c r="GAY25" s="287"/>
      <c r="GAZ25" s="287"/>
      <c r="GBA25" s="632"/>
      <c r="GBB25" s="287"/>
      <c r="GBC25" s="633"/>
      <c r="GBD25" s="287"/>
      <c r="GBE25" s="287"/>
      <c r="GBF25" s="287"/>
      <c r="GBG25" s="287"/>
      <c r="GBH25" s="287"/>
      <c r="GBI25" s="287"/>
      <c r="GBJ25" s="287"/>
      <c r="GBK25" s="287"/>
      <c r="GBL25" s="287"/>
      <c r="GBM25" s="287"/>
      <c r="GBN25" s="287"/>
      <c r="GBO25" s="287"/>
      <c r="GBP25" s="287"/>
      <c r="GBQ25" s="632"/>
      <c r="GBR25" s="287"/>
      <c r="GBS25" s="633"/>
      <c r="GBT25" s="287"/>
      <c r="GBU25" s="287"/>
      <c r="GBV25" s="287"/>
      <c r="GBW25" s="287"/>
      <c r="GBX25" s="287"/>
      <c r="GBY25" s="287"/>
      <c r="GBZ25" s="287"/>
      <c r="GCA25" s="287"/>
      <c r="GCB25" s="287"/>
      <c r="GCC25" s="287"/>
      <c r="GCD25" s="287"/>
      <c r="GCE25" s="287"/>
      <c r="GCF25" s="287"/>
      <c r="GCG25" s="632"/>
      <c r="GCH25" s="287"/>
      <c r="GCI25" s="633"/>
      <c r="GCJ25" s="287"/>
      <c r="GCK25" s="287"/>
      <c r="GCL25" s="287"/>
      <c r="GCM25" s="287"/>
      <c r="GCN25" s="287"/>
      <c r="GCO25" s="287"/>
      <c r="GCP25" s="287"/>
      <c r="GCQ25" s="287"/>
      <c r="GCR25" s="287"/>
      <c r="GCS25" s="287"/>
      <c r="GCT25" s="287"/>
      <c r="GCU25" s="287"/>
      <c r="GCV25" s="287"/>
      <c r="GCW25" s="632"/>
      <c r="GCX25" s="287"/>
      <c r="GCY25" s="633"/>
      <c r="GCZ25" s="287"/>
      <c r="GDA25" s="287"/>
      <c r="GDB25" s="287"/>
      <c r="GDC25" s="287"/>
      <c r="GDD25" s="287"/>
      <c r="GDE25" s="287"/>
      <c r="GDF25" s="287"/>
      <c r="GDG25" s="287"/>
      <c r="GDH25" s="287"/>
      <c r="GDI25" s="287"/>
      <c r="GDJ25" s="287"/>
      <c r="GDK25" s="287"/>
      <c r="GDL25" s="287"/>
      <c r="GDM25" s="632"/>
      <c r="GDN25" s="287"/>
      <c r="GDO25" s="633"/>
      <c r="GDP25" s="287"/>
      <c r="GDQ25" s="287"/>
      <c r="GDR25" s="287"/>
      <c r="GDS25" s="287"/>
      <c r="GDT25" s="287"/>
      <c r="GDU25" s="287"/>
      <c r="GDV25" s="287"/>
      <c r="GDW25" s="287"/>
      <c r="GDX25" s="287"/>
      <c r="GDY25" s="287"/>
      <c r="GDZ25" s="287"/>
      <c r="GEA25" s="287"/>
      <c r="GEB25" s="287"/>
      <c r="GEC25" s="632"/>
      <c r="GED25" s="287"/>
      <c r="GEE25" s="633"/>
      <c r="GEF25" s="287"/>
      <c r="GEG25" s="287"/>
      <c r="GEH25" s="287"/>
      <c r="GEI25" s="287"/>
      <c r="GEJ25" s="287"/>
      <c r="GEK25" s="287"/>
      <c r="GEL25" s="287"/>
      <c r="GEM25" s="287"/>
      <c r="GEN25" s="287"/>
      <c r="GEO25" s="287"/>
      <c r="GEP25" s="287"/>
      <c r="GEQ25" s="287"/>
      <c r="GER25" s="287"/>
      <c r="GES25" s="632"/>
      <c r="GET25" s="287"/>
      <c r="GEU25" s="633"/>
      <c r="GEV25" s="287"/>
      <c r="GEW25" s="287"/>
      <c r="GEX25" s="287"/>
      <c r="GEY25" s="287"/>
      <c r="GEZ25" s="287"/>
      <c r="GFA25" s="287"/>
      <c r="GFB25" s="287"/>
      <c r="GFC25" s="287"/>
      <c r="GFD25" s="287"/>
      <c r="GFE25" s="287"/>
      <c r="GFF25" s="287"/>
      <c r="GFG25" s="287"/>
      <c r="GFH25" s="287"/>
      <c r="GFI25" s="632"/>
      <c r="GFJ25" s="287"/>
      <c r="GFK25" s="633"/>
      <c r="GFL25" s="287"/>
      <c r="GFM25" s="287"/>
      <c r="GFN25" s="287"/>
      <c r="GFO25" s="287"/>
      <c r="GFP25" s="287"/>
      <c r="GFQ25" s="287"/>
      <c r="GFR25" s="287"/>
      <c r="GFS25" s="287"/>
      <c r="GFT25" s="287"/>
      <c r="GFU25" s="287"/>
      <c r="GFV25" s="287"/>
      <c r="GFW25" s="287"/>
      <c r="GFX25" s="287"/>
      <c r="GFY25" s="632"/>
      <c r="GFZ25" s="287"/>
      <c r="GGA25" s="633"/>
      <c r="GGB25" s="287"/>
      <c r="GGC25" s="287"/>
      <c r="GGD25" s="287"/>
      <c r="GGE25" s="287"/>
      <c r="GGF25" s="287"/>
      <c r="GGG25" s="287"/>
      <c r="GGH25" s="287"/>
      <c r="GGI25" s="287"/>
      <c r="GGJ25" s="287"/>
      <c r="GGK25" s="287"/>
      <c r="GGL25" s="287"/>
      <c r="GGM25" s="287"/>
      <c r="GGN25" s="287"/>
      <c r="GGO25" s="632"/>
      <c r="GGP25" s="287"/>
      <c r="GGQ25" s="633"/>
      <c r="GGR25" s="287"/>
      <c r="GGS25" s="287"/>
      <c r="GGT25" s="287"/>
      <c r="GGU25" s="287"/>
      <c r="GGV25" s="287"/>
      <c r="GGW25" s="287"/>
      <c r="GGX25" s="287"/>
      <c r="GGY25" s="287"/>
      <c r="GGZ25" s="287"/>
      <c r="GHA25" s="287"/>
      <c r="GHB25" s="287"/>
      <c r="GHC25" s="287"/>
      <c r="GHD25" s="287"/>
      <c r="GHE25" s="632"/>
      <c r="GHF25" s="287"/>
      <c r="GHG25" s="633"/>
      <c r="GHH25" s="287"/>
      <c r="GHI25" s="287"/>
      <c r="GHJ25" s="287"/>
      <c r="GHK25" s="287"/>
      <c r="GHL25" s="287"/>
      <c r="GHM25" s="287"/>
      <c r="GHN25" s="287"/>
      <c r="GHO25" s="287"/>
      <c r="GHP25" s="287"/>
      <c r="GHQ25" s="287"/>
      <c r="GHR25" s="287"/>
      <c r="GHS25" s="287"/>
      <c r="GHT25" s="287"/>
      <c r="GHU25" s="632"/>
      <c r="GHV25" s="287"/>
      <c r="GHW25" s="633"/>
      <c r="GHX25" s="287"/>
      <c r="GHY25" s="287"/>
      <c r="GHZ25" s="287"/>
      <c r="GIA25" s="287"/>
      <c r="GIB25" s="287"/>
      <c r="GIC25" s="287"/>
      <c r="GID25" s="287"/>
      <c r="GIE25" s="287"/>
      <c r="GIF25" s="287"/>
      <c r="GIG25" s="287"/>
      <c r="GIH25" s="287"/>
      <c r="GII25" s="287"/>
      <c r="GIJ25" s="287"/>
      <c r="GIK25" s="632"/>
      <c r="GIL25" s="287"/>
      <c r="GIM25" s="633"/>
      <c r="GIN25" s="287"/>
      <c r="GIO25" s="287"/>
      <c r="GIP25" s="287"/>
      <c r="GIQ25" s="287"/>
      <c r="GIR25" s="287"/>
      <c r="GIS25" s="287"/>
      <c r="GIT25" s="287"/>
      <c r="GIU25" s="287"/>
      <c r="GIV25" s="287"/>
      <c r="GIW25" s="287"/>
      <c r="GIX25" s="287"/>
      <c r="GIY25" s="287"/>
      <c r="GIZ25" s="287"/>
      <c r="GJA25" s="632"/>
      <c r="GJB25" s="287"/>
      <c r="GJC25" s="633"/>
      <c r="GJD25" s="287"/>
      <c r="GJE25" s="287"/>
      <c r="GJF25" s="287"/>
      <c r="GJG25" s="287"/>
      <c r="GJH25" s="287"/>
      <c r="GJI25" s="287"/>
      <c r="GJJ25" s="287"/>
      <c r="GJK25" s="287"/>
      <c r="GJL25" s="287"/>
      <c r="GJM25" s="287"/>
      <c r="GJN25" s="287"/>
      <c r="GJO25" s="287"/>
      <c r="GJP25" s="287"/>
      <c r="GJQ25" s="632"/>
      <c r="GJR25" s="287"/>
      <c r="GJS25" s="633"/>
      <c r="GJT25" s="287"/>
      <c r="GJU25" s="287"/>
      <c r="GJV25" s="287"/>
      <c r="GJW25" s="287"/>
      <c r="GJX25" s="287"/>
      <c r="GJY25" s="287"/>
      <c r="GJZ25" s="287"/>
      <c r="GKA25" s="287"/>
      <c r="GKB25" s="287"/>
      <c r="GKC25" s="287"/>
      <c r="GKD25" s="287"/>
      <c r="GKE25" s="287"/>
      <c r="GKF25" s="287"/>
      <c r="GKG25" s="632"/>
      <c r="GKH25" s="287"/>
      <c r="GKI25" s="633"/>
      <c r="GKJ25" s="287"/>
      <c r="GKK25" s="287"/>
      <c r="GKL25" s="287"/>
      <c r="GKM25" s="287"/>
      <c r="GKN25" s="287"/>
      <c r="GKO25" s="287"/>
      <c r="GKP25" s="287"/>
      <c r="GKQ25" s="287"/>
      <c r="GKR25" s="287"/>
      <c r="GKS25" s="287"/>
      <c r="GKT25" s="287"/>
      <c r="GKU25" s="287"/>
      <c r="GKV25" s="287"/>
      <c r="GKW25" s="632"/>
      <c r="GKX25" s="287"/>
      <c r="GKY25" s="633"/>
      <c r="GKZ25" s="287"/>
      <c r="GLA25" s="287"/>
      <c r="GLB25" s="287"/>
      <c r="GLC25" s="287"/>
      <c r="GLD25" s="287"/>
      <c r="GLE25" s="287"/>
      <c r="GLF25" s="287"/>
      <c r="GLG25" s="287"/>
      <c r="GLH25" s="287"/>
      <c r="GLI25" s="287"/>
      <c r="GLJ25" s="287"/>
      <c r="GLK25" s="287"/>
      <c r="GLL25" s="287"/>
      <c r="GLM25" s="632"/>
      <c r="GLN25" s="287"/>
      <c r="GLO25" s="633"/>
      <c r="GLP25" s="287"/>
      <c r="GLQ25" s="287"/>
      <c r="GLR25" s="287"/>
      <c r="GLS25" s="287"/>
      <c r="GLT25" s="287"/>
      <c r="GLU25" s="287"/>
      <c r="GLV25" s="287"/>
      <c r="GLW25" s="287"/>
      <c r="GLX25" s="287"/>
      <c r="GLY25" s="287"/>
      <c r="GLZ25" s="287"/>
      <c r="GMA25" s="287"/>
      <c r="GMB25" s="287"/>
      <c r="GMC25" s="632"/>
      <c r="GMD25" s="287"/>
      <c r="GME25" s="633"/>
      <c r="GMF25" s="287"/>
      <c r="GMG25" s="287"/>
      <c r="GMH25" s="287"/>
      <c r="GMI25" s="287"/>
      <c r="GMJ25" s="287"/>
      <c r="GMK25" s="287"/>
      <c r="GML25" s="287"/>
      <c r="GMM25" s="287"/>
      <c r="GMN25" s="287"/>
      <c r="GMO25" s="287"/>
      <c r="GMP25" s="287"/>
      <c r="GMQ25" s="287"/>
      <c r="GMR25" s="287"/>
      <c r="GMS25" s="632"/>
      <c r="GMT25" s="287"/>
      <c r="GMU25" s="633"/>
      <c r="GMV25" s="287"/>
      <c r="GMW25" s="287"/>
      <c r="GMX25" s="287"/>
      <c r="GMY25" s="287"/>
      <c r="GMZ25" s="287"/>
      <c r="GNA25" s="287"/>
      <c r="GNB25" s="287"/>
      <c r="GNC25" s="287"/>
      <c r="GND25" s="287"/>
      <c r="GNE25" s="287"/>
      <c r="GNF25" s="287"/>
      <c r="GNG25" s="287"/>
      <c r="GNH25" s="287"/>
      <c r="GNI25" s="632"/>
      <c r="GNJ25" s="287"/>
      <c r="GNK25" s="633"/>
      <c r="GNL25" s="287"/>
      <c r="GNM25" s="287"/>
      <c r="GNN25" s="287"/>
      <c r="GNO25" s="287"/>
      <c r="GNP25" s="287"/>
      <c r="GNQ25" s="287"/>
      <c r="GNR25" s="287"/>
      <c r="GNS25" s="287"/>
      <c r="GNT25" s="287"/>
      <c r="GNU25" s="287"/>
      <c r="GNV25" s="287"/>
      <c r="GNW25" s="287"/>
      <c r="GNX25" s="287"/>
      <c r="GNY25" s="632"/>
      <c r="GNZ25" s="287"/>
      <c r="GOA25" s="633"/>
      <c r="GOB25" s="287"/>
      <c r="GOC25" s="287"/>
      <c r="GOD25" s="287"/>
      <c r="GOE25" s="287"/>
      <c r="GOF25" s="287"/>
      <c r="GOG25" s="287"/>
      <c r="GOH25" s="287"/>
      <c r="GOI25" s="287"/>
      <c r="GOJ25" s="287"/>
      <c r="GOK25" s="287"/>
      <c r="GOL25" s="287"/>
      <c r="GOM25" s="287"/>
      <c r="GON25" s="287"/>
      <c r="GOO25" s="632"/>
      <c r="GOP25" s="287"/>
      <c r="GOQ25" s="633"/>
      <c r="GOR25" s="287"/>
      <c r="GOS25" s="287"/>
      <c r="GOT25" s="287"/>
      <c r="GOU25" s="287"/>
      <c r="GOV25" s="287"/>
      <c r="GOW25" s="287"/>
      <c r="GOX25" s="287"/>
      <c r="GOY25" s="287"/>
      <c r="GOZ25" s="287"/>
      <c r="GPA25" s="287"/>
      <c r="GPB25" s="287"/>
      <c r="GPC25" s="287"/>
      <c r="GPD25" s="287"/>
      <c r="GPE25" s="632"/>
      <c r="GPF25" s="287"/>
      <c r="GPG25" s="633"/>
      <c r="GPH25" s="287"/>
      <c r="GPI25" s="287"/>
      <c r="GPJ25" s="287"/>
      <c r="GPK25" s="287"/>
      <c r="GPL25" s="287"/>
      <c r="GPM25" s="287"/>
      <c r="GPN25" s="287"/>
      <c r="GPO25" s="287"/>
      <c r="GPP25" s="287"/>
      <c r="GPQ25" s="287"/>
      <c r="GPR25" s="287"/>
      <c r="GPS25" s="287"/>
      <c r="GPT25" s="287"/>
      <c r="GPU25" s="632"/>
      <c r="GPV25" s="287"/>
      <c r="GPW25" s="633"/>
      <c r="GPX25" s="287"/>
      <c r="GPY25" s="287"/>
      <c r="GPZ25" s="287"/>
      <c r="GQA25" s="287"/>
      <c r="GQB25" s="287"/>
      <c r="GQC25" s="287"/>
      <c r="GQD25" s="287"/>
      <c r="GQE25" s="287"/>
      <c r="GQF25" s="287"/>
      <c r="GQG25" s="287"/>
      <c r="GQH25" s="287"/>
      <c r="GQI25" s="287"/>
      <c r="GQJ25" s="287"/>
      <c r="GQK25" s="632"/>
      <c r="GQL25" s="287"/>
      <c r="GQM25" s="633"/>
      <c r="GQN25" s="287"/>
      <c r="GQO25" s="287"/>
      <c r="GQP25" s="287"/>
      <c r="GQQ25" s="287"/>
      <c r="GQR25" s="287"/>
      <c r="GQS25" s="287"/>
      <c r="GQT25" s="287"/>
      <c r="GQU25" s="287"/>
      <c r="GQV25" s="287"/>
      <c r="GQW25" s="287"/>
      <c r="GQX25" s="287"/>
      <c r="GQY25" s="287"/>
      <c r="GQZ25" s="287"/>
      <c r="GRA25" s="632"/>
      <c r="GRB25" s="287"/>
      <c r="GRC25" s="633"/>
      <c r="GRD25" s="287"/>
      <c r="GRE25" s="287"/>
      <c r="GRF25" s="287"/>
      <c r="GRG25" s="287"/>
      <c r="GRH25" s="287"/>
      <c r="GRI25" s="287"/>
      <c r="GRJ25" s="287"/>
      <c r="GRK25" s="287"/>
      <c r="GRL25" s="287"/>
      <c r="GRM25" s="287"/>
      <c r="GRN25" s="287"/>
      <c r="GRO25" s="287"/>
      <c r="GRP25" s="287"/>
      <c r="GRQ25" s="632"/>
      <c r="GRR25" s="287"/>
      <c r="GRS25" s="633"/>
      <c r="GRT25" s="287"/>
      <c r="GRU25" s="287"/>
      <c r="GRV25" s="287"/>
      <c r="GRW25" s="287"/>
      <c r="GRX25" s="287"/>
      <c r="GRY25" s="287"/>
      <c r="GRZ25" s="287"/>
      <c r="GSA25" s="287"/>
      <c r="GSB25" s="287"/>
      <c r="GSC25" s="287"/>
      <c r="GSD25" s="287"/>
      <c r="GSE25" s="287"/>
      <c r="GSF25" s="287"/>
      <c r="GSG25" s="632"/>
      <c r="GSH25" s="287"/>
      <c r="GSI25" s="633"/>
      <c r="GSJ25" s="287"/>
      <c r="GSK25" s="287"/>
      <c r="GSL25" s="287"/>
      <c r="GSM25" s="287"/>
      <c r="GSN25" s="287"/>
      <c r="GSO25" s="287"/>
      <c r="GSP25" s="287"/>
      <c r="GSQ25" s="287"/>
      <c r="GSR25" s="287"/>
      <c r="GSS25" s="287"/>
      <c r="GST25" s="287"/>
      <c r="GSU25" s="287"/>
      <c r="GSV25" s="287"/>
      <c r="GSW25" s="632"/>
      <c r="GSX25" s="287"/>
      <c r="GSY25" s="633"/>
      <c r="GSZ25" s="287"/>
      <c r="GTA25" s="287"/>
      <c r="GTB25" s="287"/>
      <c r="GTC25" s="287"/>
      <c r="GTD25" s="287"/>
      <c r="GTE25" s="287"/>
      <c r="GTF25" s="287"/>
      <c r="GTG25" s="287"/>
      <c r="GTH25" s="287"/>
      <c r="GTI25" s="287"/>
      <c r="GTJ25" s="287"/>
      <c r="GTK25" s="287"/>
      <c r="GTL25" s="287"/>
      <c r="GTM25" s="632"/>
      <c r="GTN25" s="287"/>
      <c r="GTO25" s="633"/>
      <c r="GTP25" s="287"/>
      <c r="GTQ25" s="287"/>
      <c r="GTR25" s="287"/>
      <c r="GTS25" s="287"/>
      <c r="GTT25" s="287"/>
      <c r="GTU25" s="287"/>
      <c r="GTV25" s="287"/>
      <c r="GTW25" s="287"/>
      <c r="GTX25" s="287"/>
      <c r="GTY25" s="287"/>
      <c r="GTZ25" s="287"/>
      <c r="GUA25" s="287"/>
      <c r="GUB25" s="287"/>
      <c r="GUC25" s="632"/>
      <c r="GUD25" s="287"/>
      <c r="GUE25" s="633"/>
      <c r="GUF25" s="287"/>
      <c r="GUG25" s="287"/>
      <c r="GUH25" s="287"/>
      <c r="GUI25" s="287"/>
      <c r="GUJ25" s="287"/>
      <c r="GUK25" s="287"/>
      <c r="GUL25" s="287"/>
      <c r="GUM25" s="287"/>
      <c r="GUN25" s="287"/>
      <c r="GUO25" s="287"/>
      <c r="GUP25" s="287"/>
      <c r="GUQ25" s="287"/>
      <c r="GUR25" s="287"/>
      <c r="GUS25" s="632"/>
      <c r="GUT25" s="287"/>
      <c r="GUU25" s="633"/>
      <c r="GUV25" s="287"/>
      <c r="GUW25" s="287"/>
      <c r="GUX25" s="287"/>
      <c r="GUY25" s="287"/>
      <c r="GUZ25" s="287"/>
      <c r="GVA25" s="287"/>
      <c r="GVB25" s="287"/>
      <c r="GVC25" s="287"/>
      <c r="GVD25" s="287"/>
      <c r="GVE25" s="287"/>
      <c r="GVF25" s="287"/>
      <c r="GVG25" s="287"/>
      <c r="GVH25" s="287"/>
      <c r="GVI25" s="632"/>
      <c r="GVJ25" s="287"/>
      <c r="GVK25" s="633"/>
      <c r="GVL25" s="287"/>
      <c r="GVM25" s="287"/>
      <c r="GVN25" s="287"/>
      <c r="GVO25" s="287"/>
      <c r="GVP25" s="287"/>
      <c r="GVQ25" s="287"/>
      <c r="GVR25" s="287"/>
      <c r="GVS25" s="287"/>
      <c r="GVT25" s="287"/>
      <c r="GVU25" s="287"/>
      <c r="GVV25" s="287"/>
      <c r="GVW25" s="287"/>
      <c r="GVX25" s="287"/>
      <c r="GVY25" s="632"/>
      <c r="GVZ25" s="287"/>
      <c r="GWA25" s="633"/>
      <c r="GWB25" s="287"/>
      <c r="GWC25" s="287"/>
      <c r="GWD25" s="287"/>
      <c r="GWE25" s="287"/>
      <c r="GWF25" s="287"/>
      <c r="GWG25" s="287"/>
      <c r="GWH25" s="287"/>
      <c r="GWI25" s="287"/>
      <c r="GWJ25" s="287"/>
      <c r="GWK25" s="287"/>
      <c r="GWL25" s="287"/>
      <c r="GWM25" s="287"/>
      <c r="GWN25" s="287"/>
      <c r="GWO25" s="632"/>
      <c r="GWP25" s="287"/>
      <c r="GWQ25" s="633"/>
      <c r="GWR25" s="287"/>
      <c r="GWS25" s="287"/>
      <c r="GWT25" s="287"/>
      <c r="GWU25" s="287"/>
      <c r="GWV25" s="287"/>
      <c r="GWW25" s="287"/>
      <c r="GWX25" s="287"/>
      <c r="GWY25" s="287"/>
      <c r="GWZ25" s="287"/>
      <c r="GXA25" s="287"/>
      <c r="GXB25" s="287"/>
      <c r="GXC25" s="287"/>
      <c r="GXD25" s="287"/>
      <c r="GXE25" s="632"/>
      <c r="GXF25" s="287"/>
      <c r="GXG25" s="633"/>
      <c r="GXH25" s="287"/>
      <c r="GXI25" s="287"/>
      <c r="GXJ25" s="287"/>
      <c r="GXK25" s="287"/>
      <c r="GXL25" s="287"/>
      <c r="GXM25" s="287"/>
      <c r="GXN25" s="287"/>
      <c r="GXO25" s="287"/>
      <c r="GXP25" s="287"/>
      <c r="GXQ25" s="287"/>
      <c r="GXR25" s="287"/>
      <c r="GXS25" s="287"/>
      <c r="GXT25" s="287"/>
      <c r="GXU25" s="632"/>
      <c r="GXV25" s="287"/>
      <c r="GXW25" s="633"/>
      <c r="GXX25" s="287"/>
      <c r="GXY25" s="287"/>
      <c r="GXZ25" s="287"/>
      <c r="GYA25" s="287"/>
      <c r="GYB25" s="287"/>
      <c r="GYC25" s="287"/>
      <c r="GYD25" s="287"/>
      <c r="GYE25" s="287"/>
      <c r="GYF25" s="287"/>
      <c r="GYG25" s="287"/>
      <c r="GYH25" s="287"/>
      <c r="GYI25" s="287"/>
      <c r="GYJ25" s="287"/>
      <c r="GYK25" s="632"/>
      <c r="GYL25" s="287"/>
      <c r="GYM25" s="633"/>
      <c r="GYN25" s="287"/>
      <c r="GYO25" s="287"/>
      <c r="GYP25" s="287"/>
      <c r="GYQ25" s="287"/>
      <c r="GYR25" s="287"/>
      <c r="GYS25" s="287"/>
      <c r="GYT25" s="287"/>
      <c r="GYU25" s="287"/>
      <c r="GYV25" s="287"/>
      <c r="GYW25" s="287"/>
      <c r="GYX25" s="287"/>
      <c r="GYY25" s="287"/>
      <c r="GYZ25" s="287"/>
      <c r="GZA25" s="632"/>
      <c r="GZB25" s="287"/>
      <c r="GZC25" s="633"/>
      <c r="GZD25" s="287"/>
      <c r="GZE25" s="287"/>
      <c r="GZF25" s="287"/>
      <c r="GZG25" s="287"/>
      <c r="GZH25" s="287"/>
      <c r="GZI25" s="287"/>
      <c r="GZJ25" s="287"/>
      <c r="GZK25" s="287"/>
      <c r="GZL25" s="287"/>
      <c r="GZM25" s="287"/>
      <c r="GZN25" s="287"/>
      <c r="GZO25" s="287"/>
      <c r="GZP25" s="287"/>
      <c r="GZQ25" s="632"/>
      <c r="GZR25" s="287"/>
      <c r="GZS25" s="633"/>
      <c r="GZT25" s="287"/>
      <c r="GZU25" s="287"/>
      <c r="GZV25" s="287"/>
      <c r="GZW25" s="287"/>
      <c r="GZX25" s="287"/>
      <c r="GZY25" s="287"/>
      <c r="GZZ25" s="287"/>
      <c r="HAA25" s="287"/>
      <c r="HAB25" s="287"/>
      <c r="HAC25" s="287"/>
      <c r="HAD25" s="287"/>
      <c r="HAE25" s="287"/>
      <c r="HAF25" s="287"/>
      <c r="HAG25" s="632"/>
      <c r="HAH25" s="287"/>
      <c r="HAI25" s="633"/>
      <c r="HAJ25" s="287"/>
      <c r="HAK25" s="287"/>
      <c r="HAL25" s="287"/>
      <c r="HAM25" s="287"/>
      <c r="HAN25" s="287"/>
      <c r="HAO25" s="287"/>
      <c r="HAP25" s="287"/>
      <c r="HAQ25" s="287"/>
      <c r="HAR25" s="287"/>
      <c r="HAS25" s="287"/>
      <c r="HAT25" s="287"/>
      <c r="HAU25" s="287"/>
      <c r="HAV25" s="287"/>
      <c r="HAW25" s="632"/>
      <c r="HAX25" s="287"/>
      <c r="HAY25" s="633"/>
      <c r="HAZ25" s="287"/>
      <c r="HBA25" s="287"/>
      <c r="HBB25" s="287"/>
      <c r="HBC25" s="287"/>
      <c r="HBD25" s="287"/>
      <c r="HBE25" s="287"/>
      <c r="HBF25" s="287"/>
      <c r="HBG25" s="287"/>
      <c r="HBH25" s="287"/>
      <c r="HBI25" s="287"/>
      <c r="HBJ25" s="287"/>
      <c r="HBK25" s="287"/>
      <c r="HBL25" s="287"/>
      <c r="HBM25" s="632"/>
      <c r="HBN25" s="287"/>
      <c r="HBO25" s="633"/>
      <c r="HBP25" s="287"/>
      <c r="HBQ25" s="287"/>
      <c r="HBR25" s="287"/>
      <c r="HBS25" s="287"/>
      <c r="HBT25" s="287"/>
      <c r="HBU25" s="287"/>
      <c r="HBV25" s="287"/>
      <c r="HBW25" s="287"/>
      <c r="HBX25" s="287"/>
      <c r="HBY25" s="287"/>
      <c r="HBZ25" s="287"/>
      <c r="HCA25" s="287"/>
      <c r="HCB25" s="287"/>
      <c r="HCC25" s="632"/>
      <c r="HCD25" s="287"/>
      <c r="HCE25" s="633"/>
      <c r="HCF25" s="287"/>
      <c r="HCG25" s="287"/>
      <c r="HCH25" s="287"/>
      <c r="HCI25" s="287"/>
      <c r="HCJ25" s="287"/>
      <c r="HCK25" s="287"/>
      <c r="HCL25" s="287"/>
      <c r="HCM25" s="287"/>
      <c r="HCN25" s="287"/>
      <c r="HCO25" s="287"/>
      <c r="HCP25" s="287"/>
      <c r="HCQ25" s="287"/>
      <c r="HCR25" s="287"/>
      <c r="HCS25" s="632"/>
      <c r="HCT25" s="287"/>
      <c r="HCU25" s="633"/>
      <c r="HCV25" s="287"/>
      <c r="HCW25" s="287"/>
      <c r="HCX25" s="287"/>
      <c r="HCY25" s="287"/>
      <c r="HCZ25" s="287"/>
      <c r="HDA25" s="287"/>
      <c r="HDB25" s="287"/>
      <c r="HDC25" s="287"/>
      <c r="HDD25" s="287"/>
      <c r="HDE25" s="287"/>
      <c r="HDF25" s="287"/>
      <c r="HDG25" s="287"/>
      <c r="HDH25" s="287"/>
      <c r="HDI25" s="632"/>
      <c r="HDJ25" s="287"/>
      <c r="HDK25" s="633"/>
      <c r="HDL25" s="287"/>
      <c r="HDM25" s="287"/>
      <c r="HDN25" s="287"/>
      <c r="HDO25" s="287"/>
      <c r="HDP25" s="287"/>
      <c r="HDQ25" s="287"/>
      <c r="HDR25" s="287"/>
      <c r="HDS25" s="287"/>
      <c r="HDT25" s="287"/>
      <c r="HDU25" s="287"/>
      <c r="HDV25" s="287"/>
      <c r="HDW25" s="287"/>
      <c r="HDX25" s="287"/>
      <c r="HDY25" s="632"/>
      <c r="HDZ25" s="287"/>
      <c r="HEA25" s="633"/>
      <c r="HEB25" s="287"/>
      <c r="HEC25" s="287"/>
      <c r="HED25" s="287"/>
      <c r="HEE25" s="287"/>
      <c r="HEF25" s="287"/>
      <c r="HEG25" s="287"/>
      <c r="HEH25" s="287"/>
      <c r="HEI25" s="287"/>
      <c r="HEJ25" s="287"/>
      <c r="HEK25" s="287"/>
      <c r="HEL25" s="287"/>
      <c r="HEM25" s="287"/>
      <c r="HEN25" s="287"/>
      <c r="HEO25" s="632"/>
      <c r="HEP25" s="287"/>
      <c r="HEQ25" s="633"/>
      <c r="HER25" s="287"/>
      <c r="HES25" s="287"/>
      <c r="HET25" s="287"/>
      <c r="HEU25" s="287"/>
      <c r="HEV25" s="287"/>
      <c r="HEW25" s="287"/>
      <c r="HEX25" s="287"/>
      <c r="HEY25" s="287"/>
      <c r="HEZ25" s="287"/>
      <c r="HFA25" s="287"/>
      <c r="HFB25" s="287"/>
      <c r="HFC25" s="287"/>
      <c r="HFD25" s="287"/>
      <c r="HFE25" s="632"/>
      <c r="HFF25" s="287"/>
      <c r="HFG25" s="633"/>
      <c r="HFH25" s="287"/>
      <c r="HFI25" s="287"/>
      <c r="HFJ25" s="287"/>
      <c r="HFK25" s="287"/>
      <c r="HFL25" s="287"/>
      <c r="HFM25" s="287"/>
      <c r="HFN25" s="287"/>
      <c r="HFO25" s="287"/>
      <c r="HFP25" s="287"/>
      <c r="HFQ25" s="287"/>
      <c r="HFR25" s="287"/>
      <c r="HFS25" s="287"/>
      <c r="HFT25" s="287"/>
      <c r="HFU25" s="632"/>
      <c r="HFV25" s="287"/>
      <c r="HFW25" s="633"/>
      <c r="HFX25" s="287"/>
      <c r="HFY25" s="287"/>
      <c r="HFZ25" s="287"/>
      <c r="HGA25" s="287"/>
      <c r="HGB25" s="287"/>
      <c r="HGC25" s="287"/>
      <c r="HGD25" s="287"/>
      <c r="HGE25" s="287"/>
      <c r="HGF25" s="287"/>
      <c r="HGG25" s="287"/>
      <c r="HGH25" s="287"/>
      <c r="HGI25" s="287"/>
      <c r="HGJ25" s="287"/>
      <c r="HGK25" s="632"/>
      <c r="HGL25" s="287"/>
      <c r="HGM25" s="633"/>
      <c r="HGN25" s="287"/>
      <c r="HGO25" s="287"/>
      <c r="HGP25" s="287"/>
      <c r="HGQ25" s="287"/>
      <c r="HGR25" s="287"/>
      <c r="HGS25" s="287"/>
      <c r="HGT25" s="287"/>
      <c r="HGU25" s="287"/>
      <c r="HGV25" s="287"/>
      <c r="HGW25" s="287"/>
      <c r="HGX25" s="287"/>
      <c r="HGY25" s="287"/>
      <c r="HGZ25" s="287"/>
      <c r="HHA25" s="632"/>
      <c r="HHB25" s="287"/>
      <c r="HHC25" s="633"/>
      <c r="HHD25" s="287"/>
      <c r="HHE25" s="287"/>
      <c r="HHF25" s="287"/>
      <c r="HHG25" s="287"/>
      <c r="HHH25" s="287"/>
      <c r="HHI25" s="287"/>
      <c r="HHJ25" s="287"/>
      <c r="HHK25" s="287"/>
      <c r="HHL25" s="287"/>
      <c r="HHM25" s="287"/>
      <c r="HHN25" s="287"/>
      <c r="HHO25" s="287"/>
      <c r="HHP25" s="287"/>
      <c r="HHQ25" s="632"/>
      <c r="HHR25" s="287"/>
      <c r="HHS25" s="633"/>
      <c r="HHT25" s="287"/>
      <c r="HHU25" s="287"/>
      <c r="HHV25" s="287"/>
      <c r="HHW25" s="287"/>
      <c r="HHX25" s="287"/>
      <c r="HHY25" s="287"/>
      <c r="HHZ25" s="287"/>
      <c r="HIA25" s="287"/>
      <c r="HIB25" s="287"/>
      <c r="HIC25" s="287"/>
      <c r="HID25" s="287"/>
      <c r="HIE25" s="287"/>
      <c r="HIF25" s="287"/>
      <c r="HIG25" s="632"/>
      <c r="HIH25" s="287"/>
      <c r="HII25" s="633"/>
      <c r="HIJ25" s="287"/>
      <c r="HIK25" s="287"/>
      <c r="HIL25" s="287"/>
      <c r="HIM25" s="287"/>
      <c r="HIN25" s="287"/>
      <c r="HIO25" s="287"/>
      <c r="HIP25" s="287"/>
      <c r="HIQ25" s="287"/>
      <c r="HIR25" s="287"/>
      <c r="HIS25" s="287"/>
      <c r="HIT25" s="287"/>
      <c r="HIU25" s="287"/>
      <c r="HIV25" s="287"/>
      <c r="HIW25" s="632"/>
      <c r="HIX25" s="287"/>
      <c r="HIY25" s="633"/>
      <c r="HIZ25" s="287"/>
      <c r="HJA25" s="287"/>
      <c r="HJB25" s="287"/>
      <c r="HJC25" s="287"/>
      <c r="HJD25" s="287"/>
      <c r="HJE25" s="287"/>
      <c r="HJF25" s="287"/>
      <c r="HJG25" s="287"/>
      <c r="HJH25" s="287"/>
      <c r="HJI25" s="287"/>
      <c r="HJJ25" s="287"/>
      <c r="HJK25" s="287"/>
      <c r="HJL25" s="287"/>
      <c r="HJM25" s="632"/>
      <c r="HJN25" s="287"/>
      <c r="HJO25" s="633"/>
      <c r="HJP25" s="287"/>
      <c r="HJQ25" s="287"/>
      <c r="HJR25" s="287"/>
      <c r="HJS25" s="287"/>
      <c r="HJT25" s="287"/>
      <c r="HJU25" s="287"/>
      <c r="HJV25" s="287"/>
      <c r="HJW25" s="287"/>
      <c r="HJX25" s="287"/>
      <c r="HJY25" s="287"/>
      <c r="HJZ25" s="287"/>
      <c r="HKA25" s="287"/>
      <c r="HKB25" s="287"/>
      <c r="HKC25" s="632"/>
      <c r="HKD25" s="287"/>
      <c r="HKE25" s="633"/>
      <c r="HKF25" s="287"/>
      <c r="HKG25" s="287"/>
      <c r="HKH25" s="287"/>
      <c r="HKI25" s="287"/>
      <c r="HKJ25" s="287"/>
      <c r="HKK25" s="287"/>
      <c r="HKL25" s="287"/>
      <c r="HKM25" s="287"/>
      <c r="HKN25" s="287"/>
      <c r="HKO25" s="287"/>
      <c r="HKP25" s="287"/>
      <c r="HKQ25" s="287"/>
      <c r="HKR25" s="287"/>
      <c r="HKS25" s="632"/>
      <c r="HKT25" s="287"/>
      <c r="HKU25" s="633"/>
      <c r="HKV25" s="287"/>
      <c r="HKW25" s="287"/>
      <c r="HKX25" s="287"/>
      <c r="HKY25" s="287"/>
      <c r="HKZ25" s="287"/>
      <c r="HLA25" s="287"/>
      <c r="HLB25" s="287"/>
      <c r="HLC25" s="287"/>
      <c r="HLD25" s="287"/>
      <c r="HLE25" s="287"/>
      <c r="HLF25" s="287"/>
      <c r="HLG25" s="287"/>
      <c r="HLH25" s="287"/>
      <c r="HLI25" s="632"/>
      <c r="HLJ25" s="287"/>
      <c r="HLK25" s="633"/>
      <c r="HLL25" s="287"/>
      <c r="HLM25" s="287"/>
      <c r="HLN25" s="287"/>
      <c r="HLO25" s="287"/>
      <c r="HLP25" s="287"/>
      <c r="HLQ25" s="287"/>
      <c r="HLR25" s="287"/>
      <c r="HLS25" s="287"/>
      <c r="HLT25" s="287"/>
      <c r="HLU25" s="287"/>
      <c r="HLV25" s="287"/>
      <c r="HLW25" s="287"/>
      <c r="HLX25" s="287"/>
      <c r="HLY25" s="632"/>
      <c r="HLZ25" s="287"/>
      <c r="HMA25" s="633"/>
      <c r="HMB25" s="287"/>
      <c r="HMC25" s="287"/>
      <c r="HMD25" s="287"/>
      <c r="HME25" s="287"/>
      <c r="HMF25" s="287"/>
      <c r="HMG25" s="287"/>
      <c r="HMH25" s="287"/>
      <c r="HMI25" s="287"/>
      <c r="HMJ25" s="287"/>
      <c r="HMK25" s="287"/>
      <c r="HML25" s="287"/>
      <c r="HMM25" s="287"/>
      <c r="HMN25" s="287"/>
      <c r="HMO25" s="632"/>
      <c r="HMP25" s="287"/>
      <c r="HMQ25" s="633"/>
      <c r="HMR25" s="287"/>
      <c r="HMS25" s="287"/>
      <c r="HMT25" s="287"/>
      <c r="HMU25" s="287"/>
      <c r="HMV25" s="287"/>
      <c r="HMW25" s="287"/>
      <c r="HMX25" s="287"/>
      <c r="HMY25" s="287"/>
      <c r="HMZ25" s="287"/>
      <c r="HNA25" s="287"/>
      <c r="HNB25" s="287"/>
      <c r="HNC25" s="287"/>
      <c r="HND25" s="287"/>
      <c r="HNE25" s="632"/>
      <c r="HNF25" s="287"/>
      <c r="HNG25" s="633"/>
      <c r="HNH25" s="287"/>
      <c r="HNI25" s="287"/>
      <c r="HNJ25" s="287"/>
      <c r="HNK25" s="287"/>
      <c r="HNL25" s="287"/>
      <c r="HNM25" s="287"/>
      <c r="HNN25" s="287"/>
      <c r="HNO25" s="287"/>
      <c r="HNP25" s="287"/>
      <c r="HNQ25" s="287"/>
      <c r="HNR25" s="287"/>
      <c r="HNS25" s="287"/>
      <c r="HNT25" s="287"/>
      <c r="HNU25" s="632"/>
      <c r="HNV25" s="287"/>
      <c r="HNW25" s="633"/>
      <c r="HNX25" s="287"/>
      <c r="HNY25" s="287"/>
      <c r="HNZ25" s="287"/>
      <c r="HOA25" s="287"/>
      <c r="HOB25" s="287"/>
      <c r="HOC25" s="287"/>
      <c r="HOD25" s="287"/>
      <c r="HOE25" s="287"/>
      <c r="HOF25" s="287"/>
      <c r="HOG25" s="287"/>
      <c r="HOH25" s="287"/>
      <c r="HOI25" s="287"/>
      <c r="HOJ25" s="287"/>
      <c r="HOK25" s="632"/>
      <c r="HOL25" s="287"/>
      <c r="HOM25" s="633"/>
      <c r="HON25" s="287"/>
      <c r="HOO25" s="287"/>
      <c r="HOP25" s="287"/>
      <c r="HOQ25" s="287"/>
      <c r="HOR25" s="287"/>
      <c r="HOS25" s="287"/>
      <c r="HOT25" s="287"/>
      <c r="HOU25" s="287"/>
      <c r="HOV25" s="287"/>
      <c r="HOW25" s="287"/>
      <c r="HOX25" s="287"/>
      <c r="HOY25" s="287"/>
      <c r="HOZ25" s="287"/>
      <c r="HPA25" s="632"/>
      <c r="HPB25" s="287"/>
      <c r="HPC25" s="633"/>
      <c r="HPD25" s="287"/>
      <c r="HPE25" s="287"/>
      <c r="HPF25" s="287"/>
      <c r="HPG25" s="287"/>
      <c r="HPH25" s="287"/>
      <c r="HPI25" s="287"/>
      <c r="HPJ25" s="287"/>
      <c r="HPK25" s="287"/>
      <c r="HPL25" s="287"/>
      <c r="HPM25" s="287"/>
      <c r="HPN25" s="287"/>
      <c r="HPO25" s="287"/>
      <c r="HPP25" s="287"/>
      <c r="HPQ25" s="632"/>
      <c r="HPR25" s="287"/>
      <c r="HPS25" s="633"/>
      <c r="HPT25" s="287"/>
      <c r="HPU25" s="287"/>
      <c r="HPV25" s="287"/>
      <c r="HPW25" s="287"/>
      <c r="HPX25" s="287"/>
      <c r="HPY25" s="287"/>
      <c r="HPZ25" s="287"/>
      <c r="HQA25" s="287"/>
      <c r="HQB25" s="287"/>
      <c r="HQC25" s="287"/>
      <c r="HQD25" s="287"/>
      <c r="HQE25" s="287"/>
      <c r="HQF25" s="287"/>
      <c r="HQG25" s="632"/>
      <c r="HQH25" s="287"/>
      <c r="HQI25" s="633"/>
      <c r="HQJ25" s="287"/>
      <c r="HQK25" s="287"/>
      <c r="HQL25" s="287"/>
      <c r="HQM25" s="287"/>
      <c r="HQN25" s="287"/>
      <c r="HQO25" s="287"/>
      <c r="HQP25" s="287"/>
      <c r="HQQ25" s="287"/>
      <c r="HQR25" s="287"/>
      <c r="HQS25" s="287"/>
      <c r="HQT25" s="287"/>
      <c r="HQU25" s="287"/>
      <c r="HQV25" s="287"/>
      <c r="HQW25" s="632"/>
      <c r="HQX25" s="287"/>
      <c r="HQY25" s="633"/>
      <c r="HQZ25" s="287"/>
      <c r="HRA25" s="287"/>
      <c r="HRB25" s="287"/>
      <c r="HRC25" s="287"/>
      <c r="HRD25" s="287"/>
      <c r="HRE25" s="287"/>
      <c r="HRF25" s="287"/>
      <c r="HRG25" s="287"/>
      <c r="HRH25" s="287"/>
      <c r="HRI25" s="287"/>
      <c r="HRJ25" s="287"/>
      <c r="HRK25" s="287"/>
      <c r="HRL25" s="287"/>
      <c r="HRM25" s="632"/>
      <c r="HRN25" s="287"/>
      <c r="HRO25" s="633"/>
      <c r="HRP25" s="287"/>
      <c r="HRQ25" s="287"/>
      <c r="HRR25" s="287"/>
      <c r="HRS25" s="287"/>
      <c r="HRT25" s="287"/>
      <c r="HRU25" s="287"/>
      <c r="HRV25" s="287"/>
      <c r="HRW25" s="287"/>
      <c r="HRX25" s="287"/>
      <c r="HRY25" s="287"/>
      <c r="HRZ25" s="287"/>
      <c r="HSA25" s="287"/>
      <c r="HSB25" s="287"/>
      <c r="HSC25" s="632"/>
      <c r="HSD25" s="287"/>
      <c r="HSE25" s="633"/>
      <c r="HSF25" s="287"/>
      <c r="HSG25" s="287"/>
      <c r="HSH25" s="287"/>
      <c r="HSI25" s="287"/>
      <c r="HSJ25" s="287"/>
      <c r="HSK25" s="287"/>
      <c r="HSL25" s="287"/>
      <c r="HSM25" s="287"/>
      <c r="HSN25" s="287"/>
      <c r="HSO25" s="287"/>
      <c r="HSP25" s="287"/>
      <c r="HSQ25" s="287"/>
      <c r="HSR25" s="287"/>
      <c r="HSS25" s="632"/>
      <c r="HST25" s="287"/>
      <c r="HSU25" s="633"/>
      <c r="HSV25" s="287"/>
      <c r="HSW25" s="287"/>
      <c r="HSX25" s="287"/>
      <c r="HSY25" s="287"/>
      <c r="HSZ25" s="287"/>
      <c r="HTA25" s="287"/>
      <c r="HTB25" s="287"/>
      <c r="HTC25" s="287"/>
      <c r="HTD25" s="287"/>
      <c r="HTE25" s="287"/>
      <c r="HTF25" s="287"/>
      <c r="HTG25" s="287"/>
      <c r="HTH25" s="287"/>
      <c r="HTI25" s="632"/>
      <c r="HTJ25" s="287"/>
      <c r="HTK25" s="633"/>
      <c r="HTL25" s="287"/>
      <c r="HTM25" s="287"/>
      <c r="HTN25" s="287"/>
      <c r="HTO25" s="287"/>
      <c r="HTP25" s="287"/>
      <c r="HTQ25" s="287"/>
      <c r="HTR25" s="287"/>
      <c r="HTS25" s="287"/>
      <c r="HTT25" s="287"/>
      <c r="HTU25" s="287"/>
      <c r="HTV25" s="287"/>
      <c r="HTW25" s="287"/>
      <c r="HTX25" s="287"/>
      <c r="HTY25" s="632"/>
      <c r="HTZ25" s="287"/>
      <c r="HUA25" s="633"/>
      <c r="HUB25" s="287"/>
      <c r="HUC25" s="287"/>
      <c r="HUD25" s="287"/>
      <c r="HUE25" s="287"/>
      <c r="HUF25" s="287"/>
      <c r="HUG25" s="287"/>
      <c r="HUH25" s="287"/>
      <c r="HUI25" s="287"/>
      <c r="HUJ25" s="287"/>
      <c r="HUK25" s="287"/>
      <c r="HUL25" s="287"/>
      <c r="HUM25" s="287"/>
      <c r="HUN25" s="287"/>
      <c r="HUO25" s="632"/>
      <c r="HUP25" s="287"/>
      <c r="HUQ25" s="633"/>
      <c r="HUR25" s="287"/>
      <c r="HUS25" s="287"/>
      <c r="HUT25" s="287"/>
      <c r="HUU25" s="287"/>
      <c r="HUV25" s="287"/>
      <c r="HUW25" s="287"/>
      <c r="HUX25" s="287"/>
      <c r="HUY25" s="287"/>
      <c r="HUZ25" s="287"/>
      <c r="HVA25" s="287"/>
      <c r="HVB25" s="287"/>
      <c r="HVC25" s="287"/>
      <c r="HVD25" s="287"/>
      <c r="HVE25" s="632"/>
      <c r="HVF25" s="287"/>
      <c r="HVG25" s="633"/>
      <c r="HVH25" s="287"/>
      <c r="HVI25" s="287"/>
      <c r="HVJ25" s="287"/>
      <c r="HVK25" s="287"/>
      <c r="HVL25" s="287"/>
      <c r="HVM25" s="287"/>
      <c r="HVN25" s="287"/>
      <c r="HVO25" s="287"/>
      <c r="HVP25" s="287"/>
      <c r="HVQ25" s="287"/>
      <c r="HVR25" s="287"/>
      <c r="HVS25" s="287"/>
      <c r="HVT25" s="287"/>
      <c r="HVU25" s="632"/>
      <c r="HVV25" s="287"/>
      <c r="HVW25" s="633"/>
      <c r="HVX25" s="287"/>
      <c r="HVY25" s="287"/>
      <c r="HVZ25" s="287"/>
      <c r="HWA25" s="287"/>
      <c r="HWB25" s="287"/>
      <c r="HWC25" s="287"/>
      <c r="HWD25" s="287"/>
      <c r="HWE25" s="287"/>
      <c r="HWF25" s="287"/>
      <c r="HWG25" s="287"/>
      <c r="HWH25" s="287"/>
      <c r="HWI25" s="287"/>
      <c r="HWJ25" s="287"/>
      <c r="HWK25" s="632"/>
      <c r="HWL25" s="287"/>
      <c r="HWM25" s="633"/>
      <c r="HWN25" s="287"/>
      <c r="HWO25" s="287"/>
      <c r="HWP25" s="287"/>
      <c r="HWQ25" s="287"/>
      <c r="HWR25" s="287"/>
      <c r="HWS25" s="287"/>
      <c r="HWT25" s="287"/>
      <c r="HWU25" s="287"/>
      <c r="HWV25" s="287"/>
      <c r="HWW25" s="287"/>
      <c r="HWX25" s="287"/>
      <c r="HWY25" s="287"/>
      <c r="HWZ25" s="287"/>
      <c r="HXA25" s="632"/>
      <c r="HXB25" s="287"/>
      <c r="HXC25" s="633"/>
      <c r="HXD25" s="287"/>
      <c r="HXE25" s="287"/>
      <c r="HXF25" s="287"/>
      <c r="HXG25" s="287"/>
      <c r="HXH25" s="287"/>
      <c r="HXI25" s="287"/>
      <c r="HXJ25" s="287"/>
      <c r="HXK25" s="287"/>
      <c r="HXL25" s="287"/>
      <c r="HXM25" s="287"/>
      <c r="HXN25" s="287"/>
      <c r="HXO25" s="287"/>
      <c r="HXP25" s="287"/>
      <c r="HXQ25" s="632"/>
      <c r="HXR25" s="287"/>
      <c r="HXS25" s="633"/>
      <c r="HXT25" s="287"/>
      <c r="HXU25" s="287"/>
      <c r="HXV25" s="287"/>
      <c r="HXW25" s="287"/>
      <c r="HXX25" s="287"/>
      <c r="HXY25" s="287"/>
      <c r="HXZ25" s="287"/>
      <c r="HYA25" s="287"/>
      <c r="HYB25" s="287"/>
      <c r="HYC25" s="287"/>
      <c r="HYD25" s="287"/>
      <c r="HYE25" s="287"/>
      <c r="HYF25" s="287"/>
      <c r="HYG25" s="632"/>
      <c r="HYH25" s="287"/>
      <c r="HYI25" s="633"/>
      <c r="HYJ25" s="287"/>
      <c r="HYK25" s="287"/>
      <c r="HYL25" s="287"/>
      <c r="HYM25" s="287"/>
      <c r="HYN25" s="287"/>
      <c r="HYO25" s="287"/>
      <c r="HYP25" s="287"/>
      <c r="HYQ25" s="287"/>
      <c r="HYR25" s="287"/>
      <c r="HYS25" s="287"/>
      <c r="HYT25" s="287"/>
      <c r="HYU25" s="287"/>
      <c r="HYV25" s="287"/>
      <c r="HYW25" s="632"/>
      <c r="HYX25" s="287"/>
      <c r="HYY25" s="633"/>
      <c r="HYZ25" s="287"/>
      <c r="HZA25" s="287"/>
      <c r="HZB25" s="287"/>
      <c r="HZC25" s="287"/>
      <c r="HZD25" s="287"/>
      <c r="HZE25" s="287"/>
      <c r="HZF25" s="287"/>
      <c r="HZG25" s="287"/>
      <c r="HZH25" s="287"/>
      <c r="HZI25" s="287"/>
      <c r="HZJ25" s="287"/>
      <c r="HZK25" s="287"/>
      <c r="HZL25" s="287"/>
      <c r="HZM25" s="632"/>
      <c r="HZN25" s="287"/>
      <c r="HZO25" s="633"/>
      <c r="HZP25" s="287"/>
      <c r="HZQ25" s="287"/>
      <c r="HZR25" s="287"/>
      <c r="HZS25" s="287"/>
      <c r="HZT25" s="287"/>
      <c r="HZU25" s="287"/>
      <c r="HZV25" s="287"/>
      <c r="HZW25" s="287"/>
      <c r="HZX25" s="287"/>
      <c r="HZY25" s="287"/>
      <c r="HZZ25" s="287"/>
      <c r="IAA25" s="287"/>
      <c r="IAB25" s="287"/>
      <c r="IAC25" s="632"/>
      <c r="IAD25" s="287"/>
      <c r="IAE25" s="633"/>
      <c r="IAF25" s="287"/>
      <c r="IAG25" s="287"/>
      <c r="IAH25" s="287"/>
      <c r="IAI25" s="287"/>
      <c r="IAJ25" s="287"/>
      <c r="IAK25" s="287"/>
      <c r="IAL25" s="287"/>
      <c r="IAM25" s="287"/>
      <c r="IAN25" s="287"/>
      <c r="IAO25" s="287"/>
      <c r="IAP25" s="287"/>
      <c r="IAQ25" s="287"/>
      <c r="IAR25" s="287"/>
      <c r="IAS25" s="632"/>
      <c r="IAT25" s="287"/>
      <c r="IAU25" s="633"/>
      <c r="IAV25" s="287"/>
      <c r="IAW25" s="287"/>
      <c r="IAX25" s="287"/>
      <c r="IAY25" s="287"/>
      <c r="IAZ25" s="287"/>
      <c r="IBA25" s="287"/>
      <c r="IBB25" s="287"/>
      <c r="IBC25" s="287"/>
      <c r="IBD25" s="287"/>
      <c r="IBE25" s="287"/>
      <c r="IBF25" s="287"/>
      <c r="IBG25" s="287"/>
      <c r="IBH25" s="287"/>
      <c r="IBI25" s="632"/>
      <c r="IBJ25" s="287"/>
      <c r="IBK25" s="633"/>
      <c r="IBL25" s="287"/>
      <c r="IBM25" s="287"/>
      <c r="IBN25" s="287"/>
      <c r="IBO25" s="287"/>
      <c r="IBP25" s="287"/>
      <c r="IBQ25" s="287"/>
      <c r="IBR25" s="287"/>
      <c r="IBS25" s="287"/>
      <c r="IBT25" s="287"/>
      <c r="IBU25" s="287"/>
      <c r="IBV25" s="287"/>
      <c r="IBW25" s="287"/>
      <c r="IBX25" s="287"/>
      <c r="IBY25" s="632"/>
      <c r="IBZ25" s="287"/>
      <c r="ICA25" s="633"/>
      <c r="ICB25" s="287"/>
      <c r="ICC25" s="287"/>
      <c r="ICD25" s="287"/>
      <c r="ICE25" s="287"/>
      <c r="ICF25" s="287"/>
      <c r="ICG25" s="287"/>
      <c r="ICH25" s="287"/>
      <c r="ICI25" s="287"/>
      <c r="ICJ25" s="287"/>
      <c r="ICK25" s="287"/>
      <c r="ICL25" s="287"/>
      <c r="ICM25" s="287"/>
      <c r="ICN25" s="287"/>
      <c r="ICO25" s="632"/>
      <c r="ICP25" s="287"/>
      <c r="ICQ25" s="633"/>
      <c r="ICR25" s="287"/>
      <c r="ICS25" s="287"/>
      <c r="ICT25" s="287"/>
      <c r="ICU25" s="287"/>
      <c r="ICV25" s="287"/>
      <c r="ICW25" s="287"/>
      <c r="ICX25" s="287"/>
      <c r="ICY25" s="287"/>
      <c r="ICZ25" s="287"/>
      <c r="IDA25" s="287"/>
      <c r="IDB25" s="287"/>
      <c r="IDC25" s="287"/>
      <c r="IDD25" s="287"/>
      <c r="IDE25" s="632"/>
      <c r="IDF25" s="287"/>
      <c r="IDG25" s="633"/>
      <c r="IDH25" s="287"/>
      <c r="IDI25" s="287"/>
      <c r="IDJ25" s="287"/>
      <c r="IDK25" s="287"/>
      <c r="IDL25" s="287"/>
      <c r="IDM25" s="287"/>
      <c r="IDN25" s="287"/>
      <c r="IDO25" s="287"/>
      <c r="IDP25" s="287"/>
      <c r="IDQ25" s="287"/>
      <c r="IDR25" s="287"/>
      <c r="IDS25" s="287"/>
      <c r="IDT25" s="287"/>
      <c r="IDU25" s="632"/>
      <c r="IDV25" s="287"/>
      <c r="IDW25" s="633"/>
      <c r="IDX25" s="287"/>
      <c r="IDY25" s="287"/>
      <c r="IDZ25" s="287"/>
      <c r="IEA25" s="287"/>
      <c r="IEB25" s="287"/>
      <c r="IEC25" s="287"/>
      <c r="IED25" s="287"/>
      <c r="IEE25" s="287"/>
      <c r="IEF25" s="287"/>
      <c r="IEG25" s="287"/>
      <c r="IEH25" s="287"/>
      <c r="IEI25" s="287"/>
      <c r="IEJ25" s="287"/>
      <c r="IEK25" s="632"/>
      <c r="IEL25" s="287"/>
      <c r="IEM25" s="633"/>
      <c r="IEN25" s="287"/>
      <c r="IEO25" s="287"/>
      <c r="IEP25" s="287"/>
      <c r="IEQ25" s="287"/>
      <c r="IER25" s="287"/>
      <c r="IES25" s="287"/>
      <c r="IET25" s="287"/>
      <c r="IEU25" s="287"/>
      <c r="IEV25" s="287"/>
      <c r="IEW25" s="287"/>
      <c r="IEX25" s="287"/>
      <c r="IEY25" s="287"/>
      <c r="IEZ25" s="287"/>
      <c r="IFA25" s="632"/>
      <c r="IFB25" s="287"/>
      <c r="IFC25" s="633"/>
      <c r="IFD25" s="287"/>
      <c r="IFE25" s="287"/>
      <c r="IFF25" s="287"/>
      <c r="IFG25" s="287"/>
      <c r="IFH25" s="287"/>
      <c r="IFI25" s="287"/>
      <c r="IFJ25" s="287"/>
      <c r="IFK25" s="287"/>
      <c r="IFL25" s="287"/>
      <c r="IFM25" s="287"/>
      <c r="IFN25" s="287"/>
      <c r="IFO25" s="287"/>
      <c r="IFP25" s="287"/>
      <c r="IFQ25" s="632"/>
      <c r="IFR25" s="287"/>
      <c r="IFS25" s="633"/>
      <c r="IFT25" s="287"/>
      <c r="IFU25" s="287"/>
      <c r="IFV25" s="287"/>
      <c r="IFW25" s="287"/>
      <c r="IFX25" s="287"/>
      <c r="IFY25" s="287"/>
      <c r="IFZ25" s="287"/>
      <c r="IGA25" s="287"/>
      <c r="IGB25" s="287"/>
      <c r="IGC25" s="287"/>
      <c r="IGD25" s="287"/>
      <c r="IGE25" s="287"/>
      <c r="IGF25" s="287"/>
      <c r="IGG25" s="632"/>
      <c r="IGH25" s="287"/>
      <c r="IGI25" s="633"/>
      <c r="IGJ25" s="287"/>
      <c r="IGK25" s="287"/>
      <c r="IGL25" s="287"/>
      <c r="IGM25" s="287"/>
      <c r="IGN25" s="287"/>
      <c r="IGO25" s="287"/>
      <c r="IGP25" s="287"/>
      <c r="IGQ25" s="287"/>
      <c r="IGR25" s="287"/>
      <c r="IGS25" s="287"/>
      <c r="IGT25" s="287"/>
      <c r="IGU25" s="287"/>
      <c r="IGV25" s="287"/>
      <c r="IGW25" s="632"/>
      <c r="IGX25" s="287"/>
      <c r="IGY25" s="633"/>
      <c r="IGZ25" s="287"/>
      <c r="IHA25" s="287"/>
      <c r="IHB25" s="287"/>
      <c r="IHC25" s="287"/>
      <c r="IHD25" s="287"/>
      <c r="IHE25" s="287"/>
      <c r="IHF25" s="287"/>
      <c r="IHG25" s="287"/>
      <c r="IHH25" s="287"/>
      <c r="IHI25" s="287"/>
      <c r="IHJ25" s="287"/>
      <c r="IHK25" s="287"/>
      <c r="IHL25" s="287"/>
      <c r="IHM25" s="632"/>
      <c r="IHN25" s="287"/>
      <c r="IHO25" s="633"/>
      <c r="IHP25" s="287"/>
      <c r="IHQ25" s="287"/>
      <c r="IHR25" s="287"/>
      <c r="IHS25" s="287"/>
      <c r="IHT25" s="287"/>
      <c r="IHU25" s="287"/>
      <c r="IHV25" s="287"/>
      <c r="IHW25" s="287"/>
      <c r="IHX25" s="287"/>
      <c r="IHY25" s="287"/>
      <c r="IHZ25" s="287"/>
      <c r="IIA25" s="287"/>
      <c r="IIB25" s="287"/>
      <c r="IIC25" s="632"/>
      <c r="IID25" s="287"/>
      <c r="IIE25" s="633"/>
      <c r="IIF25" s="287"/>
      <c r="IIG25" s="287"/>
      <c r="IIH25" s="287"/>
      <c r="III25" s="287"/>
      <c r="IIJ25" s="287"/>
      <c r="IIK25" s="287"/>
      <c r="IIL25" s="287"/>
      <c r="IIM25" s="287"/>
      <c r="IIN25" s="287"/>
      <c r="IIO25" s="287"/>
      <c r="IIP25" s="287"/>
      <c r="IIQ25" s="287"/>
      <c r="IIR25" s="287"/>
      <c r="IIS25" s="632"/>
      <c r="IIT25" s="287"/>
      <c r="IIU25" s="633"/>
      <c r="IIV25" s="287"/>
      <c r="IIW25" s="287"/>
      <c r="IIX25" s="287"/>
      <c r="IIY25" s="287"/>
      <c r="IIZ25" s="287"/>
      <c r="IJA25" s="287"/>
      <c r="IJB25" s="287"/>
      <c r="IJC25" s="287"/>
      <c r="IJD25" s="287"/>
      <c r="IJE25" s="287"/>
      <c r="IJF25" s="287"/>
      <c r="IJG25" s="287"/>
      <c r="IJH25" s="287"/>
      <c r="IJI25" s="632"/>
      <c r="IJJ25" s="287"/>
      <c r="IJK25" s="633"/>
      <c r="IJL25" s="287"/>
      <c r="IJM25" s="287"/>
      <c r="IJN25" s="287"/>
      <c r="IJO25" s="287"/>
      <c r="IJP25" s="287"/>
      <c r="IJQ25" s="287"/>
      <c r="IJR25" s="287"/>
      <c r="IJS25" s="287"/>
      <c r="IJT25" s="287"/>
      <c r="IJU25" s="287"/>
      <c r="IJV25" s="287"/>
      <c r="IJW25" s="287"/>
      <c r="IJX25" s="287"/>
      <c r="IJY25" s="632"/>
      <c r="IJZ25" s="287"/>
      <c r="IKA25" s="633"/>
      <c r="IKB25" s="287"/>
      <c r="IKC25" s="287"/>
      <c r="IKD25" s="287"/>
      <c r="IKE25" s="287"/>
      <c r="IKF25" s="287"/>
      <c r="IKG25" s="287"/>
      <c r="IKH25" s="287"/>
      <c r="IKI25" s="287"/>
      <c r="IKJ25" s="287"/>
      <c r="IKK25" s="287"/>
      <c r="IKL25" s="287"/>
      <c r="IKM25" s="287"/>
      <c r="IKN25" s="287"/>
      <c r="IKO25" s="632"/>
      <c r="IKP25" s="287"/>
      <c r="IKQ25" s="633"/>
      <c r="IKR25" s="287"/>
      <c r="IKS25" s="287"/>
      <c r="IKT25" s="287"/>
      <c r="IKU25" s="287"/>
      <c r="IKV25" s="287"/>
      <c r="IKW25" s="287"/>
      <c r="IKX25" s="287"/>
      <c r="IKY25" s="287"/>
      <c r="IKZ25" s="287"/>
      <c r="ILA25" s="287"/>
      <c r="ILB25" s="287"/>
      <c r="ILC25" s="287"/>
      <c r="ILD25" s="287"/>
      <c r="ILE25" s="632"/>
      <c r="ILF25" s="287"/>
      <c r="ILG25" s="633"/>
      <c r="ILH25" s="287"/>
      <c r="ILI25" s="287"/>
      <c r="ILJ25" s="287"/>
      <c r="ILK25" s="287"/>
      <c r="ILL25" s="287"/>
      <c r="ILM25" s="287"/>
      <c r="ILN25" s="287"/>
      <c r="ILO25" s="287"/>
      <c r="ILP25" s="287"/>
      <c r="ILQ25" s="287"/>
      <c r="ILR25" s="287"/>
      <c r="ILS25" s="287"/>
      <c r="ILT25" s="287"/>
      <c r="ILU25" s="632"/>
      <c r="ILV25" s="287"/>
      <c r="ILW25" s="633"/>
      <c r="ILX25" s="287"/>
      <c r="ILY25" s="287"/>
      <c r="ILZ25" s="287"/>
      <c r="IMA25" s="287"/>
      <c r="IMB25" s="287"/>
      <c r="IMC25" s="287"/>
      <c r="IMD25" s="287"/>
      <c r="IME25" s="287"/>
      <c r="IMF25" s="287"/>
      <c r="IMG25" s="287"/>
      <c r="IMH25" s="287"/>
      <c r="IMI25" s="287"/>
      <c r="IMJ25" s="287"/>
      <c r="IMK25" s="632"/>
      <c r="IML25" s="287"/>
      <c r="IMM25" s="633"/>
      <c r="IMN25" s="287"/>
      <c r="IMO25" s="287"/>
      <c r="IMP25" s="287"/>
      <c r="IMQ25" s="287"/>
      <c r="IMR25" s="287"/>
      <c r="IMS25" s="287"/>
      <c r="IMT25" s="287"/>
      <c r="IMU25" s="287"/>
      <c r="IMV25" s="287"/>
      <c r="IMW25" s="287"/>
      <c r="IMX25" s="287"/>
      <c r="IMY25" s="287"/>
      <c r="IMZ25" s="287"/>
      <c r="INA25" s="632"/>
      <c r="INB25" s="287"/>
      <c r="INC25" s="633"/>
      <c r="IND25" s="287"/>
      <c r="INE25" s="287"/>
      <c r="INF25" s="287"/>
      <c r="ING25" s="287"/>
      <c r="INH25" s="287"/>
      <c r="INI25" s="287"/>
      <c r="INJ25" s="287"/>
      <c r="INK25" s="287"/>
      <c r="INL25" s="287"/>
      <c r="INM25" s="287"/>
      <c r="INN25" s="287"/>
      <c r="INO25" s="287"/>
      <c r="INP25" s="287"/>
      <c r="INQ25" s="632"/>
      <c r="INR25" s="287"/>
      <c r="INS25" s="633"/>
      <c r="INT25" s="287"/>
      <c r="INU25" s="287"/>
      <c r="INV25" s="287"/>
      <c r="INW25" s="287"/>
      <c r="INX25" s="287"/>
      <c r="INY25" s="287"/>
      <c r="INZ25" s="287"/>
      <c r="IOA25" s="287"/>
      <c r="IOB25" s="287"/>
      <c r="IOC25" s="287"/>
      <c r="IOD25" s="287"/>
      <c r="IOE25" s="287"/>
      <c r="IOF25" s="287"/>
      <c r="IOG25" s="632"/>
      <c r="IOH25" s="287"/>
      <c r="IOI25" s="633"/>
      <c r="IOJ25" s="287"/>
      <c r="IOK25" s="287"/>
      <c r="IOL25" s="287"/>
      <c r="IOM25" s="287"/>
      <c r="ION25" s="287"/>
      <c r="IOO25" s="287"/>
      <c r="IOP25" s="287"/>
      <c r="IOQ25" s="287"/>
      <c r="IOR25" s="287"/>
      <c r="IOS25" s="287"/>
      <c r="IOT25" s="287"/>
      <c r="IOU25" s="287"/>
      <c r="IOV25" s="287"/>
      <c r="IOW25" s="632"/>
      <c r="IOX25" s="287"/>
      <c r="IOY25" s="633"/>
      <c r="IOZ25" s="287"/>
      <c r="IPA25" s="287"/>
      <c r="IPB25" s="287"/>
      <c r="IPC25" s="287"/>
      <c r="IPD25" s="287"/>
      <c r="IPE25" s="287"/>
      <c r="IPF25" s="287"/>
      <c r="IPG25" s="287"/>
      <c r="IPH25" s="287"/>
      <c r="IPI25" s="287"/>
      <c r="IPJ25" s="287"/>
      <c r="IPK25" s="287"/>
      <c r="IPL25" s="287"/>
      <c r="IPM25" s="632"/>
      <c r="IPN25" s="287"/>
      <c r="IPO25" s="633"/>
      <c r="IPP25" s="287"/>
      <c r="IPQ25" s="287"/>
      <c r="IPR25" s="287"/>
      <c r="IPS25" s="287"/>
      <c r="IPT25" s="287"/>
      <c r="IPU25" s="287"/>
      <c r="IPV25" s="287"/>
      <c r="IPW25" s="287"/>
      <c r="IPX25" s="287"/>
      <c r="IPY25" s="287"/>
      <c r="IPZ25" s="287"/>
      <c r="IQA25" s="287"/>
      <c r="IQB25" s="287"/>
      <c r="IQC25" s="632"/>
      <c r="IQD25" s="287"/>
      <c r="IQE25" s="633"/>
      <c r="IQF25" s="287"/>
      <c r="IQG25" s="287"/>
      <c r="IQH25" s="287"/>
      <c r="IQI25" s="287"/>
      <c r="IQJ25" s="287"/>
      <c r="IQK25" s="287"/>
      <c r="IQL25" s="287"/>
      <c r="IQM25" s="287"/>
      <c r="IQN25" s="287"/>
      <c r="IQO25" s="287"/>
      <c r="IQP25" s="287"/>
      <c r="IQQ25" s="287"/>
      <c r="IQR25" s="287"/>
      <c r="IQS25" s="632"/>
      <c r="IQT25" s="287"/>
      <c r="IQU25" s="633"/>
      <c r="IQV25" s="287"/>
      <c r="IQW25" s="287"/>
      <c r="IQX25" s="287"/>
      <c r="IQY25" s="287"/>
      <c r="IQZ25" s="287"/>
      <c r="IRA25" s="287"/>
      <c r="IRB25" s="287"/>
      <c r="IRC25" s="287"/>
      <c r="IRD25" s="287"/>
      <c r="IRE25" s="287"/>
      <c r="IRF25" s="287"/>
      <c r="IRG25" s="287"/>
      <c r="IRH25" s="287"/>
      <c r="IRI25" s="632"/>
      <c r="IRJ25" s="287"/>
      <c r="IRK25" s="633"/>
      <c r="IRL25" s="287"/>
      <c r="IRM25" s="287"/>
      <c r="IRN25" s="287"/>
      <c r="IRO25" s="287"/>
      <c r="IRP25" s="287"/>
      <c r="IRQ25" s="287"/>
      <c r="IRR25" s="287"/>
      <c r="IRS25" s="287"/>
      <c r="IRT25" s="287"/>
      <c r="IRU25" s="287"/>
      <c r="IRV25" s="287"/>
      <c r="IRW25" s="287"/>
      <c r="IRX25" s="287"/>
      <c r="IRY25" s="632"/>
      <c r="IRZ25" s="287"/>
      <c r="ISA25" s="633"/>
      <c r="ISB25" s="287"/>
      <c r="ISC25" s="287"/>
      <c r="ISD25" s="287"/>
      <c r="ISE25" s="287"/>
      <c r="ISF25" s="287"/>
      <c r="ISG25" s="287"/>
      <c r="ISH25" s="287"/>
      <c r="ISI25" s="287"/>
      <c r="ISJ25" s="287"/>
      <c r="ISK25" s="287"/>
      <c r="ISL25" s="287"/>
      <c r="ISM25" s="287"/>
      <c r="ISN25" s="287"/>
      <c r="ISO25" s="632"/>
      <c r="ISP25" s="287"/>
      <c r="ISQ25" s="633"/>
      <c r="ISR25" s="287"/>
      <c r="ISS25" s="287"/>
      <c r="IST25" s="287"/>
      <c r="ISU25" s="287"/>
      <c r="ISV25" s="287"/>
      <c r="ISW25" s="287"/>
      <c r="ISX25" s="287"/>
      <c r="ISY25" s="287"/>
      <c r="ISZ25" s="287"/>
      <c r="ITA25" s="287"/>
      <c r="ITB25" s="287"/>
      <c r="ITC25" s="287"/>
      <c r="ITD25" s="287"/>
      <c r="ITE25" s="632"/>
      <c r="ITF25" s="287"/>
      <c r="ITG25" s="633"/>
      <c r="ITH25" s="287"/>
      <c r="ITI25" s="287"/>
      <c r="ITJ25" s="287"/>
      <c r="ITK25" s="287"/>
      <c r="ITL25" s="287"/>
      <c r="ITM25" s="287"/>
      <c r="ITN25" s="287"/>
      <c r="ITO25" s="287"/>
      <c r="ITP25" s="287"/>
      <c r="ITQ25" s="287"/>
      <c r="ITR25" s="287"/>
      <c r="ITS25" s="287"/>
      <c r="ITT25" s="287"/>
      <c r="ITU25" s="632"/>
      <c r="ITV25" s="287"/>
      <c r="ITW25" s="633"/>
      <c r="ITX25" s="287"/>
      <c r="ITY25" s="287"/>
      <c r="ITZ25" s="287"/>
      <c r="IUA25" s="287"/>
      <c r="IUB25" s="287"/>
      <c r="IUC25" s="287"/>
      <c r="IUD25" s="287"/>
      <c r="IUE25" s="287"/>
      <c r="IUF25" s="287"/>
      <c r="IUG25" s="287"/>
      <c r="IUH25" s="287"/>
      <c r="IUI25" s="287"/>
      <c r="IUJ25" s="287"/>
      <c r="IUK25" s="632"/>
      <c r="IUL25" s="287"/>
      <c r="IUM25" s="633"/>
      <c r="IUN25" s="287"/>
      <c r="IUO25" s="287"/>
      <c r="IUP25" s="287"/>
      <c r="IUQ25" s="287"/>
      <c r="IUR25" s="287"/>
      <c r="IUS25" s="287"/>
      <c r="IUT25" s="287"/>
      <c r="IUU25" s="287"/>
      <c r="IUV25" s="287"/>
      <c r="IUW25" s="287"/>
      <c r="IUX25" s="287"/>
      <c r="IUY25" s="287"/>
      <c r="IUZ25" s="287"/>
      <c r="IVA25" s="632"/>
      <c r="IVB25" s="287"/>
      <c r="IVC25" s="633"/>
      <c r="IVD25" s="287"/>
      <c r="IVE25" s="287"/>
      <c r="IVF25" s="287"/>
      <c r="IVG25" s="287"/>
      <c r="IVH25" s="287"/>
      <c r="IVI25" s="287"/>
      <c r="IVJ25" s="287"/>
      <c r="IVK25" s="287"/>
      <c r="IVL25" s="287"/>
      <c r="IVM25" s="287"/>
      <c r="IVN25" s="287"/>
      <c r="IVO25" s="287"/>
      <c r="IVP25" s="287"/>
      <c r="IVQ25" s="632"/>
      <c r="IVR25" s="287"/>
      <c r="IVS25" s="633"/>
      <c r="IVT25" s="287"/>
      <c r="IVU25" s="287"/>
      <c r="IVV25" s="287"/>
      <c r="IVW25" s="287"/>
      <c r="IVX25" s="287"/>
      <c r="IVY25" s="287"/>
      <c r="IVZ25" s="287"/>
      <c r="IWA25" s="287"/>
      <c r="IWB25" s="287"/>
      <c r="IWC25" s="287"/>
      <c r="IWD25" s="287"/>
      <c r="IWE25" s="287"/>
      <c r="IWF25" s="287"/>
      <c r="IWG25" s="632"/>
      <c r="IWH25" s="287"/>
      <c r="IWI25" s="633"/>
      <c r="IWJ25" s="287"/>
      <c r="IWK25" s="287"/>
      <c r="IWL25" s="287"/>
      <c r="IWM25" s="287"/>
      <c r="IWN25" s="287"/>
      <c r="IWO25" s="287"/>
      <c r="IWP25" s="287"/>
      <c r="IWQ25" s="287"/>
      <c r="IWR25" s="287"/>
      <c r="IWS25" s="287"/>
      <c r="IWT25" s="287"/>
      <c r="IWU25" s="287"/>
      <c r="IWV25" s="287"/>
      <c r="IWW25" s="632"/>
      <c r="IWX25" s="287"/>
      <c r="IWY25" s="633"/>
      <c r="IWZ25" s="287"/>
      <c r="IXA25" s="287"/>
      <c r="IXB25" s="287"/>
      <c r="IXC25" s="287"/>
      <c r="IXD25" s="287"/>
      <c r="IXE25" s="287"/>
      <c r="IXF25" s="287"/>
      <c r="IXG25" s="287"/>
      <c r="IXH25" s="287"/>
      <c r="IXI25" s="287"/>
      <c r="IXJ25" s="287"/>
      <c r="IXK25" s="287"/>
      <c r="IXL25" s="287"/>
      <c r="IXM25" s="632"/>
      <c r="IXN25" s="287"/>
      <c r="IXO25" s="633"/>
      <c r="IXP25" s="287"/>
      <c r="IXQ25" s="287"/>
      <c r="IXR25" s="287"/>
      <c r="IXS25" s="287"/>
      <c r="IXT25" s="287"/>
      <c r="IXU25" s="287"/>
      <c r="IXV25" s="287"/>
      <c r="IXW25" s="287"/>
      <c r="IXX25" s="287"/>
      <c r="IXY25" s="287"/>
      <c r="IXZ25" s="287"/>
      <c r="IYA25" s="287"/>
      <c r="IYB25" s="287"/>
      <c r="IYC25" s="632"/>
      <c r="IYD25" s="287"/>
      <c r="IYE25" s="633"/>
      <c r="IYF25" s="287"/>
      <c r="IYG25" s="287"/>
      <c r="IYH25" s="287"/>
      <c r="IYI25" s="287"/>
      <c r="IYJ25" s="287"/>
      <c r="IYK25" s="287"/>
      <c r="IYL25" s="287"/>
      <c r="IYM25" s="287"/>
      <c r="IYN25" s="287"/>
      <c r="IYO25" s="287"/>
      <c r="IYP25" s="287"/>
      <c r="IYQ25" s="287"/>
      <c r="IYR25" s="287"/>
      <c r="IYS25" s="632"/>
      <c r="IYT25" s="287"/>
      <c r="IYU25" s="633"/>
      <c r="IYV25" s="287"/>
      <c r="IYW25" s="287"/>
      <c r="IYX25" s="287"/>
      <c r="IYY25" s="287"/>
      <c r="IYZ25" s="287"/>
      <c r="IZA25" s="287"/>
      <c r="IZB25" s="287"/>
      <c r="IZC25" s="287"/>
      <c r="IZD25" s="287"/>
      <c r="IZE25" s="287"/>
      <c r="IZF25" s="287"/>
      <c r="IZG25" s="287"/>
      <c r="IZH25" s="287"/>
      <c r="IZI25" s="632"/>
      <c r="IZJ25" s="287"/>
      <c r="IZK25" s="633"/>
      <c r="IZL25" s="287"/>
      <c r="IZM25" s="287"/>
      <c r="IZN25" s="287"/>
      <c r="IZO25" s="287"/>
      <c r="IZP25" s="287"/>
      <c r="IZQ25" s="287"/>
      <c r="IZR25" s="287"/>
      <c r="IZS25" s="287"/>
      <c r="IZT25" s="287"/>
      <c r="IZU25" s="287"/>
      <c r="IZV25" s="287"/>
      <c r="IZW25" s="287"/>
      <c r="IZX25" s="287"/>
      <c r="IZY25" s="632"/>
      <c r="IZZ25" s="287"/>
      <c r="JAA25" s="633"/>
      <c r="JAB25" s="287"/>
      <c r="JAC25" s="287"/>
      <c r="JAD25" s="287"/>
      <c r="JAE25" s="287"/>
      <c r="JAF25" s="287"/>
      <c r="JAG25" s="287"/>
      <c r="JAH25" s="287"/>
      <c r="JAI25" s="287"/>
      <c r="JAJ25" s="287"/>
      <c r="JAK25" s="287"/>
      <c r="JAL25" s="287"/>
      <c r="JAM25" s="287"/>
      <c r="JAN25" s="287"/>
      <c r="JAO25" s="632"/>
      <c r="JAP25" s="287"/>
      <c r="JAQ25" s="633"/>
      <c r="JAR25" s="287"/>
      <c r="JAS25" s="287"/>
      <c r="JAT25" s="287"/>
      <c r="JAU25" s="287"/>
      <c r="JAV25" s="287"/>
      <c r="JAW25" s="287"/>
      <c r="JAX25" s="287"/>
      <c r="JAY25" s="287"/>
      <c r="JAZ25" s="287"/>
      <c r="JBA25" s="287"/>
      <c r="JBB25" s="287"/>
      <c r="JBC25" s="287"/>
      <c r="JBD25" s="287"/>
      <c r="JBE25" s="632"/>
      <c r="JBF25" s="287"/>
      <c r="JBG25" s="633"/>
      <c r="JBH25" s="287"/>
      <c r="JBI25" s="287"/>
      <c r="JBJ25" s="287"/>
      <c r="JBK25" s="287"/>
      <c r="JBL25" s="287"/>
      <c r="JBM25" s="287"/>
      <c r="JBN25" s="287"/>
      <c r="JBO25" s="287"/>
      <c r="JBP25" s="287"/>
      <c r="JBQ25" s="287"/>
      <c r="JBR25" s="287"/>
      <c r="JBS25" s="287"/>
      <c r="JBT25" s="287"/>
      <c r="JBU25" s="632"/>
      <c r="JBV25" s="287"/>
      <c r="JBW25" s="633"/>
      <c r="JBX25" s="287"/>
      <c r="JBY25" s="287"/>
      <c r="JBZ25" s="287"/>
      <c r="JCA25" s="287"/>
      <c r="JCB25" s="287"/>
      <c r="JCC25" s="287"/>
      <c r="JCD25" s="287"/>
      <c r="JCE25" s="287"/>
      <c r="JCF25" s="287"/>
      <c r="JCG25" s="287"/>
      <c r="JCH25" s="287"/>
      <c r="JCI25" s="287"/>
      <c r="JCJ25" s="287"/>
      <c r="JCK25" s="632"/>
      <c r="JCL25" s="287"/>
      <c r="JCM25" s="633"/>
      <c r="JCN25" s="287"/>
      <c r="JCO25" s="287"/>
      <c r="JCP25" s="287"/>
      <c r="JCQ25" s="287"/>
      <c r="JCR25" s="287"/>
      <c r="JCS25" s="287"/>
      <c r="JCT25" s="287"/>
      <c r="JCU25" s="287"/>
      <c r="JCV25" s="287"/>
      <c r="JCW25" s="287"/>
      <c r="JCX25" s="287"/>
      <c r="JCY25" s="287"/>
      <c r="JCZ25" s="287"/>
      <c r="JDA25" s="632"/>
      <c r="JDB25" s="287"/>
      <c r="JDC25" s="633"/>
      <c r="JDD25" s="287"/>
      <c r="JDE25" s="287"/>
      <c r="JDF25" s="287"/>
      <c r="JDG25" s="287"/>
      <c r="JDH25" s="287"/>
      <c r="JDI25" s="287"/>
      <c r="JDJ25" s="287"/>
      <c r="JDK25" s="287"/>
      <c r="JDL25" s="287"/>
      <c r="JDM25" s="287"/>
      <c r="JDN25" s="287"/>
      <c r="JDO25" s="287"/>
      <c r="JDP25" s="287"/>
      <c r="JDQ25" s="632"/>
      <c r="JDR25" s="287"/>
      <c r="JDS25" s="633"/>
      <c r="JDT25" s="287"/>
      <c r="JDU25" s="287"/>
      <c r="JDV25" s="287"/>
      <c r="JDW25" s="287"/>
      <c r="JDX25" s="287"/>
      <c r="JDY25" s="287"/>
      <c r="JDZ25" s="287"/>
      <c r="JEA25" s="287"/>
      <c r="JEB25" s="287"/>
      <c r="JEC25" s="287"/>
      <c r="JED25" s="287"/>
      <c r="JEE25" s="287"/>
      <c r="JEF25" s="287"/>
      <c r="JEG25" s="632"/>
      <c r="JEH25" s="287"/>
      <c r="JEI25" s="633"/>
      <c r="JEJ25" s="287"/>
      <c r="JEK25" s="287"/>
      <c r="JEL25" s="287"/>
      <c r="JEM25" s="287"/>
      <c r="JEN25" s="287"/>
      <c r="JEO25" s="287"/>
      <c r="JEP25" s="287"/>
      <c r="JEQ25" s="287"/>
      <c r="JER25" s="287"/>
      <c r="JES25" s="287"/>
      <c r="JET25" s="287"/>
      <c r="JEU25" s="287"/>
      <c r="JEV25" s="287"/>
      <c r="JEW25" s="632"/>
      <c r="JEX25" s="287"/>
      <c r="JEY25" s="633"/>
      <c r="JEZ25" s="287"/>
      <c r="JFA25" s="287"/>
      <c r="JFB25" s="287"/>
      <c r="JFC25" s="287"/>
      <c r="JFD25" s="287"/>
      <c r="JFE25" s="287"/>
      <c r="JFF25" s="287"/>
      <c r="JFG25" s="287"/>
      <c r="JFH25" s="287"/>
      <c r="JFI25" s="287"/>
      <c r="JFJ25" s="287"/>
      <c r="JFK25" s="287"/>
      <c r="JFL25" s="287"/>
      <c r="JFM25" s="632"/>
      <c r="JFN25" s="287"/>
      <c r="JFO25" s="633"/>
      <c r="JFP25" s="287"/>
      <c r="JFQ25" s="287"/>
      <c r="JFR25" s="287"/>
      <c r="JFS25" s="287"/>
      <c r="JFT25" s="287"/>
      <c r="JFU25" s="287"/>
      <c r="JFV25" s="287"/>
      <c r="JFW25" s="287"/>
      <c r="JFX25" s="287"/>
      <c r="JFY25" s="287"/>
      <c r="JFZ25" s="287"/>
      <c r="JGA25" s="287"/>
      <c r="JGB25" s="287"/>
      <c r="JGC25" s="632"/>
      <c r="JGD25" s="287"/>
      <c r="JGE25" s="633"/>
      <c r="JGF25" s="287"/>
      <c r="JGG25" s="287"/>
      <c r="JGH25" s="287"/>
      <c r="JGI25" s="287"/>
      <c r="JGJ25" s="287"/>
      <c r="JGK25" s="287"/>
      <c r="JGL25" s="287"/>
      <c r="JGM25" s="287"/>
      <c r="JGN25" s="287"/>
      <c r="JGO25" s="287"/>
      <c r="JGP25" s="287"/>
      <c r="JGQ25" s="287"/>
      <c r="JGR25" s="287"/>
      <c r="JGS25" s="632"/>
      <c r="JGT25" s="287"/>
      <c r="JGU25" s="633"/>
      <c r="JGV25" s="287"/>
      <c r="JGW25" s="287"/>
      <c r="JGX25" s="287"/>
      <c r="JGY25" s="287"/>
      <c r="JGZ25" s="287"/>
      <c r="JHA25" s="287"/>
      <c r="JHB25" s="287"/>
      <c r="JHC25" s="287"/>
      <c r="JHD25" s="287"/>
      <c r="JHE25" s="287"/>
      <c r="JHF25" s="287"/>
      <c r="JHG25" s="287"/>
      <c r="JHH25" s="287"/>
      <c r="JHI25" s="632"/>
      <c r="JHJ25" s="287"/>
      <c r="JHK25" s="633"/>
      <c r="JHL25" s="287"/>
      <c r="JHM25" s="287"/>
      <c r="JHN25" s="287"/>
      <c r="JHO25" s="287"/>
      <c r="JHP25" s="287"/>
      <c r="JHQ25" s="287"/>
      <c r="JHR25" s="287"/>
      <c r="JHS25" s="287"/>
      <c r="JHT25" s="287"/>
      <c r="JHU25" s="287"/>
      <c r="JHV25" s="287"/>
      <c r="JHW25" s="287"/>
      <c r="JHX25" s="287"/>
      <c r="JHY25" s="632"/>
      <c r="JHZ25" s="287"/>
      <c r="JIA25" s="633"/>
      <c r="JIB25" s="287"/>
      <c r="JIC25" s="287"/>
      <c r="JID25" s="287"/>
      <c r="JIE25" s="287"/>
      <c r="JIF25" s="287"/>
      <c r="JIG25" s="287"/>
      <c r="JIH25" s="287"/>
      <c r="JII25" s="287"/>
      <c r="JIJ25" s="287"/>
      <c r="JIK25" s="287"/>
      <c r="JIL25" s="287"/>
      <c r="JIM25" s="287"/>
      <c r="JIN25" s="287"/>
      <c r="JIO25" s="632"/>
      <c r="JIP25" s="287"/>
      <c r="JIQ25" s="633"/>
      <c r="JIR25" s="287"/>
      <c r="JIS25" s="287"/>
      <c r="JIT25" s="287"/>
      <c r="JIU25" s="287"/>
      <c r="JIV25" s="287"/>
      <c r="JIW25" s="287"/>
      <c r="JIX25" s="287"/>
      <c r="JIY25" s="287"/>
      <c r="JIZ25" s="287"/>
      <c r="JJA25" s="287"/>
      <c r="JJB25" s="287"/>
      <c r="JJC25" s="287"/>
      <c r="JJD25" s="287"/>
      <c r="JJE25" s="632"/>
      <c r="JJF25" s="287"/>
      <c r="JJG25" s="633"/>
      <c r="JJH25" s="287"/>
      <c r="JJI25" s="287"/>
      <c r="JJJ25" s="287"/>
      <c r="JJK25" s="287"/>
      <c r="JJL25" s="287"/>
      <c r="JJM25" s="287"/>
      <c r="JJN25" s="287"/>
      <c r="JJO25" s="287"/>
      <c r="JJP25" s="287"/>
      <c r="JJQ25" s="287"/>
      <c r="JJR25" s="287"/>
      <c r="JJS25" s="287"/>
      <c r="JJT25" s="287"/>
      <c r="JJU25" s="632"/>
      <c r="JJV25" s="287"/>
      <c r="JJW25" s="633"/>
      <c r="JJX25" s="287"/>
      <c r="JJY25" s="287"/>
      <c r="JJZ25" s="287"/>
      <c r="JKA25" s="287"/>
      <c r="JKB25" s="287"/>
      <c r="JKC25" s="287"/>
      <c r="JKD25" s="287"/>
      <c r="JKE25" s="287"/>
      <c r="JKF25" s="287"/>
      <c r="JKG25" s="287"/>
      <c r="JKH25" s="287"/>
      <c r="JKI25" s="287"/>
      <c r="JKJ25" s="287"/>
      <c r="JKK25" s="632"/>
      <c r="JKL25" s="287"/>
      <c r="JKM25" s="633"/>
      <c r="JKN25" s="287"/>
      <c r="JKO25" s="287"/>
      <c r="JKP25" s="287"/>
      <c r="JKQ25" s="287"/>
      <c r="JKR25" s="287"/>
      <c r="JKS25" s="287"/>
      <c r="JKT25" s="287"/>
      <c r="JKU25" s="287"/>
      <c r="JKV25" s="287"/>
      <c r="JKW25" s="287"/>
      <c r="JKX25" s="287"/>
      <c r="JKY25" s="287"/>
      <c r="JKZ25" s="287"/>
      <c r="JLA25" s="632"/>
      <c r="JLB25" s="287"/>
      <c r="JLC25" s="633"/>
      <c r="JLD25" s="287"/>
      <c r="JLE25" s="287"/>
      <c r="JLF25" s="287"/>
      <c r="JLG25" s="287"/>
      <c r="JLH25" s="287"/>
      <c r="JLI25" s="287"/>
      <c r="JLJ25" s="287"/>
      <c r="JLK25" s="287"/>
      <c r="JLL25" s="287"/>
      <c r="JLM25" s="287"/>
      <c r="JLN25" s="287"/>
      <c r="JLO25" s="287"/>
      <c r="JLP25" s="287"/>
      <c r="JLQ25" s="632"/>
      <c r="JLR25" s="287"/>
      <c r="JLS25" s="633"/>
      <c r="JLT25" s="287"/>
      <c r="JLU25" s="287"/>
      <c r="JLV25" s="287"/>
      <c r="JLW25" s="287"/>
      <c r="JLX25" s="287"/>
      <c r="JLY25" s="287"/>
      <c r="JLZ25" s="287"/>
      <c r="JMA25" s="287"/>
      <c r="JMB25" s="287"/>
      <c r="JMC25" s="287"/>
      <c r="JMD25" s="287"/>
      <c r="JME25" s="287"/>
      <c r="JMF25" s="287"/>
      <c r="JMG25" s="632"/>
      <c r="JMH25" s="287"/>
      <c r="JMI25" s="633"/>
      <c r="JMJ25" s="287"/>
      <c r="JMK25" s="287"/>
      <c r="JML25" s="287"/>
      <c r="JMM25" s="287"/>
      <c r="JMN25" s="287"/>
      <c r="JMO25" s="287"/>
      <c r="JMP25" s="287"/>
      <c r="JMQ25" s="287"/>
      <c r="JMR25" s="287"/>
      <c r="JMS25" s="287"/>
      <c r="JMT25" s="287"/>
      <c r="JMU25" s="287"/>
      <c r="JMV25" s="287"/>
      <c r="JMW25" s="632"/>
      <c r="JMX25" s="287"/>
      <c r="JMY25" s="633"/>
      <c r="JMZ25" s="287"/>
      <c r="JNA25" s="287"/>
      <c r="JNB25" s="287"/>
      <c r="JNC25" s="287"/>
      <c r="JND25" s="287"/>
      <c r="JNE25" s="287"/>
      <c r="JNF25" s="287"/>
      <c r="JNG25" s="287"/>
      <c r="JNH25" s="287"/>
      <c r="JNI25" s="287"/>
      <c r="JNJ25" s="287"/>
      <c r="JNK25" s="287"/>
      <c r="JNL25" s="287"/>
      <c r="JNM25" s="632"/>
      <c r="JNN25" s="287"/>
      <c r="JNO25" s="633"/>
      <c r="JNP25" s="287"/>
      <c r="JNQ25" s="287"/>
      <c r="JNR25" s="287"/>
      <c r="JNS25" s="287"/>
      <c r="JNT25" s="287"/>
      <c r="JNU25" s="287"/>
      <c r="JNV25" s="287"/>
      <c r="JNW25" s="287"/>
      <c r="JNX25" s="287"/>
      <c r="JNY25" s="287"/>
      <c r="JNZ25" s="287"/>
      <c r="JOA25" s="287"/>
      <c r="JOB25" s="287"/>
      <c r="JOC25" s="632"/>
      <c r="JOD25" s="287"/>
      <c r="JOE25" s="633"/>
      <c r="JOF25" s="287"/>
      <c r="JOG25" s="287"/>
      <c r="JOH25" s="287"/>
      <c r="JOI25" s="287"/>
      <c r="JOJ25" s="287"/>
      <c r="JOK25" s="287"/>
      <c r="JOL25" s="287"/>
      <c r="JOM25" s="287"/>
      <c r="JON25" s="287"/>
      <c r="JOO25" s="287"/>
      <c r="JOP25" s="287"/>
      <c r="JOQ25" s="287"/>
      <c r="JOR25" s="287"/>
      <c r="JOS25" s="632"/>
      <c r="JOT25" s="287"/>
      <c r="JOU25" s="633"/>
      <c r="JOV25" s="287"/>
      <c r="JOW25" s="287"/>
      <c r="JOX25" s="287"/>
      <c r="JOY25" s="287"/>
      <c r="JOZ25" s="287"/>
      <c r="JPA25" s="287"/>
      <c r="JPB25" s="287"/>
      <c r="JPC25" s="287"/>
      <c r="JPD25" s="287"/>
      <c r="JPE25" s="287"/>
      <c r="JPF25" s="287"/>
      <c r="JPG25" s="287"/>
      <c r="JPH25" s="287"/>
      <c r="JPI25" s="632"/>
      <c r="JPJ25" s="287"/>
      <c r="JPK25" s="633"/>
      <c r="JPL25" s="287"/>
      <c r="JPM25" s="287"/>
      <c r="JPN25" s="287"/>
      <c r="JPO25" s="287"/>
      <c r="JPP25" s="287"/>
      <c r="JPQ25" s="287"/>
      <c r="JPR25" s="287"/>
      <c r="JPS25" s="287"/>
      <c r="JPT25" s="287"/>
      <c r="JPU25" s="287"/>
      <c r="JPV25" s="287"/>
      <c r="JPW25" s="287"/>
      <c r="JPX25" s="287"/>
      <c r="JPY25" s="632"/>
      <c r="JPZ25" s="287"/>
      <c r="JQA25" s="633"/>
      <c r="JQB25" s="287"/>
      <c r="JQC25" s="287"/>
      <c r="JQD25" s="287"/>
      <c r="JQE25" s="287"/>
      <c r="JQF25" s="287"/>
      <c r="JQG25" s="287"/>
      <c r="JQH25" s="287"/>
      <c r="JQI25" s="287"/>
      <c r="JQJ25" s="287"/>
      <c r="JQK25" s="287"/>
      <c r="JQL25" s="287"/>
      <c r="JQM25" s="287"/>
      <c r="JQN25" s="287"/>
      <c r="JQO25" s="632"/>
      <c r="JQP25" s="287"/>
      <c r="JQQ25" s="633"/>
      <c r="JQR25" s="287"/>
      <c r="JQS25" s="287"/>
      <c r="JQT25" s="287"/>
      <c r="JQU25" s="287"/>
      <c r="JQV25" s="287"/>
      <c r="JQW25" s="287"/>
      <c r="JQX25" s="287"/>
      <c r="JQY25" s="287"/>
      <c r="JQZ25" s="287"/>
      <c r="JRA25" s="287"/>
      <c r="JRB25" s="287"/>
      <c r="JRC25" s="287"/>
      <c r="JRD25" s="287"/>
      <c r="JRE25" s="632"/>
      <c r="JRF25" s="287"/>
      <c r="JRG25" s="633"/>
      <c r="JRH25" s="287"/>
      <c r="JRI25" s="287"/>
      <c r="JRJ25" s="287"/>
      <c r="JRK25" s="287"/>
      <c r="JRL25" s="287"/>
      <c r="JRM25" s="287"/>
      <c r="JRN25" s="287"/>
      <c r="JRO25" s="287"/>
      <c r="JRP25" s="287"/>
      <c r="JRQ25" s="287"/>
      <c r="JRR25" s="287"/>
      <c r="JRS25" s="287"/>
      <c r="JRT25" s="287"/>
      <c r="JRU25" s="632"/>
      <c r="JRV25" s="287"/>
      <c r="JRW25" s="633"/>
      <c r="JRX25" s="287"/>
      <c r="JRY25" s="287"/>
      <c r="JRZ25" s="287"/>
      <c r="JSA25" s="287"/>
      <c r="JSB25" s="287"/>
      <c r="JSC25" s="287"/>
      <c r="JSD25" s="287"/>
      <c r="JSE25" s="287"/>
      <c r="JSF25" s="287"/>
      <c r="JSG25" s="287"/>
      <c r="JSH25" s="287"/>
      <c r="JSI25" s="287"/>
      <c r="JSJ25" s="287"/>
      <c r="JSK25" s="632"/>
      <c r="JSL25" s="287"/>
      <c r="JSM25" s="633"/>
      <c r="JSN25" s="287"/>
      <c r="JSO25" s="287"/>
      <c r="JSP25" s="287"/>
      <c r="JSQ25" s="287"/>
      <c r="JSR25" s="287"/>
      <c r="JSS25" s="287"/>
      <c r="JST25" s="287"/>
      <c r="JSU25" s="287"/>
      <c r="JSV25" s="287"/>
      <c r="JSW25" s="287"/>
      <c r="JSX25" s="287"/>
      <c r="JSY25" s="287"/>
      <c r="JSZ25" s="287"/>
      <c r="JTA25" s="632"/>
      <c r="JTB25" s="287"/>
      <c r="JTC25" s="633"/>
      <c r="JTD25" s="287"/>
      <c r="JTE25" s="287"/>
      <c r="JTF25" s="287"/>
      <c r="JTG25" s="287"/>
      <c r="JTH25" s="287"/>
      <c r="JTI25" s="287"/>
      <c r="JTJ25" s="287"/>
      <c r="JTK25" s="287"/>
      <c r="JTL25" s="287"/>
      <c r="JTM25" s="287"/>
      <c r="JTN25" s="287"/>
      <c r="JTO25" s="287"/>
      <c r="JTP25" s="287"/>
      <c r="JTQ25" s="632"/>
      <c r="JTR25" s="287"/>
      <c r="JTS25" s="633"/>
      <c r="JTT25" s="287"/>
      <c r="JTU25" s="287"/>
      <c r="JTV25" s="287"/>
      <c r="JTW25" s="287"/>
      <c r="JTX25" s="287"/>
      <c r="JTY25" s="287"/>
      <c r="JTZ25" s="287"/>
      <c r="JUA25" s="287"/>
      <c r="JUB25" s="287"/>
      <c r="JUC25" s="287"/>
      <c r="JUD25" s="287"/>
      <c r="JUE25" s="287"/>
      <c r="JUF25" s="287"/>
      <c r="JUG25" s="632"/>
      <c r="JUH25" s="287"/>
      <c r="JUI25" s="633"/>
      <c r="JUJ25" s="287"/>
      <c r="JUK25" s="287"/>
      <c r="JUL25" s="287"/>
      <c r="JUM25" s="287"/>
      <c r="JUN25" s="287"/>
      <c r="JUO25" s="287"/>
      <c r="JUP25" s="287"/>
      <c r="JUQ25" s="287"/>
      <c r="JUR25" s="287"/>
      <c r="JUS25" s="287"/>
      <c r="JUT25" s="287"/>
      <c r="JUU25" s="287"/>
      <c r="JUV25" s="287"/>
      <c r="JUW25" s="632"/>
      <c r="JUX25" s="287"/>
      <c r="JUY25" s="633"/>
      <c r="JUZ25" s="287"/>
      <c r="JVA25" s="287"/>
      <c r="JVB25" s="287"/>
      <c r="JVC25" s="287"/>
      <c r="JVD25" s="287"/>
      <c r="JVE25" s="287"/>
      <c r="JVF25" s="287"/>
      <c r="JVG25" s="287"/>
      <c r="JVH25" s="287"/>
      <c r="JVI25" s="287"/>
      <c r="JVJ25" s="287"/>
      <c r="JVK25" s="287"/>
      <c r="JVL25" s="287"/>
      <c r="JVM25" s="632"/>
      <c r="JVN25" s="287"/>
      <c r="JVO25" s="633"/>
      <c r="JVP25" s="287"/>
      <c r="JVQ25" s="287"/>
      <c r="JVR25" s="287"/>
      <c r="JVS25" s="287"/>
      <c r="JVT25" s="287"/>
      <c r="JVU25" s="287"/>
      <c r="JVV25" s="287"/>
      <c r="JVW25" s="287"/>
      <c r="JVX25" s="287"/>
      <c r="JVY25" s="287"/>
      <c r="JVZ25" s="287"/>
      <c r="JWA25" s="287"/>
      <c r="JWB25" s="287"/>
      <c r="JWC25" s="632"/>
      <c r="JWD25" s="287"/>
      <c r="JWE25" s="633"/>
      <c r="JWF25" s="287"/>
      <c r="JWG25" s="287"/>
      <c r="JWH25" s="287"/>
      <c r="JWI25" s="287"/>
      <c r="JWJ25" s="287"/>
      <c r="JWK25" s="287"/>
      <c r="JWL25" s="287"/>
      <c r="JWM25" s="287"/>
      <c r="JWN25" s="287"/>
      <c r="JWO25" s="287"/>
      <c r="JWP25" s="287"/>
      <c r="JWQ25" s="287"/>
      <c r="JWR25" s="287"/>
      <c r="JWS25" s="632"/>
      <c r="JWT25" s="287"/>
      <c r="JWU25" s="633"/>
      <c r="JWV25" s="287"/>
      <c r="JWW25" s="287"/>
      <c r="JWX25" s="287"/>
      <c r="JWY25" s="287"/>
      <c r="JWZ25" s="287"/>
      <c r="JXA25" s="287"/>
      <c r="JXB25" s="287"/>
      <c r="JXC25" s="287"/>
      <c r="JXD25" s="287"/>
      <c r="JXE25" s="287"/>
      <c r="JXF25" s="287"/>
      <c r="JXG25" s="287"/>
      <c r="JXH25" s="287"/>
      <c r="JXI25" s="632"/>
      <c r="JXJ25" s="287"/>
      <c r="JXK25" s="633"/>
      <c r="JXL25" s="287"/>
      <c r="JXM25" s="287"/>
      <c r="JXN25" s="287"/>
      <c r="JXO25" s="287"/>
      <c r="JXP25" s="287"/>
      <c r="JXQ25" s="287"/>
      <c r="JXR25" s="287"/>
      <c r="JXS25" s="287"/>
      <c r="JXT25" s="287"/>
      <c r="JXU25" s="287"/>
      <c r="JXV25" s="287"/>
      <c r="JXW25" s="287"/>
      <c r="JXX25" s="287"/>
      <c r="JXY25" s="632"/>
      <c r="JXZ25" s="287"/>
      <c r="JYA25" s="633"/>
      <c r="JYB25" s="287"/>
      <c r="JYC25" s="287"/>
      <c r="JYD25" s="287"/>
      <c r="JYE25" s="287"/>
      <c r="JYF25" s="287"/>
      <c r="JYG25" s="287"/>
      <c r="JYH25" s="287"/>
      <c r="JYI25" s="287"/>
      <c r="JYJ25" s="287"/>
      <c r="JYK25" s="287"/>
      <c r="JYL25" s="287"/>
      <c r="JYM25" s="287"/>
      <c r="JYN25" s="287"/>
      <c r="JYO25" s="632"/>
      <c r="JYP25" s="287"/>
      <c r="JYQ25" s="633"/>
      <c r="JYR25" s="287"/>
      <c r="JYS25" s="287"/>
      <c r="JYT25" s="287"/>
      <c r="JYU25" s="287"/>
      <c r="JYV25" s="287"/>
      <c r="JYW25" s="287"/>
      <c r="JYX25" s="287"/>
      <c r="JYY25" s="287"/>
      <c r="JYZ25" s="287"/>
      <c r="JZA25" s="287"/>
      <c r="JZB25" s="287"/>
      <c r="JZC25" s="287"/>
      <c r="JZD25" s="287"/>
      <c r="JZE25" s="632"/>
      <c r="JZF25" s="287"/>
      <c r="JZG25" s="633"/>
      <c r="JZH25" s="287"/>
      <c r="JZI25" s="287"/>
      <c r="JZJ25" s="287"/>
      <c r="JZK25" s="287"/>
      <c r="JZL25" s="287"/>
      <c r="JZM25" s="287"/>
      <c r="JZN25" s="287"/>
      <c r="JZO25" s="287"/>
      <c r="JZP25" s="287"/>
      <c r="JZQ25" s="287"/>
      <c r="JZR25" s="287"/>
      <c r="JZS25" s="287"/>
      <c r="JZT25" s="287"/>
      <c r="JZU25" s="632"/>
      <c r="JZV25" s="287"/>
      <c r="JZW25" s="633"/>
      <c r="JZX25" s="287"/>
      <c r="JZY25" s="287"/>
      <c r="JZZ25" s="287"/>
      <c r="KAA25" s="287"/>
      <c r="KAB25" s="287"/>
      <c r="KAC25" s="287"/>
      <c r="KAD25" s="287"/>
      <c r="KAE25" s="287"/>
      <c r="KAF25" s="287"/>
      <c r="KAG25" s="287"/>
      <c r="KAH25" s="287"/>
      <c r="KAI25" s="287"/>
      <c r="KAJ25" s="287"/>
      <c r="KAK25" s="632"/>
      <c r="KAL25" s="287"/>
      <c r="KAM25" s="633"/>
      <c r="KAN25" s="287"/>
      <c r="KAO25" s="287"/>
      <c r="KAP25" s="287"/>
      <c r="KAQ25" s="287"/>
      <c r="KAR25" s="287"/>
      <c r="KAS25" s="287"/>
      <c r="KAT25" s="287"/>
      <c r="KAU25" s="287"/>
      <c r="KAV25" s="287"/>
      <c r="KAW25" s="287"/>
      <c r="KAX25" s="287"/>
      <c r="KAY25" s="287"/>
      <c r="KAZ25" s="287"/>
      <c r="KBA25" s="632"/>
      <c r="KBB25" s="287"/>
      <c r="KBC25" s="633"/>
      <c r="KBD25" s="287"/>
      <c r="KBE25" s="287"/>
      <c r="KBF25" s="287"/>
      <c r="KBG25" s="287"/>
      <c r="KBH25" s="287"/>
      <c r="KBI25" s="287"/>
      <c r="KBJ25" s="287"/>
      <c r="KBK25" s="287"/>
      <c r="KBL25" s="287"/>
      <c r="KBM25" s="287"/>
      <c r="KBN25" s="287"/>
      <c r="KBO25" s="287"/>
      <c r="KBP25" s="287"/>
      <c r="KBQ25" s="632"/>
      <c r="KBR25" s="287"/>
      <c r="KBS25" s="633"/>
      <c r="KBT25" s="287"/>
      <c r="KBU25" s="287"/>
      <c r="KBV25" s="287"/>
      <c r="KBW25" s="287"/>
      <c r="KBX25" s="287"/>
      <c r="KBY25" s="287"/>
      <c r="KBZ25" s="287"/>
      <c r="KCA25" s="287"/>
      <c r="KCB25" s="287"/>
      <c r="KCC25" s="287"/>
      <c r="KCD25" s="287"/>
      <c r="KCE25" s="287"/>
      <c r="KCF25" s="287"/>
      <c r="KCG25" s="632"/>
      <c r="KCH25" s="287"/>
      <c r="KCI25" s="633"/>
      <c r="KCJ25" s="287"/>
      <c r="KCK25" s="287"/>
      <c r="KCL25" s="287"/>
      <c r="KCM25" s="287"/>
      <c r="KCN25" s="287"/>
      <c r="KCO25" s="287"/>
      <c r="KCP25" s="287"/>
      <c r="KCQ25" s="287"/>
      <c r="KCR25" s="287"/>
      <c r="KCS25" s="287"/>
      <c r="KCT25" s="287"/>
      <c r="KCU25" s="287"/>
      <c r="KCV25" s="287"/>
      <c r="KCW25" s="632"/>
      <c r="KCX25" s="287"/>
      <c r="KCY25" s="633"/>
      <c r="KCZ25" s="287"/>
      <c r="KDA25" s="287"/>
      <c r="KDB25" s="287"/>
      <c r="KDC25" s="287"/>
      <c r="KDD25" s="287"/>
      <c r="KDE25" s="287"/>
      <c r="KDF25" s="287"/>
      <c r="KDG25" s="287"/>
      <c r="KDH25" s="287"/>
      <c r="KDI25" s="287"/>
      <c r="KDJ25" s="287"/>
      <c r="KDK25" s="287"/>
      <c r="KDL25" s="287"/>
      <c r="KDM25" s="632"/>
      <c r="KDN25" s="287"/>
      <c r="KDO25" s="633"/>
      <c r="KDP25" s="287"/>
      <c r="KDQ25" s="287"/>
      <c r="KDR25" s="287"/>
      <c r="KDS25" s="287"/>
      <c r="KDT25" s="287"/>
      <c r="KDU25" s="287"/>
      <c r="KDV25" s="287"/>
      <c r="KDW25" s="287"/>
      <c r="KDX25" s="287"/>
      <c r="KDY25" s="287"/>
      <c r="KDZ25" s="287"/>
      <c r="KEA25" s="287"/>
      <c r="KEB25" s="287"/>
      <c r="KEC25" s="632"/>
      <c r="KED25" s="287"/>
      <c r="KEE25" s="633"/>
      <c r="KEF25" s="287"/>
      <c r="KEG25" s="287"/>
      <c r="KEH25" s="287"/>
      <c r="KEI25" s="287"/>
      <c r="KEJ25" s="287"/>
      <c r="KEK25" s="287"/>
      <c r="KEL25" s="287"/>
      <c r="KEM25" s="287"/>
      <c r="KEN25" s="287"/>
      <c r="KEO25" s="287"/>
      <c r="KEP25" s="287"/>
      <c r="KEQ25" s="287"/>
      <c r="KER25" s="287"/>
      <c r="KES25" s="632"/>
      <c r="KET25" s="287"/>
      <c r="KEU25" s="633"/>
      <c r="KEV25" s="287"/>
      <c r="KEW25" s="287"/>
      <c r="KEX25" s="287"/>
      <c r="KEY25" s="287"/>
      <c r="KEZ25" s="287"/>
      <c r="KFA25" s="287"/>
      <c r="KFB25" s="287"/>
      <c r="KFC25" s="287"/>
      <c r="KFD25" s="287"/>
      <c r="KFE25" s="287"/>
      <c r="KFF25" s="287"/>
      <c r="KFG25" s="287"/>
      <c r="KFH25" s="287"/>
      <c r="KFI25" s="632"/>
      <c r="KFJ25" s="287"/>
      <c r="KFK25" s="633"/>
      <c r="KFL25" s="287"/>
      <c r="KFM25" s="287"/>
      <c r="KFN25" s="287"/>
      <c r="KFO25" s="287"/>
      <c r="KFP25" s="287"/>
      <c r="KFQ25" s="287"/>
      <c r="KFR25" s="287"/>
      <c r="KFS25" s="287"/>
      <c r="KFT25" s="287"/>
      <c r="KFU25" s="287"/>
      <c r="KFV25" s="287"/>
      <c r="KFW25" s="287"/>
      <c r="KFX25" s="287"/>
      <c r="KFY25" s="632"/>
      <c r="KFZ25" s="287"/>
      <c r="KGA25" s="633"/>
      <c r="KGB25" s="287"/>
      <c r="KGC25" s="287"/>
      <c r="KGD25" s="287"/>
      <c r="KGE25" s="287"/>
      <c r="KGF25" s="287"/>
      <c r="KGG25" s="287"/>
      <c r="KGH25" s="287"/>
      <c r="KGI25" s="287"/>
      <c r="KGJ25" s="287"/>
      <c r="KGK25" s="287"/>
      <c r="KGL25" s="287"/>
      <c r="KGM25" s="287"/>
      <c r="KGN25" s="287"/>
      <c r="KGO25" s="632"/>
      <c r="KGP25" s="287"/>
      <c r="KGQ25" s="633"/>
      <c r="KGR25" s="287"/>
      <c r="KGS25" s="287"/>
      <c r="KGT25" s="287"/>
      <c r="KGU25" s="287"/>
      <c r="KGV25" s="287"/>
      <c r="KGW25" s="287"/>
      <c r="KGX25" s="287"/>
      <c r="KGY25" s="287"/>
      <c r="KGZ25" s="287"/>
      <c r="KHA25" s="287"/>
      <c r="KHB25" s="287"/>
      <c r="KHC25" s="287"/>
      <c r="KHD25" s="287"/>
      <c r="KHE25" s="632"/>
      <c r="KHF25" s="287"/>
      <c r="KHG25" s="633"/>
      <c r="KHH25" s="287"/>
      <c r="KHI25" s="287"/>
      <c r="KHJ25" s="287"/>
      <c r="KHK25" s="287"/>
      <c r="KHL25" s="287"/>
      <c r="KHM25" s="287"/>
      <c r="KHN25" s="287"/>
      <c r="KHO25" s="287"/>
      <c r="KHP25" s="287"/>
      <c r="KHQ25" s="287"/>
      <c r="KHR25" s="287"/>
      <c r="KHS25" s="287"/>
      <c r="KHT25" s="287"/>
      <c r="KHU25" s="632"/>
      <c r="KHV25" s="287"/>
      <c r="KHW25" s="633"/>
      <c r="KHX25" s="287"/>
      <c r="KHY25" s="287"/>
      <c r="KHZ25" s="287"/>
      <c r="KIA25" s="287"/>
      <c r="KIB25" s="287"/>
      <c r="KIC25" s="287"/>
      <c r="KID25" s="287"/>
      <c r="KIE25" s="287"/>
      <c r="KIF25" s="287"/>
      <c r="KIG25" s="287"/>
      <c r="KIH25" s="287"/>
      <c r="KII25" s="287"/>
      <c r="KIJ25" s="287"/>
      <c r="KIK25" s="632"/>
      <c r="KIL25" s="287"/>
      <c r="KIM25" s="633"/>
      <c r="KIN25" s="287"/>
      <c r="KIO25" s="287"/>
      <c r="KIP25" s="287"/>
      <c r="KIQ25" s="287"/>
      <c r="KIR25" s="287"/>
      <c r="KIS25" s="287"/>
      <c r="KIT25" s="287"/>
      <c r="KIU25" s="287"/>
      <c r="KIV25" s="287"/>
      <c r="KIW25" s="287"/>
      <c r="KIX25" s="287"/>
      <c r="KIY25" s="287"/>
      <c r="KIZ25" s="287"/>
      <c r="KJA25" s="632"/>
      <c r="KJB25" s="287"/>
      <c r="KJC25" s="633"/>
      <c r="KJD25" s="287"/>
      <c r="KJE25" s="287"/>
      <c r="KJF25" s="287"/>
      <c r="KJG25" s="287"/>
      <c r="KJH25" s="287"/>
      <c r="KJI25" s="287"/>
      <c r="KJJ25" s="287"/>
      <c r="KJK25" s="287"/>
      <c r="KJL25" s="287"/>
      <c r="KJM25" s="287"/>
      <c r="KJN25" s="287"/>
      <c r="KJO25" s="287"/>
      <c r="KJP25" s="287"/>
      <c r="KJQ25" s="632"/>
      <c r="KJR25" s="287"/>
      <c r="KJS25" s="633"/>
      <c r="KJT25" s="287"/>
      <c r="KJU25" s="287"/>
      <c r="KJV25" s="287"/>
      <c r="KJW25" s="287"/>
      <c r="KJX25" s="287"/>
      <c r="KJY25" s="287"/>
      <c r="KJZ25" s="287"/>
      <c r="KKA25" s="287"/>
      <c r="KKB25" s="287"/>
      <c r="KKC25" s="287"/>
      <c r="KKD25" s="287"/>
      <c r="KKE25" s="287"/>
      <c r="KKF25" s="287"/>
      <c r="KKG25" s="632"/>
      <c r="KKH25" s="287"/>
      <c r="KKI25" s="633"/>
      <c r="KKJ25" s="287"/>
      <c r="KKK25" s="287"/>
      <c r="KKL25" s="287"/>
      <c r="KKM25" s="287"/>
      <c r="KKN25" s="287"/>
      <c r="KKO25" s="287"/>
      <c r="KKP25" s="287"/>
      <c r="KKQ25" s="287"/>
      <c r="KKR25" s="287"/>
      <c r="KKS25" s="287"/>
      <c r="KKT25" s="287"/>
      <c r="KKU25" s="287"/>
      <c r="KKV25" s="287"/>
      <c r="KKW25" s="632"/>
      <c r="KKX25" s="287"/>
      <c r="KKY25" s="633"/>
      <c r="KKZ25" s="287"/>
      <c r="KLA25" s="287"/>
      <c r="KLB25" s="287"/>
      <c r="KLC25" s="287"/>
      <c r="KLD25" s="287"/>
      <c r="KLE25" s="287"/>
      <c r="KLF25" s="287"/>
      <c r="KLG25" s="287"/>
      <c r="KLH25" s="287"/>
      <c r="KLI25" s="287"/>
      <c r="KLJ25" s="287"/>
      <c r="KLK25" s="287"/>
      <c r="KLL25" s="287"/>
      <c r="KLM25" s="632"/>
      <c r="KLN25" s="287"/>
      <c r="KLO25" s="633"/>
      <c r="KLP25" s="287"/>
      <c r="KLQ25" s="287"/>
      <c r="KLR25" s="287"/>
      <c r="KLS25" s="287"/>
      <c r="KLT25" s="287"/>
      <c r="KLU25" s="287"/>
      <c r="KLV25" s="287"/>
      <c r="KLW25" s="287"/>
      <c r="KLX25" s="287"/>
      <c r="KLY25" s="287"/>
      <c r="KLZ25" s="287"/>
      <c r="KMA25" s="287"/>
      <c r="KMB25" s="287"/>
      <c r="KMC25" s="632"/>
      <c r="KMD25" s="287"/>
      <c r="KME25" s="633"/>
      <c r="KMF25" s="287"/>
      <c r="KMG25" s="287"/>
      <c r="KMH25" s="287"/>
      <c r="KMI25" s="287"/>
      <c r="KMJ25" s="287"/>
      <c r="KMK25" s="287"/>
      <c r="KML25" s="287"/>
      <c r="KMM25" s="287"/>
      <c r="KMN25" s="287"/>
      <c r="KMO25" s="287"/>
      <c r="KMP25" s="287"/>
      <c r="KMQ25" s="287"/>
      <c r="KMR25" s="287"/>
      <c r="KMS25" s="632"/>
      <c r="KMT25" s="287"/>
      <c r="KMU25" s="633"/>
      <c r="KMV25" s="287"/>
      <c r="KMW25" s="287"/>
      <c r="KMX25" s="287"/>
      <c r="KMY25" s="287"/>
      <c r="KMZ25" s="287"/>
      <c r="KNA25" s="287"/>
      <c r="KNB25" s="287"/>
      <c r="KNC25" s="287"/>
      <c r="KND25" s="287"/>
      <c r="KNE25" s="287"/>
      <c r="KNF25" s="287"/>
      <c r="KNG25" s="287"/>
      <c r="KNH25" s="287"/>
      <c r="KNI25" s="632"/>
      <c r="KNJ25" s="287"/>
      <c r="KNK25" s="633"/>
      <c r="KNL25" s="287"/>
      <c r="KNM25" s="287"/>
      <c r="KNN25" s="287"/>
      <c r="KNO25" s="287"/>
      <c r="KNP25" s="287"/>
      <c r="KNQ25" s="287"/>
      <c r="KNR25" s="287"/>
      <c r="KNS25" s="287"/>
      <c r="KNT25" s="287"/>
      <c r="KNU25" s="287"/>
      <c r="KNV25" s="287"/>
      <c r="KNW25" s="287"/>
      <c r="KNX25" s="287"/>
      <c r="KNY25" s="632"/>
      <c r="KNZ25" s="287"/>
      <c r="KOA25" s="633"/>
      <c r="KOB25" s="287"/>
      <c r="KOC25" s="287"/>
      <c r="KOD25" s="287"/>
      <c r="KOE25" s="287"/>
      <c r="KOF25" s="287"/>
      <c r="KOG25" s="287"/>
      <c r="KOH25" s="287"/>
      <c r="KOI25" s="287"/>
      <c r="KOJ25" s="287"/>
      <c r="KOK25" s="287"/>
      <c r="KOL25" s="287"/>
      <c r="KOM25" s="287"/>
      <c r="KON25" s="287"/>
      <c r="KOO25" s="632"/>
      <c r="KOP25" s="287"/>
      <c r="KOQ25" s="633"/>
      <c r="KOR25" s="287"/>
      <c r="KOS25" s="287"/>
      <c r="KOT25" s="287"/>
      <c r="KOU25" s="287"/>
      <c r="KOV25" s="287"/>
      <c r="KOW25" s="287"/>
      <c r="KOX25" s="287"/>
      <c r="KOY25" s="287"/>
      <c r="KOZ25" s="287"/>
      <c r="KPA25" s="287"/>
      <c r="KPB25" s="287"/>
      <c r="KPC25" s="287"/>
      <c r="KPD25" s="287"/>
      <c r="KPE25" s="632"/>
      <c r="KPF25" s="287"/>
      <c r="KPG25" s="633"/>
      <c r="KPH25" s="287"/>
      <c r="KPI25" s="287"/>
      <c r="KPJ25" s="287"/>
      <c r="KPK25" s="287"/>
      <c r="KPL25" s="287"/>
      <c r="KPM25" s="287"/>
      <c r="KPN25" s="287"/>
      <c r="KPO25" s="287"/>
      <c r="KPP25" s="287"/>
      <c r="KPQ25" s="287"/>
      <c r="KPR25" s="287"/>
      <c r="KPS25" s="287"/>
      <c r="KPT25" s="287"/>
      <c r="KPU25" s="632"/>
      <c r="KPV25" s="287"/>
      <c r="KPW25" s="633"/>
      <c r="KPX25" s="287"/>
      <c r="KPY25" s="287"/>
      <c r="KPZ25" s="287"/>
      <c r="KQA25" s="287"/>
      <c r="KQB25" s="287"/>
      <c r="KQC25" s="287"/>
      <c r="KQD25" s="287"/>
      <c r="KQE25" s="287"/>
      <c r="KQF25" s="287"/>
      <c r="KQG25" s="287"/>
      <c r="KQH25" s="287"/>
      <c r="KQI25" s="287"/>
      <c r="KQJ25" s="287"/>
      <c r="KQK25" s="632"/>
      <c r="KQL25" s="287"/>
      <c r="KQM25" s="633"/>
      <c r="KQN25" s="287"/>
      <c r="KQO25" s="287"/>
      <c r="KQP25" s="287"/>
      <c r="KQQ25" s="287"/>
      <c r="KQR25" s="287"/>
      <c r="KQS25" s="287"/>
      <c r="KQT25" s="287"/>
      <c r="KQU25" s="287"/>
      <c r="KQV25" s="287"/>
      <c r="KQW25" s="287"/>
      <c r="KQX25" s="287"/>
      <c r="KQY25" s="287"/>
      <c r="KQZ25" s="287"/>
      <c r="KRA25" s="632"/>
      <c r="KRB25" s="287"/>
      <c r="KRC25" s="633"/>
      <c r="KRD25" s="287"/>
      <c r="KRE25" s="287"/>
      <c r="KRF25" s="287"/>
      <c r="KRG25" s="287"/>
      <c r="KRH25" s="287"/>
      <c r="KRI25" s="287"/>
      <c r="KRJ25" s="287"/>
      <c r="KRK25" s="287"/>
      <c r="KRL25" s="287"/>
      <c r="KRM25" s="287"/>
      <c r="KRN25" s="287"/>
      <c r="KRO25" s="287"/>
      <c r="KRP25" s="287"/>
      <c r="KRQ25" s="632"/>
      <c r="KRR25" s="287"/>
      <c r="KRS25" s="633"/>
      <c r="KRT25" s="287"/>
      <c r="KRU25" s="287"/>
      <c r="KRV25" s="287"/>
      <c r="KRW25" s="287"/>
      <c r="KRX25" s="287"/>
      <c r="KRY25" s="287"/>
      <c r="KRZ25" s="287"/>
      <c r="KSA25" s="287"/>
      <c r="KSB25" s="287"/>
      <c r="KSC25" s="287"/>
      <c r="KSD25" s="287"/>
      <c r="KSE25" s="287"/>
      <c r="KSF25" s="287"/>
      <c r="KSG25" s="632"/>
      <c r="KSH25" s="287"/>
      <c r="KSI25" s="633"/>
      <c r="KSJ25" s="287"/>
      <c r="KSK25" s="287"/>
      <c r="KSL25" s="287"/>
      <c r="KSM25" s="287"/>
      <c r="KSN25" s="287"/>
      <c r="KSO25" s="287"/>
      <c r="KSP25" s="287"/>
      <c r="KSQ25" s="287"/>
      <c r="KSR25" s="287"/>
      <c r="KSS25" s="287"/>
      <c r="KST25" s="287"/>
      <c r="KSU25" s="287"/>
      <c r="KSV25" s="287"/>
      <c r="KSW25" s="632"/>
      <c r="KSX25" s="287"/>
      <c r="KSY25" s="633"/>
      <c r="KSZ25" s="287"/>
      <c r="KTA25" s="287"/>
      <c r="KTB25" s="287"/>
      <c r="KTC25" s="287"/>
      <c r="KTD25" s="287"/>
      <c r="KTE25" s="287"/>
      <c r="KTF25" s="287"/>
      <c r="KTG25" s="287"/>
      <c r="KTH25" s="287"/>
      <c r="KTI25" s="287"/>
      <c r="KTJ25" s="287"/>
      <c r="KTK25" s="287"/>
      <c r="KTL25" s="287"/>
      <c r="KTM25" s="632"/>
      <c r="KTN25" s="287"/>
      <c r="KTO25" s="633"/>
      <c r="KTP25" s="287"/>
      <c r="KTQ25" s="287"/>
      <c r="KTR25" s="287"/>
      <c r="KTS25" s="287"/>
      <c r="KTT25" s="287"/>
      <c r="KTU25" s="287"/>
      <c r="KTV25" s="287"/>
      <c r="KTW25" s="287"/>
      <c r="KTX25" s="287"/>
      <c r="KTY25" s="287"/>
      <c r="KTZ25" s="287"/>
      <c r="KUA25" s="287"/>
      <c r="KUB25" s="287"/>
      <c r="KUC25" s="632"/>
      <c r="KUD25" s="287"/>
      <c r="KUE25" s="633"/>
      <c r="KUF25" s="287"/>
      <c r="KUG25" s="287"/>
      <c r="KUH25" s="287"/>
      <c r="KUI25" s="287"/>
      <c r="KUJ25" s="287"/>
      <c r="KUK25" s="287"/>
      <c r="KUL25" s="287"/>
      <c r="KUM25" s="287"/>
      <c r="KUN25" s="287"/>
      <c r="KUO25" s="287"/>
      <c r="KUP25" s="287"/>
      <c r="KUQ25" s="287"/>
      <c r="KUR25" s="287"/>
      <c r="KUS25" s="632"/>
      <c r="KUT25" s="287"/>
      <c r="KUU25" s="633"/>
      <c r="KUV25" s="287"/>
      <c r="KUW25" s="287"/>
      <c r="KUX25" s="287"/>
      <c r="KUY25" s="287"/>
      <c r="KUZ25" s="287"/>
      <c r="KVA25" s="287"/>
      <c r="KVB25" s="287"/>
      <c r="KVC25" s="287"/>
      <c r="KVD25" s="287"/>
      <c r="KVE25" s="287"/>
      <c r="KVF25" s="287"/>
      <c r="KVG25" s="287"/>
      <c r="KVH25" s="287"/>
      <c r="KVI25" s="632"/>
      <c r="KVJ25" s="287"/>
      <c r="KVK25" s="633"/>
      <c r="KVL25" s="287"/>
      <c r="KVM25" s="287"/>
      <c r="KVN25" s="287"/>
      <c r="KVO25" s="287"/>
      <c r="KVP25" s="287"/>
      <c r="KVQ25" s="287"/>
      <c r="KVR25" s="287"/>
      <c r="KVS25" s="287"/>
      <c r="KVT25" s="287"/>
      <c r="KVU25" s="287"/>
      <c r="KVV25" s="287"/>
      <c r="KVW25" s="287"/>
      <c r="KVX25" s="287"/>
      <c r="KVY25" s="632"/>
      <c r="KVZ25" s="287"/>
      <c r="KWA25" s="633"/>
      <c r="KWB25" s="287"/>
      <c r="KWC25" s="287"/>
      <c r="KWD25" s="287"/>
      <c r="KWE25" s="287"/>
      <c r="KWF25" s="287"/>
      <c r="KWG25" s="287"/>
      <c r="KWH25" s="287"/>
      <c r="KWI25" s="287"/>
      <c r="KWJ25" s="287"/>
      <c r="KWK25" s="287"/>
      <c r="KWL25" s="287"/>
      <c r="KWM25" s="287"/>
      <c r="KWN25" s="287"/>
      <c r="KWO25" s="632"/>
      <c r="KWP25" s="287"/>
      <c r="KWQ25" s="633"/>
      <c r="KWR25" s="287"/>
      <c r="KWS25" s="287"/>
      <c r="KWT25" s="287"/>
      <c r="KWU25" s="287"/>
      <c r="KWV25" s="287"/>
      <c r="KWW25" s="287"/>
      <c r="KWX25" s="287"/>
      <c r="KWY25" s="287"/>
      <c r="KWZ25" s="287"/>
      <c r="KXA25" s="287"/>
      <c r="KXB25" s="287"/>
      <c r="KXC25" s="287"/>
      <c r="KXD25" s="287"/>
      <c r="KXE25" s="632"/>
      <c r="KXF25" s="287"/>
      <c r="KXG25" s="633"/>
      <c r="KXH25" s="287"/>
      <c r="KXI25" s="287"/>
      <c r="KXJ25" s="287"/>
      <c r="KXK25" s="287"/>
      <c r="KXL25" s="287"/>
      <c r="KXM25" s="287"/>
      <c r="KXN25" s="287"/>
      <c r="KXO25" s="287"/>
      <c r="KXP25" s="287"/>
      <c r="KXQ25" s="287"/>
      <c r="KXR25" s="287"/>
      <c r="KXS25" s="287"/>
      <c r="KXT25" s="287"/>
      <c r="KXU25" s="632"/>
      <c r="KXV25" s="287"/>
      <c r="KXW25" s="633"/>
      <c r="KXX25" s="287"/>
      <c r="KXY25" s="287"/>
      <c r="KXZ25" s="287"/>
      <c r="KYA25" s="287"/>
      <c r="KYB25" s="287"/>
      <c r="KYC25" s="287"/>
      <c r="KYD25" s="287"/>
      <c r="KYE25" s="287"/>
      <c r="KYF25" s="287"/>
      <c r="KYG25" s="287"/>
      <c r="KYH25" s="287"/>
      <c r="KYI25" s="287"/>
      <c r="KYJ25" s="287"/>
      <c r="KYK25" s="632"/>
      <c r="KYL25" s="287"/>
      <c r="KYM25" s="633"/>
      <c r="KYN25" s="287"/>
      <c r="KYO25" s="287"/>
      <c r="KYP25" s="287"/>
      <c r="KYQ25" s="287"/>
      <c r="KYR25" s="287"/>
      <c r="KYS25" s="287"/>
      <c r="KYT25" s="287"/>
      <c r="KYU25" s="287"/>
      <c r="KYV25" s="287"/>
      <c r="KYW25" s="287"/>
      <c r="KYX25" s="287"/>
      <c r="KYY25" s="287"/>
      <c r="KYZ25" s="287"/>
      <c r="KZA25" s="632"/>
      <c r="KZB25" s="287"/>
      <c r="KZC25" s="633"/>
      <c r="KZD25" s="287"/>
      <c r="KZE25" s="287"/>
      <c r="KZF25" s="287"/>
      <c r="KZG25" s="287"/>
      <c r="KZH25" s="287"/>
      <c r="KZI25" s="287"/>
      <c r="KZJ25" s="287"/>
      <c r="KZK25" s="287"/>
      <c r="KZL25" s="287"/>
      <c r="KZM25" s="287"/>
      <c r="KZN25" s="287"/>
      <c r="KZO25" s="287"/>
      <c r="KZP25" s="287"/>
      <c r="KZQ25" s="632"/>
      <c r="KZR25" s="287"/>
      <c r="KZS25" s="633"/>
      <c r="KZT25" s="287"/>
      <c r="KZU25" s="287"/>
      <c r="KZV25" s="287"/>
      <c r="KZW25" s="287"/>
      <c r="KZX25" s="287"/>
      <c r="KZY25" s="287"/>
      <c r="KZZ25" s="287"/>
      <c r="LAA25" s="287"/>
      <c r="LAB25" s="287"/>
      <c r="LAC25" s="287"/>
      <c r="LAD25" s="287"/>
      <c r="LAE25" s="287"/>
      <c r="LAF25" s="287"/>
      <c r="LAG25" s="632"/>
      <c r="LAH25" s="287"/>
      <c r="LAI25" s="633"/>
      <c r="LAJ25" s="287"/>
      <c r="LAK25" s="287"/>
      <c r="LAL25" s="287"/>
      <c r="LAM25" s="287"/>
      <c r="LAN25" s="287"/>
      <c r="LAO25" s="287"/>
      <c r="LAP25" s="287"/>
      <c r="LAQ25" s="287"/>
      <c r="LAR25" s="287"/>
      <c r="LAS25" s="287"/>
      <c r="LAT25" s="287"/>
      <c r="LAU25" s="287"/>
      <c r="LAV25" s="287"/>
      <c r="LAW25" s="632"/>
      <c r="LAX25" s="287"/>
      <c r="LAY25" s="633"/>
      <c r="LAZ25" s="287"/>
      <c r="LBA25" s="287"/>
      <c r="LBB25" s="287"/>
      <c r="LBC25" s="287"/>
      <c r="LBD25" s="287"/>
      <c r="LBE25" s="287"/>
      <c r="LBF25" s="287"/>
      <c r="LBG25" s="287"/>
      <c r="LBH25" s="287"/>
      <c r="LBI25" s="287"/>
      <c r="LBJ25" s="287"/>
      <c r="LBK25" s="287"/>
      <c r="LBL25" s="287"/>
      <c r="LBM25" s="632"/>
      <c r="LBN25" s="287"/>
      <c r="LBO25" s="633"/>
      <c r="LBP25" s="287"/>
      <c r="LBQ25" s="287"/>
      <c r="LBR25" s="287"/>
      <c r="LBS25" s="287"/>
      <c r="LBT25" s="287"/>
      <c r="LBU25" s="287"/>
      <c r="LBV25" s="287"/>
      <c r="LBW25" s="287"/>
      <c r="LBX25" s="287"/>
      <c r="LBY25" s="287"/>
      <c r="LBZ25" s="287"/>
      <c r="LCA25" s="287"/>
      <c r="LCB25" s="287"/>
      <c r="LCC25" s="632"/>
      <c r="LCD25" s="287"/>
      <c r="LCE25" s="633"/>
      <c r="LCF25" s="287"/>
      <c r="LCG25" s="287"/>
      <c r="LCH25" s="287"/>
      <c r="LCI25" s="287"/>
      <c r="LCJ25" s="287"/>
      <c r="LCK25" s="287"/>
      <c r="LCL25" s="287"/>
      <c r="LCM25" s="287"/>
      <c r="LCN25" s="287"/>
      <c r="LCO25" s="287"/>
      <c r="LCP25" s="287"/>
      <c r="LCQ25" s="287"/>
      <c r="LCR25" s="287"/>
      <c r="LCS25" s="632"/>
      <c r="LCT25" s="287"/>
      <c r="LCU25" s="633"/>
      <c r="LCV25" s="287"/>
      <c r="LCW25" s="287"/>
      <c r="LCX25" s="287"/>
      <c r="LCY25" s="287"/>
      <c r="LCZ25" s="287"/>
      <c r="LDA25" s="287"/>
      <c r="LDB25" s="287"/>
      <c r="LDC25" s="287"/>
      <c r="LDD25" s="287"/>
      <c r="LDE25" s="287"/>
      <c r="LDF25" s="287"/>
      <c r="LDG25" s="287"/>
      <c r="LDH25" s="287"/>
      <c r="LDI25" s="632"/>
      <c r="LDJ25" s="287"/>
      <c r="LDK25" s="633"/>
      <c r="LDL25" s="287"/>
      <c r="LDM25" s="287"/>
      <c r="LDN25" s="287"/>
      <c r="LDO25" s="287"/>
      <c r="LDP25" s="287"/>
      <c r="LDQ25" s="287"/>
      <c r="LDR25" s="287"/>
      <c r="LDS25" s="287"/>
      <c r="LDT25" s="287"/>
      <c r="LDU25" s="287"/>
      <c r="LDV25" s="287"/>
      <c r="LDW25" s="287"/>
      <c r="LDX25" s="287"/>
      <c r="LDY25" s="632"/>
      <c r="LDZ25" s="287"/>
      <c r="LEA25" s="633"/>
      <c r="LEB25" s="287"/>
      <c r="LEC25" s="287"/>
      <c r="LED25" s="287"/>
      <c r="LEE25" s="287"/>
      <c r="LEF25" s="287"/>
      <c r="LEG25" s="287"/>
      <c r="LEH25" s="287"/>
      <c r="LEI25" s="287"/>
      <c r="LEJ25" s="287"/>
      <c r="LEK25" s="287"/>
      <c r="LEL25" s="287"/>
      <c r="LEM25" s="287"/>
      <c r="LEN25" s="287"/>
      <c r="LEO25" s="632"/>
      <c r="LEP25" s="287"/>
      <c r="LEQ25" s="633"/>
      <c r="LER25" s="287"/>
      <c r="LES25" s="287"/>
      <c r="LET25" s="287"/>
      <c r="LEU25" s="287"/>
      <c r="LEV25" s="287"/>
      <c r="LEW25" s="287"/>
      <c r="LEX25" s="287"/>
      <c r="LEY25" s="287"/>
      <c r="LEZ25" s="287"/>
      <c r="LFA25" s="287"/>
      <c r="LFB25" s="287"/>
      <c r="LFC25" s="287"/>
      <c r="LFD25" s="287"/>
      <c r="LFE25" s="632"/>
      <c r="LFF25" s="287"/>
      <c r="LFG25" s="633"/>
      <c r="LFH25" s="287"/>
      <c r="LFI25" s="287"/>
      <c r="LFJ25" s="287"/>
      <c r="LFK25" s="287"/>
      <c r="LFL25" s="287"/>
      <c r="LFM25" s="287"/>
      <c r="LFN25" s="287"/>
      <c r="LFO25" s="287"/>
      <c r="LFP25" s="287"/>
      <c r="LFQ25" s="287"/>
      <c r="LFR25" s="287"/>
      <c r="LFS25" s="287"/>
      <c r="LFT25" s="287"/>
      <c r="LFU25" s="632"/>
      <c r="LFV25" s="287"/>
      <c r="LFW25" s="633"/>
      <c r="LFX25" s="287"/>
      <c r="LFY25" s="287"/>
      <c r="LFZ25" s="287"/>
      <c r="LGA25" s="287"/>
      <c r="LGB25" s="287"/>
      <c r="LGC25" s="287"/>
      <c r="LGD25" s="287"/>
      <c r="LGE25" s="287"/>
      <c r="LGF25" s="287"/>
      <c r="LGG25" s="287"/>
      <c r="LGH25" s="287"/>
      <c r="LGI25" s="287"/>
      <c r="LGJ25" s="287"/>
      <c r="LGK25" s="632"/>
      <c r="LGL25" s="287"/>
      <c r="LGM25" s="633"/>
      <c r="LGN25" s="287"/>
      <c r="LGO25" s="287"/>
      <c r="LGP25" s="287"/>
      <c r="LGQ25" s="287"/>
      <c r="LGR25" s="287"/>
      <c r="LGS25" s="287"/>
      <c r="LGT25" s="287"/>
      <c r="LGU25" s="287"/>
      <c r="LGV25" s="287"/>
      <c r="LGW25" s="287"/>
      <c r="LGX25" s="287"/>
      <c r="LGY25" s="287"/>
      <c r="LGZ25" s="287"/>
      <c r="LHA25" s="632"/>
      <c r="LHB25" s="287"/>
      <c r="LHC25" s="633"/>
      <c r="LHD25" s="287"/>
      <c r="LHE25" s="287"/>
      <c r="LHF25" s="287"/>
      <c r="LHG25" s="287"/>
      <c r="LHH25" s="287"/>
      <c r="LHI25" s="287"/>
      <c r="LHJ25" s="287"/>
      <c r="LHK25" s="287"/>
      <c r="LHL25" s="287"/>
      <c r="LHM25" s="287"/>
      <c r="LHN25" s="287"/>
      <c r="LHO25" s="287"/>
      <c r="LHP25" s="287"/>
      <c r="LHQ25" s="632"/>
      <c r="LHR25" s="287"/>
      <c r="LHS25" s="633"/>
      <c r="LHT25" s="287"/>
      <c r="LHU25" s="287"/>
      <c r="LHV25" s="287"/>
      <c r="LHW25" s="287"/>
      <c r="LHX25" s="287"/>
      <c r="LHY25" s="287"/>
      <c r="LHZ25" s="287"/>
      <c r="LIA25" s="287"/>
      <c r="LIB25" s="287"/>
      <c r="LIC25" s="287"/>
      <c r="LID25" s="287"/>
      <c r="LIE25" s="287"/>
      <c r="LIF25" s="287"/>
      <c r="LIG25" s="632"/>
      <c r="LIH25" s="287"/>
      <c r="LII25" s="633"/>
      <c r="LIJ25" s="287"/>
      <c r="LIK25" s="287"/>
      <c r="LIL25" s="287"/>
      <c r="LIM25" s="287"/>
      <c r="LIN25" s="287"/>
      <c r="LIO25" s="287"/>
      <c r="LIP25" s="287"/>
      <c r="LIQ25" s="287"/>
      <c r="LIR25" s="287"/>
      <c r="LIS25" s="287"/>
      <c r="LIT25" s="287"/>
      <c r="LIU25" s="287"/>
      <c r="LIV25" s="287"/>
      <c r="LIW25" s="632"/>
      <c r="LIX25" s="287"/>
      <c r="LIY25" s="633"/>
      <c r="LIZ25" s="287"/>
      <c r="LJA25" s="287"/>
      <c r="LJB25" s="287"/>
      <c r="LJC25" s="287"/>
      <c r="LJD25" s="287"/>
      <c r="LJE25" s="287"/>
      <c r="LJF25" s="287"/>
      <c r="LJG25" s="287"/>
      <c r="LJH25" s="287"/>
      <c r="LJI25" s="287"/>
      <c r="LJJ25" s="287"/>
      <c r="LJK25" s="287"/>
      <c r="LJL25" s="287"/>
      <c r="LJM25" s="632"/>
      <c r="LJN25" s="287"/>
      <c r="LJO25" s="633"/>
      <c r="LJP25" s="287"/>
      <c r="LJQ25" s="287"/>
      <c r="LJR25" s="287"/>
      <c r="LJS25" s="287"/>
      <c r="LJT25" s="287"/>
      <c r="LJU25" s="287"/>
      <c r="LJV25" s="287"/>
      <c r="LJW25" s="287"/>
      <c r="LJX25" s="287"/>
      <c r="LJY25" s="287"/>
      <c r="LJZ25" s="287"/>
      <c r="LKA25" s="287"/>
      <c r="LKB25" s="287"/>
      <c r="LKC25" s="632"/>
      <c r="LKD25" s="287"/>
      <c r="LKE25" s="633"/>
      <c r="LKF25" s="287"/>
      <c r="LKG25" s="287"/>
      <c r="LKH25" s="287"/>
      <c r="LKI25" s="287"/>
      <c r="LKJ25" s="287"/>
      <c r="LKK25" s="287"/>
      <c r="LKL25" s="287"/>
      <c r="LKM25" s="287"/>
      <c r="LKN25" s="287"/>
      <c r="LKO25" s="287"/>
      <c r="LKP25" s="287"/>
      <c r="LKQ25" s="287"/>
      <c r="LKR25" s="287"/>
      <c r="LKS25" s="632"/>
      <c r="LKT25" s="287"/>
      <c r="LKU25" s="633"/>
      <c r="LKV25" s="287"/>
      <c r="LKW25" s="287"/>
      <c r="LKX25" s="287"/>
      <c r="LKY25" s="287"/>
      <c r="LKZ25" s="287"/>
      <c r="LLA25" s="287"/>
      <c r="LLB25" s="287"/>
      <c r="LLC25" s="287"/>
      <c r="LLD25" s="287"/>
      <c r="LLE25" s="287"/>
      <c r="LLF25" s="287"/>
      <c r="LLG25" s="287"/>
      <c r="LLH25" s="287"/>
      <c r="LLI25" s="632"/>
      <c r="LLJ25" s="287"/>
      <c r="LLK25" s="633"/>
      <c r="LLL25" s="287"/>
      <c r="LLM25" s="287"/>
      <c r="LLN25" s="287"/>
      <c r="LLO25" s="287"/>
      <c r="LLP25" s="287"/>
      <c r="LLQ25" s="287"/>
      <c r="LLR25" s="287"/>
      <c r="LLS25" s="287"/>
      <c r="LLT25" s="287"/>
      <c r="LLU25" s="287"/>
      <c r="LLV25" s="287"/>
      <c r="LLW25" s="287"/>
      <c r="LLX25" s="287"/>
      <c r="LLY25" s="632"/>
      <c r="LLZ25" s="287"/>
      <c r="LMA25" s="633"/>
      <c r="LMB25" s="287"/>
      <c r="LMC25" s="287"/>
      <c r="LMD25" s="287"/>
      <c r="LME25" s="287"/>
      <c r="LMF25" s="287"/>
      <c r="LMG25" s="287"/>
      <c r="LMH25" s="287"/>
      <c r="LMI25" s="287"/>
      <c r="LMJ25" s="287"/>
      <c r="LMK25" s="287"/>
      <c r="LML25" s="287"/>
      <c r="LMM25" s="287"/>
      <c r="LMN25" s="287"/>
      <c r="LMO25" s="632"/>
      <c r="LMP25" s="287"/>
      <c r="LMQ25" s="633"/>
      <c r="LMR25" s="287"/>
      <c r="LMS25" s="287"/>
      <c r="LMT25" s="287"/>
      <c r="LMU25" s="287"/>
      <c r="LMV25" s="287"/>
      <c r="LMW25" s="287"/>
      <c r="LMX25" s="287"/>
      <c r="LMY25" s="287"/>
      <c r="LMZ25" s="287"/>
      <c r="LNA25" s="287"/>
      <c r="LNB25" s="287"/>
      <c r="LNC25" s="287"/>
      <c r="LND25" s="287"/>
      <c r="LNE25" s="632"/>
      <c r="LNF25" s="287"/>
      <c r="LNG25" s="633"/>
      <c r="LNH25" s="287"/>
      <c r="LNI25" s="287"/>
      <c r="LNJ25" s="287"/>
      <c r="LNK25" s="287"/>
      <c r="LNL25" s="287"/>
      <c r="LNM25" s="287"/>
      <c r="LNN25" s="287"/>
      <c r="LNO25" s="287"/>
      <c r="LNP25" s="287"/>
      <c r="LNQ25" s="287"/>
      <c r="LNR25" s="287"/>
      <c r="LNS25" s="287"/>
      <c r="LNT25" s="287"/>
      <c r="LNU25" s="632"/>
      <c r="LNV25" s="287"/>
      <c r="LNW25" s="633"/>
      <c r="LNX25" s="287"/>
      <c r="LNY25" s="287"/>
      <c r="LNZ25" s="287"/>
      <c r="LOA25" s="287"/>
      <c r="LOB25" s="287"/>
      <c r="LOC25" s="287"/>
      <c r="LOD25" s="287"/>
      <c r="LOE25" s="287"/>
      <c r="LOF25" s="287"/>
      <c r="LOG25" s="287"/>
      <c r="LOH25" s="287"/>
      <c r="LOI25" s="287"/>
      <c r="LOJ25" s="287"/>
      <c r="LOK25" s="632"/>
      <c r="LOL25" s="287"/>
      <c r="LOM25" s="633"/>
      <c r="LON25" s="287"/>
      <c r="LOO25" s="287"/>
      <c r="LOP25" s="287"/>
      <c r="LOQ25" s="287"/>
      <c r="LOR25" s="287"/>
      <c r="LOS25" s="287"/>
      <c r="LOT25" s="287"/>
      <c r="LOU25" s="287"/>
      <c r="LOV25" s="287"/>
      <c r="LOW25" s="287"/>
      <c r="LOX25" s="287"/>
      <c r="LOY25" s="287"/>
      <c r="LOZ25" s="287"/>
      <c r="LPA25" s="632"/>
      <c r="LPB25" s="287"/>
      <c r="LPC25" s="633"/>
      <c r="LPD25" s="287"/>
      <c r="LPE25" s="287"/>
      <c r="LPF25" s="287"/>
      <c r="LPG25" s="287"/>
      <c r="LPH25" s="287"/>
      <c r="LPI25" s="287"/>
      <c r="LPJ25" s="287"/>
      <c r="LPK25" s="287"/>
      <c r="LPL25" s="287"/>
      <c r="LPM25" s="287"/>
      <c r="LPN25" s="287"/>
      <c r="LPO25" s="287"/>
      <c r="LPP25" s="287"/>
      <c r="LPQ25" s="632"/>
      <c r="LPR25" s="287"/>
      <c r="LPS25" s="633"/>
      <c r="LPT25" s="287"/>
      <c r="LPU25" s="287"/>
      <c r="LPV25" s="287"/>
      <c r="LPW25" s="287"/>
      <c r="LPX25" s="287"/>
      <c r="LPY25" s="287"/>
      <c r="LPZ25" s="287"/>
      <c r="LQA25" s="287"/>
      <c r="LQB25" s="287"/>
      <c r="LQC25" s="287"/>
      <c r="LQD25" s="287"/>
      <c r="LQE25" s="287"/>
      <c r="LQF25" s="287"/>
      <c r="LQG25" s="632"/>
      <c r="LQH25" s="287"/>
      <c r="LQI25" s="633"/>
      <c r="LQJ25" s="287"/>
      <c r="LQK25" s="287"/>
      <c r="LQL25" s="287"/>
      <c r="LQM25" s="287"/>
      <c r="LQN25" s="287"/>
      <c r="LQO25" s="287"/>
      <c r="LQP25" s="287"/>
      <c r="LQQ25" s="287"/>
      <c r="LQR25" s="287"/>
      <c r="LQS25" s="287"/>
      <c r="LQT25" s="287"/>
      <c r="LQU25" s="287"/>
      <c r="LQV25" s="287"/>
      <c r="LQW25" s="632"/>
      <c r="LQX25" s="287"/>
      <c r="LQY25" s="633"/>
      <c r="LQZ25" s="287"/>
      <c r="LRA25" s="287"/>
      <c r="LRB25" s="287"/>
      <c r="LRC25" s="287"/>
      <c r="LRD25" s="287"/>
      <c r="LRE25" s="287"/>
      <c r="LRF25" s="287"/>
      <c r="LRG25" s="287"/>
      <c r="LRH25" s="287"/>
      <c r="LRI25" s="287"/>
      <c r="LRJ25" s="287"/>
      <c r="LRK25" s="287"/>
      <c r="LRL25" s="287"/>
      <c r="LRM25" s="632"/>
      <c r="LRN25" s="287"/>
      <c r="LRO25" s="633"/>
      <c r="LRP25" s="287"/>
      <c r="LRQ25" s="287"/>
      <c r="LRR25" s="287"/>
      <c r="LRS25" s="287"/>
      <c r="LRT25" s="287"/>
      <c r="LRU25" s="287"/>
      <c r="LRV25" s="287"/>
      <c r="LRW25" s="287"/>
      <c r="LRX25" s="287"/>
      <c r="LRY25" s="287"/>
      <c r="LRZ25" s="287"/>
      <c r="LSA25" s="287"/>
      <c r="LSB25" s="287"/>
      <c r="LSC25" s="632"/>
      <c r="LSD25" s="287"/>
      <c r="LSE25" s="633"/>
      <c r="LSF25" s="287"/>
      <c r="LSG25" s="287"/>
      <c r="LSH25" s="287"/>
      <c r="LSI25" s="287"/>
      <c r="LSJ25" s="287"/>
      <c r="LSK25" s="287"/>
      <c r="LSL25" s="287"/>
      <c r="LSM25" s="287"/>
      <c r="LSN25" s="287"/>
      <c r="LSO25" s="287"/>
      <c r="LSP25" s="287"/>
      <c r="LSQ25" s="287"/>
      <c r="LSR25" s="287"/>
      <c r="LSS25" s="632"/>
      <c r="LST25" s="287"/>
      <c r="LSU25" s="633"/>
      <c r="LSV25" s="287"/>
      <c r="LSW25" s="287"/>
      <c r="LSX25" s="287"/>
      <c r="LSY25" s="287"/>
      <c r="LSZ25" s="287"/>
      <c r="LTA25" s="287"/>
      <c r="LTB25" s="287"/>
      <c r="LTC25" s="287"/>
      <c r="LTD25" s="287"/>
      <c r="LTE25" s="287"/>
      <c r="LTF25" s="287"/>
      <c r="LTG25" s="287"/>
      <c r="LTH25" s="287"/>
      <c r="LTI25" s="632"/>
      <c r="LTJ25" s="287"/>
      <c r="LTK25" s="633"/>
      <c r="LTL25" s="287"/>
      <c r="LTM25" s="287"/>
      <c r="LTN25" s="287"/>
      <c r="LTO25" s="287"/>
      <c r="LTP25" s="287"/>
      <c r="LTQ25" s="287"/>
      <c r="LTR25" s="287"/>
      <c r="LTS25" s="287"/>
      <c r="LTT25" s="287"/>
      <c r="LTU25" s="287"/>
      <c r="LTV25" s="287"/>
      <c r="LTW25" s="287"/>
      <c r="LTX25" s="287"/>
      <c r="LTY25" s="632"/>
      <c r="LTZ25" s="287"/>
      <c r="LUA25" s="633"/>
      <c r="LUB25" s="287"/>
      <c r="LUC25" s="287"/>
      <c r="LUD25" s="287"/>
      <c r="LUE25" s="287"/>
      <c r="LUF25" s="287"/>
      <c r="LUG25" s="287"/>
      <c r="LUH25" s="287"/>
      <c r="LUI25" s="287"/>
      <c r="LUJ25" s="287"/>
      <c r="LUK25" s="287"/>
      <c r="LUL25" s="287"/>
      <c r="LUM25" s="287"/>
      <c r="LUN25" s="287"/>
      <c r="LUO25" s="632"/>
      <c r="LUP25" s="287"/>
      <c r="LUQ25" s="633"/>
      <c r="LUR25" s="287"/>
      <c r="LUS25" s="287"/>
      <c r="LUT25" s="287"/>
      <c r="LUU25" s="287"/>
      <c r="LUV25" s="287"/>
      <c r="LUW25" s="287"/>
      <c r="LUX25" s="287"/>
      <c r="LUY25" s="287"/>
      <c r="LUZ25" s="287"/>
      <c r="LVA25" s="287"/>
      <c r="LVB25" s="287"/>
      <c r="LVC25" s="287"/>
      <c r="LVD25" s="287"/>
      <c r="LVE25" s="632"/>
      <c r="LVF25" s="287"/>
      <c r="LVG25" s="633"/>
      <c r="LVH25" s="287"/>
      <c r="LVI25" s="287"/>
      <c r="LVJ25" s="287"/>
      <c r="LVK25" s="287"/>
      <c r="LVL25" s="287"/>
      <c r="LVM25" s="287"/>
      <c r="LVN25" s="287"/>
      <c r="LVO25" s="287"/>
      <c r="LVP25" s="287"/>
      <c r="LVQ25" s="287"/>
      <c r="LVR25" s="287"/>
      <c r="LVS25" s="287"/>
      <c r="LVT25" s="287"/>
      <c r="LVU25" s="632"/>
      <c r="LVV25" s="287"/>
      <c r="LVW25" s="633"/>
      <c r="LVX25" s="287"/>
      <c r="LVY25" s="287"/>
      <c r="LVZ25" s="287"/>
      <c r="LWA25" s="287"/>
      <c r="LWB25" s="287"/>
      <c r="LWC25" s="287"/>
      <c r="LWD25" s="287"/>
      <c r="LWE25" s="287"/>
      <c r="LWF25" s="287"/>
      <c r="LWG25" s="287"/>
      <c r="LWH25" s="287"/>
      <c r="LWI25" s="287"/>
      <c r="LWJ25" s="287"/>
      <c r="LWK25" s="632"/>
      <c r="LWL25" s="287"/>
      <c r="LWM25" s="633"/>
      <c r="LWN25" s="287"/>
      <c r="LWO25" s="287"/>
      <c r="LWP25" s="287"/>
      <c r="LWQ25" s="287"/>
      <c r="LWR25" s="287"/>
      <c r="LWS25" s="287"/>
      <c r="LWT25" s="287"/>
      <c r="LWU25" s="287"/>
      <c r="LWV25" s="287"/>
      <c r="LWW25" s="287"/>
      <c r="LWX25" s="287"/>
      <c r="LWY25" s="287"/>
      <c r="LWZ25" s="287"/>
      <c r="LXA25" s="632"/>
      <c r="LXB25" s="287"/>
      <c r="LXC25" s="633"/>
      <c r="LXD25" s="287"/>
      <c r="LXE25" s="287"/>
      <c r="LXF25" s="287"/>
      <c r="LXG25" s="287"/>
      <c r="LXH25" s="287"/>
      <c r="LXI25" s="287"/>
      <c r="LXJ25" s="287"/>
      <c r="LXK25" s="287"/>
      <c r="LXL25" s="287"/>
      <c r="LXM25" s="287"/>
      <c r="LXN25" s="287"/>
      <c r="LXO25" s="287"/>
      <c r="LXP25" s="287"/>
      <c r="LXQ25" s="632"/>
      <c r="LXR25" s="287"/>
      <c r="LXS25" s="633"/>
      <c r="LXT25" s="287"/>
      <c r="LXU25" s="287"/>
      <c r="LXV25" s="287"/>
      <c r="LXW25" s="287"/>
      <c r="LXX25" s="287"/>
      <c r="LXY25" s="287"/>
      <c r="LXZ25" s="287"/>
      <c r="LYA25" s="287"/>
      <c r="LYB25" s="287"/>
      <c r="LYC25" s="287"/>
      <c r="LYD25" s="287"/>
      <c r="LYE25" s="287"/>
      <c r="LYF25" s="287"/>
      <c r="LYG25" s="632"/>
      <c r="LYH25" s="287"/>
      <c r="LYI25" s="633"/>
      <c r="LYJ25" s="287"/>
      <c r="LYK25" s="287"/>
      <c r="LYL25" s="287"/>
      <c r="LYM25" s="287"/>
      <c r="LYN25" s="287"/>
      <c r="LYO25" s="287"/>
      <c r="LYP25" s="287"/>
      <c r="LYQ25" s="287"/>
      <c r="LYR25" s="287"/>
      <c r="LYS25" s="287"/>
      <c r="LYT25" s="287"/>
      <c r="LYU25" s="287"/>
      <c r="LYV25" s="287"/>
      <c r="LYW25" s="632"/>
      <c r="LYX25" s="287"/>
      <c r="LYY25" s="633"/>
      <c r="LYZ25" s="287"/>
      <c r="LZA25" s="287"/>
      <c r="LZB25" s="287"/>
      <c r="LZC25" s="287"/>
      <c r="LZD25" s="287"/>
      <c r="LZE25" s="287"/>
      <c r="LZF25" s="287"/>
      <c r="LZG25" s="287"/>
      <c r="LZH25" s="287"/>
      <c r="LZI25" s="287"/>
      <c r="LZJ25" s="287"/>
      <c r="LZK25" s="287"/>
      <c r="LZL25" s="287"/>
      <c r="LZM25" s="632"/>
      <c r="LZN25" s="287"/>
      <c r="LZO25" s="633"/>
      <c r="LZP25" s="287"/>
      <c r="LZQ25" s="287"/>
      <c r="LZR25" s="287"/>
      <c r="LZS25" s="287"/>
      <c r="LZT25" s="287"/>
      <c r="LZU25" s="287"/>
      <c r="LZV25" s="287"/>
      <c r="LZW25" s="287"/>
      <c r="LZX25" s="287"/>
      <c r="LZY25" s="287"/>
      <c r="LZZ25" s="287"/>
      <c r="MAA25" s="287"/>
      <c r="MAB25" s="287"/>
      <c r="MAC25" s="632"/>
      <c r="MAD25" s="287"/>
      <c r="MAE25" s="633"/>
      <c r="MAF25" s="287"/>
      <c r="MAG25" s="287"/>
      <c r="MAH25" s="287"/>
      <c r="MAI25" s="287"/>
      <c r="MAJ25" s="287"/>
      <c r="MAK25" s="287"/>
      <c r="MAL25" s="287"/>
      <c r="MAM25" s="287"/>
      <c r="MAN25" s="287"/>
      <c r="MAO25" s="287"/>
      <c r="MAP25" s="287"/>
      <c r="MAQ25" s="287"/>
      <c r="MAR25" s="287"/>
      <c r="MAS25" s="632"/>
      <c r="MAT25" s="287"/>
      <c r="MAU25" s="633"/>
      <c r="MAV25" s="287"/>
      <c r="MAW25" s="287"/>
      <c r="MAX25" s="287"/>
      <c r="MAY25" s="287"/>
      <c r="MAZ25" s="287"/>
      <c r="MBA25" s="287"/>
      <c r="MBB25" s="287"/>
      <c r="MBC25" s="287"/>
      <c r="MBD25" s="287"/>
      <c r="MBE25" s="287"/>
      <c r="MBF25" s="287"/>
      <c r="MBG25" s="287"/>
      <c r="MBH25" s="287"/>
      <c r="MBI25" s="632"/>
      <c r="MBJ25" s="287"/>
      <c r="MBK25" s="633"/>
      <c r="MBL25" s="287"/>
      <c r="MBM25" s="287"/>
      <c r="MBN25" s="287"/>
      <c r="MBO25" s="287"/>
      <c r="MBP25" s="287"/>
      <c r="MBQ25" s="287"/>
      <c r="MBR25" s="287"/>
      <c r="MBS25" s="287"/>
      <c r="MBT25" s="287"/>
      <c r="MBU25" s="287"/>
      <c r="MBV25" s="287"/>
      <c r="MBW25" s="287"/>
      <c r="MBX25" s="287"/>
      <c r="MBY25" s="632"/>
      <c r="MBZ25" s="287"/>
      <c r="MCA25" s="633"/>
      <c r="MCB25" s="287"/>
      <c r="MCC25" s="287"/>
      <c r="MCD25" s="287"/>
      <c r="MCE25" s="287"/>
      <c r="MCF25" s="287"/>
      <c r="MCG25" s="287"/>
      <c r="MCH25" s="287"/>
      <c r="MCI25" s="287"/>
      <c r="MCJ25" s="287"/>
      <c r="MCK25" s="287"/>
      <c r="MCL25" s="287"/>
      <c r="MCM25" s="287"/>
      <c r="MCN25" s="287"/>
      <c r="MCO25" s="632"/>
      <c r="MCP25" s="287"/>
      <c r="MCQ25" s="633"/>
      <c r="MCR25" s="287"/>
      <c r="MCS25" s="287"/>
      <c r="MCT25" s="287"/>
      <c r="MCU25" s="287"/>
      <c r="MCV25" s="287"/>
      <c r="MCW25" s="287"/>
      <c r="MCX25" s="287"/>
      <c r="MCY25" s="287"/>
      <c r="MCZ25" s="287"/>
      <c r="MDA25" s="287"/>
      <c r="MDB25" s="287"/>
      <c r="MDC25" s="287"/>
      <c r="MDD25" s="287"/>
      <c r="MDE25" s="632"/>
      <c r="MDF25" s="287"/>
      <c r="MDG25" s="633"/>
      <c r="MDH25" s="287"/>
      <c r="MDI25" s="287"/>
      <c r="MDJ25" s="287"/>
      <c r="MDK25" s="287"/>
      <c r="MDL25" s="287"/>
      <c r="MDM25" s="287"/>
      <c r="MDN25" s="287"/>
      <c r="MDO25" s="287"/>
      <c r="MDP25" s="287"/>
      <c r="MDQ25" s="287"/>
      <c r="MDR25" s="287"/>
      <c r="MDS25" s="287"/>
      <c r="MDT25" s="287"/>
      <c r="MDU25" s="632"/>
      <c r="MDV25" s="287"/>
      <c r="MDW25" s="633"/>
      <c r="MDX25" s="287"/>
      <c r="MDY25" s="287"/>
      <c r="MDZ25" s="287"/>
      <c r="MEA25" s="287"/>
      <c r="MEB25" s="287"/>
      <c r="MEC25" s="287"/>
      <c r="MED25" s="287"/>
      <c r="MEE25" s="287"/>
      <c r="MEF25" s="287"/>
      <c r="MEG25" s="287"/>
      <c r="MEH25" s="287"/>
      <c r="MEI25" s="287"/>
      <c r="MEJ25" s="287"/>
      <c r="MEK25" s="632"/>
      <c r="MEL25" s="287"/>
      <c r="MEM25" s="633"/>
      <c r="MEN25" s="287"/>
      <c r="MEO25" s="287"/>
      <c r="MEP25" s="287"/>
      <c r="MEQ25" s="287"/>
      <c r="MER25" s="287"/>
      <c r="MES25" s="287"/>
      <c r="MET25" s="287"/>
      <c r="MEU25" s="287"/>
      <c r="MEV25" s="287"/>
      <c r="MEW25" s="287"/>
      <c r="MEX25" s="287"/>
      <c r="MEY25" s="287"/>
      <c r="MEZ25" s="287"/>
      <c r="MFA25" s="632"/>
      <c r="MFB25" s="287"/>
      <c r="MFC25" s="633"/>
      <c r="MFD25" s="287"/>
      <c r="MFE25" s="287"/>
      <c r="MFF25" s="287"/>
      <c r="MFG25" s="287"/>
      <c r="MFH25" s="287"/>
      <c r="MFI25" s="287"/>
      <c r="MFJ25" s="287"/>
      <c r="MFK25" s="287"/>
      <c r="MFL25" s="287"/>
      <c r="MFM25" s="287"/>
      <c r="MFN25" s="287"/>
      <c r="MFO25" s="287"/>
      <c r="MFP25" s="287"/>
      <c r="MFQ25" s="632"/>
      <c r="MFR25" s="287"/>
      <c r="MFS25" s="633"/>
      <c r="MFT25" s="287"/>
      <c r="MFU25" s="287"/>
      <c r="MFV25" s="287"/>
      <c r="MFW25" s="287"/>
      <c r="MFX25" s="287"/>
      <c r="MFY25" s="287"/>
      <c r="MFZ25" s="287"/>
      <c r="MGA25" s="287"/>
      <c r="MGB25" s="287"/>
      <c r="MGC25" s="287"/>
      <c r="MGD25" s="287"/>
      <c r="MGE25" s="287"/>
      <c r="MGF25" s="287"/>
      <c r="MGG25" s="632"/>
      <c r="MGH25" s="287"/>
      <c r="MGI25" s="633"/>
      <c r="MGJ25" s="287"/>
      <c r="MGK25" s="287"/>
      <c r="MGL25" s="287"/>
      <c r="MGM25" s="287"/>
      <c r="MGN25" s="287"/>
      <c r="MGO25" s="287"/>
      <c r="MGP25" s="287"/>
      <c r="MGQ25" s="287"/>
      <c r="MGR25" s="287"/>
      <c r="MGS25" s="287"/>
      <c r="MGT25" s="287"/>
      <c r="MGU25" s="287"/>
      <c r="MGV25" s="287"/>
      <c r="MGW25" s="632"/>
      <c r="MGX25" s="287"/>
      <c r="MGY25" s="633"/>
      <c r="MGZ25" s="287"/>
      <c r="MHA25" s="287"/>
      <c r="MHB25" s="287"/>
      <c r="MHC25" s="287"/>
      <c r="MHD25" s="287"/>
      <c r="MHE25" s="287"/>
      <c r="MHF25" s="287"/>
      <c r="MHG25" s="287"/>
      <c r="MHH25" s="287"/>
      <c r="MHI25" s="287"/>
      <c r="MHJ25" s="287"/>
      <c r="MHK25" s="287"/>
      <c r="MHL25" s="287"/>
      <c r="MHM25" s="632"/>
      <c r="MHN25" s="287"/>
      <c r="MHO25" s="633"/>
      <c r="MHP25" s="287"/>
      <c r="MHQ25" s="287"/>
      <c r="MHR25" s="287"/>
      <c r="MHS25" s="287"/>
      <c r="MHT25" s="287"/>
      <c r="MHU25" s="287"/>
      <c r="MHV25" s="287"/>
      <c r="MHW25" s="287"/>
      <c r="MHX25" s="287"/>
      <c r="MHY25" s="287"/>
      <c r="MHZ25" s="287"/>
      <c r="MIA25" s="287"/>
      <c r="MIB25" s="287"/>
      <c r="MIC25" s="632"/>
      <c r="MID25" s="287"/>
      <c r="MIE25" s="633"/>
      <c r="MIF25" s="287"/>
      <c r="MIG25" s="287"/>
      <c r="MIH25" s="287"/>
      <c r="MII25" s="287"/>
      <c r="MIJ25" s="287"/>
      <c r="MIK25" s="287"/>
      <c r="MIL25" s="287"/>
      <c r="MIM25" s="287"/>
      <c r="MIN25" s="287"/>
      <c r="MIO25" s="287"/>
      <c r="MIP25" s="287"/>
      <c r="MIQ25" s="287"/>
      <c r="MIR25" s="287"/>
      <c r="MIS25" s="632"/>
      <c r="MIT25" s="287"/>
      <c r="MIU25" s="633"/>
      <c r="MIV25" s="287"/>
      <c r="MIW25" s="287"/>
      <c r="MIX25" s="287"/>
      <c r="MIY25" s="287"/>
      <c r="MIZ25" s="287"/>
      <c r="MJA25" s="287"/>
      <c r="MJB25" s="287"/>
      <c r="MJC25" s="287"/>
      <c r="MJD25" s="287"/>
      <c r="MJE25" s="287"/>
      <c r="MJF25" s="287"/>
      <c r="MJG25" s="287"/>
      <c r="MJH25" s="287"/>
      <c r="MJI25" s="632"/>
      <c r="MJJ25" s="287"/>
      <c r="MJK25" s="633"/>
      <c r="MJL25" s="287"/>
      <c r="MJM25" s="287"/>
      <c r="MJN25" s="287"/>
      <c r="MJO25" s="287"/>
      <c r="MJP25" s="287"/>
      <c r="MJQ25" s="287"/>
      <c r="MJR25" s="287"/>
      <c r="MJS25" s="287"/>
      <c r="MJT25" s="287"/>
      <c r="MJU25" s="287"/>
      <c r="MJV25" s="287"/>
      <c r="MJW25" s="287"/>
      <c r="MJX25" s="287"/>
      <c r="MJY25" s="632"/>
      <c r="MJZ25" s="287"/>
      <c r="MKA25" s="633"/>
      <c r="MKB25" s="287"/>
      <c r="MKC25" s="287"/>
      <c r="MKD25" s="287"/>
      <c r="MKE25" s="287"/>
      <c r="MKF25" s="287"/>
      <c r="MKG25" s="287"/>
      <c r="MKH25" s="287"/>
      <c r="MKI25" s="287"/>
      <c r="MKJ25" s="287"/>
      <c r="MKK25" s="287"/>
      <c r="MKL25" s="287"/>
      <c r="MKM25" s="287"/>
      <c r="MKN25" s="287"/>
      <c r="MKO25" s="632"/>
      <c r="MKP25" s="287"/>
      <c r="MKQ25" s="633"/>
      <c r="MKR25" s="287"/>
      <c r="MKS25" s="287"/>
      <c r="MKT25" s="287"/>
      <c r="MKU25" s="287"/>
      <c r="MKV25" s="287"/>
      <c r="MKW25" s="287"/>
      <c r="MKX25" s="287"/>
      <c r="MKY25" s="287"/>
      <c r="MKZ25" s="287"/>
      <c r="MLA25" s="287"/>
      <c r="MLB25" s="287"/>
      <c r="MLC25" s="287"/>
      <c r="MLD25" s="287"/>
      <c r="MLE25" s="632"/>
      <c r="MLF25" s="287"/>
      <c r="MLG25" s="633"/>
      <c r="MLH25" s="287"/>
      <c r="MLI25" s="287"/>
      <c r="MLJ25" s="287"/>
      <c r="MLK25" s="287"/>
      <c r="MLL25" s="287"/>
      <c r="MLM25" s="287"/>
      <c r="MLN25" s="287"/>
      <c r="MLO25" s="287"/>
      <c r="MLP25" s="287"/>
      <c r="MLQ25" s="287"/>
      <c r="MLR25" s="287"/>
      <c r="MLS25" s="287"/>
      <c r="MLT25" s="287"/>
      <c r="MLU25" s="632"/>
      <c r="MLV25" s="287"/>
      <c r="MLW25" s="633"/>
      <c r="MLX25" s="287"/>
      <c r="MLY25" s="287"/>
      <c r="MLZ25" s="287"/>
      <c r="MMA25" s="287"/>
      <c r="MMB25" s="287"/>
      <c r="MMC25" s="287"/>
      <c r="MMD25" s="287"/>
      <c r="MME25" s="287"/>
      <c r="MMF25" s="287"/>
      <c r="MMG25" s="287"/>
      <c r="MMH25" s="287"/>
      <c r="MMI25" s="287"/>
      <c r="MMJ25" s="287"/>
      <c r="MMK25" s="632"/>
      <c r="MML25" s="287"/>
      <c r="MMM25" s="633"/>
      <c r="MMN25" s="287"/>
      <c r="MMO25" s="287"/>
      <c r="MMP25" s="287"/>
      <c r="MMQ25" s="287"/>
      <c r="MMR25" s="287"/>
      <c r="MMS25" s="287"/>
      <c r="MMT25" s="287"/>
      <c r="MMU25" s="287"/>
      <c r="MMV25" s="287"/>
      <c r="MMW25" s="287"/>
      <c r="MMX25" s="287"/>
      <c r="MMY25" s="287"/>
      <c r="MMZ25" s="287"/>
      <c r="MNA25" s="632"/>
      <c r="MNB25" s="287"/>
      <c r="MNC25" s="633"/>
      <c r="MND25" s="287"/>
      <c r="MNE25" s="287"/>
      <c r="MNF25" s="287"/>
      <c r="MNG25" s="287"/>
      <c r="MNH25" s="287"/>
      <c r="MNI25" s="287"/>
      <c r="MNJ25" s="287"/>
      <c r="MNK25" s="287"/>
      <c r="MNL25" s="287"/>
      <c r="MNM25" s="287"/>
      <c r="MNN25" s="287"/>
      <c r="MNO25" s="287"/>
      <c r="MNP25" s="287"/>
      <c r="MNQ25" s="632"/>
      <c r="MNR25" s="287"/>
      <c r="MNS25" s="633"/>
      <c r="MNT25" s="287"/>
      <c r="MNU25" s="287"/>
      <c r="MNV25" s="287"/>
      <c r="MNW25" s="287"/>
      <c r="MNX25" s="287"/>
      <c r="MNY25" s="287"/>
      <c r="MNZ25" s="287"/>
      <c r="MOA25" s="287"/>
      <c r="MOB25" s="287"/>
      <c r="MOC25" s="287"/>
      <c r="MOD25" s="287"/>
      <c r="MOE25" s="287"/>
      <c r="MOF25" s="287"/>
      <c r="MOG25" s="632"/>
      <c r="MOH25" s="287"/>
      <c r="MOI25" s="633"/>
      <c r="MOJ25" s="287"/>
      <c r="MOK25" s="287"/>
      <c r="MOL25" s="287"/>
      <c r="MOM25" s="287"/>
      <c r="MON25" s="287"/>
      <c r="MOO25" s="287"/>
      <c r="MOP25" s="287"/>
      <c r="MOQ25" s="287"/>
      <c r="MOR25" s="287"/>
      <c r="MOS25" s="287"/>
      <c r="MOT25" s="287"/>
      <c r="MOU25" s="287"/>
      <c r="MOV25" s="287"/>
      <c r="MOW25" s="632"/>
      <c r="MOX25" s="287"/>
      <c r="MOY25" s="633"/>
      <c r="MOZ25" s="287"/>
      <c r="MPA25" s="287"/>
      <c r="MPB25" s="287"/>
      <c r="MPC25" s="287"/>
      <c r="MPD25" s="287"/>
      <c r="MPE25" s="287"/>
      <c r="MPF25" s="287"/>
      <c r="MPG25" s="287"/>
      <c r="MPH25" s="287"/>
      <c r="MPI25" s="287"/>
      <c r="MPJ25" s="287"/>
      <c r="MPK25" s="287"/>
      <c r="MPL25" s="287"/>
      <c r="MPM25" s="632"/>
      <c r="MPN25" s="287"/>
      <c r="MPO25" s="633"/>
      <c r="MPP25" s="287"/>
      <c r="MPQ25" s="287"/>
      <c r="MPR25" s="287"/>
      <c r="MPS25" s="287"/>
      <c r="MPT25" s="287"/>
      <c r="MPU25" s="287"/>
      <c r="MPV25" s="287"/>
      <c r="MPW25" s="287"/>
      <c r="MPX25" s="287"/>
      <c r="MPY25" s="287"/>
      <c r="MPZ25" s="287"/>
      <c r="MQA25" s="287"/>
      <c r="MQB25" s="287"/>
      <c r="MQC25" s="632"/>
      <c r="MQD25" s="287"/>
      <c r="MQE25" s="633"/>
      <c r="MQF25" s="287"/>
      <c r="MQG25" s="287"/>
      <c r="MQH25" s="287"/>
      <c r="MQI25" s="287"/>
      <c r="MQJ25" s="287"/>
      <c r="MQK25" s="287"/>
      <c r="MQL25" s="287"/>
      <c r="MQM25" s="287"/>
      <c r="MQN25" s="287"/>
      <c r="MQO25" s="287"/>
      <c r="MQP25" s="287"/>
      <c r="MQQ25" s="287"/>
      <c r="MQR25" s="287"/>
      <c r="MQS25" s="632"/>
      <c r="MQT25" s="287"/>
      <c r="MQU25" s="633"/>
      <c r="MQV25" s="287"/>
      <c r="MQW25" s="287"/>
      <c r="MQX25" s="287"/>
      <c r="MQY25" s="287"/>
      <c r="MQZ25" s="287"/>
      <c r="MRA25" s="287"/>
      <c r="MRB25" s="287"/>
      <c r="MRC25" s="287"/>
      <c r="MRD25" s="287"/>
      <c r="MRE25" s="287"/>
      <c r="MRF25" s="287"/>
      <c r="MRG25" s="287"/>
      <c r="MRH25" s="287"/>
      <c r="MRI25" s="632"/>
      <c r="MRJ25" s="287"/>
      <c r="MRK25" s="633"/>
      <c r="MRL25" s="287"/>
      <c r="MRM25" s="287"/>
      <c r="MRN25" s="287"/>
      <c r="MRO25" s="287"/>
      <c r="MRP25" s="287"/>
      <c r="MRQ25" s="287"/>
      <c r="MRR25" s="287"/>
      <c r="MRS25" s="287"/>
      <c r="MRT25" s="287"/>
      <c r="MRU25" s="287"/>
      <c r="MRV25" s="287"/>
      <c r="MRW25" s="287"/>
      <c r="MRX25" s="287"/>
      <c r="MRY25" s="632"/>
      <c r="MRZ25" s="287"/>
      <c r="MSA25" s="633"/>
      <c r="MSB25" s="287"/>
      <c r="MSC25" s="287"/>
      <c r="MSD25" s="287"/>
      <c r="MSE25" s="287"/>
      <c r="MSF25" s="287"/>
      <c r="MSG25" s="287"/>
      <c r="MSH25" s="287"/>
      <c r="MSI25" s="287"/>
      <c r="MSJ25" s="287"/>
      <c r="MSK25" s="287"/>
      <c r="MSL25" s="287"/>
      <c r="MSM25" s="287"/>
      <c r="MSN25" s="287"/>
      <c r="MSO25" s="632"/>
      <c r="MSP25" s="287"/>
      <c r="MSQ25" s="633"/>
      <c r="MSR25" s="287"/>
      <c r="MSS25" s="287"/>
      <c r="MST25" s="287"/>
      <c r="MSU25" s="287"/>
      <c r="MSV25" s="287"/>
      <c r="MSW25" s="287"/>
      <c r="MSX25" s="287"/>
      <c r="MSY25" s="287"/>
      <c r="MSZ25" s="287"/>
      <c r="MTA25" s="287"/>
      <c r="MTB25" s="287"/>
      <c r="MTC25" s="287"/>
      <c r="MTD25" s="287"/>
      <c r="MTE25" s="632"/>
      <c r="MTF25" s="287"/>
      <c r="MTG25" s="633"/>
      <c r="MTH25" s="287"/>
      <c r="MTI25" s="287"/>
      <c r="MTJ25" s="287"/>
      <c r="MTK25" s="287"/>
      <c r="MTL25" s="287"/>
      <c r="MTM25" s="287"/>
      <c r="MTN25" s="287"/>
      <c r="MTO25" s="287"/>
      <c r="MTP25" s="287"/>
      <c r="MTQ25" s="287"/>
      <c r="MTR25" s="287"/>
      <c r="MTS25" s="287"/>
      <c r="MTT25" s="287"/>
      <c r="MTU25" s="632"/>
      <c r="MTV25" s="287"/>
      <c r="MTW25" s="633"/>
      <c r="MTX25" s="287"/>
      <c r="MTY25" s="287"/>
      <c r="MTZ25" s="287"/>
      <c r="MUA25" s="287"/>
      <c r="MUB25" s="287"/>
      <c r="MUC25" s="287"/>
      <c r="MUD25" s="287"/>
      <c r="MUE25" s="287"/>
      <c r="MUF25" s="287"/>
      <c r="MUG25" s="287"/>
      <c r="MUH25" s="287"/>
      <c r="MUI25" s="287"/>
      <c r="MUJ25" s="287"/>
      <c r="MUK25" s="632"/>
      <c r="MUL25" s="287"/>
      <c r="MUM25" s="633"/>
      <c r="MUN25" s="287"/>
      <c r="MUO25" s="287"/>
      <c r="MUP25" s="287"/>
      <c r="MUQ25" s="287"/>
      <c r="MUR25" s="287"/>
      <c r="MUS25" s="287"/>
      <c r="MUT25" s="287"/>
      <c r="MUU25" s="287"/>
      <c r="MUV25" s="287"/>
      <c r="MUW25" s="287"/>
      <c r="MUX25" s="287"/>
      <c r="MUY25" s="287"/>
      <c r="MUZ25" s="287"/>
      <c r="MVA25" s="632"/>
      <c r="MVB25" s="287"/>
      <c r="MVC25" s="633"/>
      <c r="MVD25" s="287"/>
      <c r="MVE25" s="287"/>
      <c r="MVF25" s="287"/>
      <c r="MVG25" s="287"/>
      <c r="MVH25" s="287"/>
      <c r="MVI25" s="287"/>
      <c r="MVJ25" s="287"/>
      <c r="MVK25" s="287"/>
      <c r="MVL25" s="287"/>
      <c r="MVM25" s="287"/>
      <c r="MVN25" s="287"/>
      <c r="MVO25" s="287"/>
      <c r="MVP25" s="287"/>
      <c r="MVQ25" s="632"/>
      <c r="MVR25" s="287"/>
      <c r="MVS25" s="633"/>
      <c r="MVT25" s="287"/>
      <c r="MVU25" s="287"/>
      <c r="MVV25" s="287"/>
      <c r="MVW25" s="287"/>
      <c r="MVX25" s="287"/>
      <c r="MVY25" s="287"/>
      <c r="MVZ25" s="287"/>
      <c r="MWA25" s="287"/>
      <c r="MWB25" s="287"/>
      <c r="MWC25" s="287"/>
      <c r="MWD25" s="287"/>
      <c r="MWE25" s="287"/>
      <c r="MWF25" s="287"/>
      <c r="MWG25" s="632"/>
      <c r="MWH25" s="287"/>
      <c r="MWI25" s="633"/>
      <c r="MWJ25" s="287"/>
      <c r="MWK25" s="287"/>
      <c r="MWL25" s="287"/>
      <c r="MWM25" s="287"/>
      <c r="MWN25" s="287"/>
      <c r="MWO25" s="287"/>
      <c r="MWP25" s="287"/>
      <c r="MWQ25" s="287"/>
      <c r="MWR25" s="287"/>
      <c r="MWS25" s="287"/>
      <c r="MWT25" s="287"/>
      <c r="MWU25" s="287"/>
      <c r="MWV25" s="287"/>
      <c r="MWW25" s="632"/>
      <c r="MWX25" s="287"/>
      <c r="MWY25" s="633"/>
      <c r="MWZ25" s="287"/>
      <c r="MXA25" s="287"/>
      <c r="MXB25" s="287"/>
      <c r="MXC25" s="287"/>
      <c r="MXD25" s="287"/>
      <c r="MXE25" s="287"/>
      <c r="MXF25" s="287"/>
      <c r="MXG25" s="287"/>
      <c r="MXH25" s="287"/>
      <c r="MXI25" s="287"/>
      <c r="MXJ25" s="287"/>
      <c r="MXK25" s="287"/>
      <c r="MXL25" s="287"/>
      <c r="MXM25" s="632"/>
      <c r="MXN25" s="287"/>
      <c r="MXO25" s="633"/>
      <c r="MXP25" s="287"/>
      <c r="MXQ25" s="287"/>
      <c r="MXR25" s="287"/>
      <c r="MXS25" s="287"/>
      <c r="MXT25" s="287"/>
      <c r="MXU25" s="287"/>
      <c r="MXV25" s="287"/>
      <c r="MXW25" s="287"/>
      <c r="MXX25" s="287"/>
      <c r="MXY25" s="287"/>
      <c r="MXZ25" s="287"/>
      <c r="MYA25" s="287"/>
      <c r="MYB25" s="287"/>
      <c r="MYC25" s="632"/>
      <c r="MYD25" s="287"/>
      <c r="MYE25" s="633"/>
      <c r="MYF25" s="287"/>
      <c r="MYG25" s="287"/>
      <c r="MYH25" s="287"/>
      <c r="MYI25" s="287"/>
      <c r="MYJ25" s="287"/>
      <c r="MYK25" s="287"/>
      <c r="MYL25" s="287"/>
      <c r="MYM25" s="287"/>
      <c r="MYN25" s="287"/>
      <c r="MYO25" s="287"/>
      <c r="MYP25" s="287"/>
      <c r="MYQ25" s="287"/>
      <c r="MYR25" s="287"/>
      <c r="MYS25" s="632"/>
      <c r="MYT25" s="287"/>
      <c r="MYU25" s="633"/>
      <c r="MYV25" s="287"/>
      <c r="MYW25" s="287"/>
      <c r="MYX25" s="287"/>
      <c r="MYY25" s="287"/>
      <c r="MYZ25" s="287"/>
      <c r="MZA25" s="287"/>
      <c r="MZB25" s="287"/>
      <c r="MZC25" s="287"/>
      <c r="MZD25" s="287"/>
      <c r="MZE25" s="287"/>
      <c r="MZF25" s="287"/>
      <c r="MZG25" s="287"/>
      <c r="MZH25" s="287"/>
      <c r="MZI25" s="632"/>
      <c r="MZJ25" s="287"/>
      <c r="MZK25" s="633"/>
      <c r="MZL25" s="287"/>
      <c r="MZM25" s="287"/>
      <c r="MZN25" s="287"/>
      <c r="MZO25" s="287"/>
      <c r="MZP25" s="287"/>
      <c r="MZQ25" s="287"/>
      <c r="MZR25" s="287"/>
      <c r="MZS25" s="287"/>
      <c r="MZT25" s="287"/>
      <c r="MZU25" s="287"/>
      <c r="MZV25" s="287"/>
      <c r="MZW25" s="287"/>
      <c r="MZX25" s="287"/>
      <c r="MZY25" s="632"/>
      <c r="MZZ25" s="287"/>
      <c r="NAA25" s="633"/>
      <c r="NAB25" s="287"/>
      <c r="NAC25" s="287"/>
      <c r="NAD25" s="287"/>
      <c r="NAE25" s="287"/>
      <c r="NAF25" s="287"/>
      <c r="NAG25" s="287"/>
      <c r="NAH25" s="287"/>
      <c r="NAI25" s="287"/>
      <c r="NAJ25" s="287"/>
      <c r="NAK25" s="287"/>
      <c r="NAL25" s="287"/>
      <c r="NAM25" s="287"/>
      <c r="NAN25" s="287"/>
      <c r="NAO25" s="632"/>
      <c r="NAP25" s="287"/>
      <c r="NAQ25" s="633"/>
      <c r="NAR25" s="287"/>
      <c r="NAS25" s="287"/>
      <c r="NAT25" s="287"/>
      <c r="NAU25" s="287"/>
      <c r="NAV25" s="287"/>
      <c r="NAW25" s="287"/>
      <c r="NAX25" s="287"/>
      <c r="NAY25" s="287"/>
      <c r="NAZ25" s="287"/>
      <c r="NBA25" s="287"/>
      <c r="NBB25" s="287"/>
      <c r="NBC25" s="287"/>
      <c r="NBD25" s="287"/>
      <c r="NBE25" s="632"/>
      <c r="NBF25" s="287"/>
      <c r="NBG25" s="633"/>
      <c r="NBH25" s="287"/>
      <c r="NBI25" s="287"/>
      <c r="NBJ25" s="287"/>
      <c r="NBK25" s="287"/>
      <c r="NBL25" s="287"/>
      <c r="NBM25" s="287"/>
      <c r="NBN25" s="287"/>
      <c r="NBO25" s="287"/>
      <c r="NBP25" s="287"/>
      <c r="NBQ25" s="287"/>
      <c r="NBR25" s="287"/>
      <c r="NBS25" s="287"/>
      <c r="NBT25" s="287"/>
      <c r="NBU25" s="632"/>
      <c r="NBV25" s="287"/>
      <c r="NBW25" s="633"/>
      <c r="NBX25" s="287"/>
      <c r="NBY25" s="287"/>
      <c r="NBZ25" s="287"/>
      <c r="NCA25" s="287"/>
      <c r="NCB25" s="287"/>
      <c r="NCC25" s="287"/>
      <c r="NCD25" s="287"/>
      <c r="NCE25" s="287"/>
      <c r="NCF25" s="287"/>
      <c r="NCG25" s="287"/>
      <c r="NCH25" s="287"/>
      <c r="NCI25" s="287"/>
      <c r="NCJ25" s="287"/>
      <c r="NCK25" s="632"/>
      <c r="NCL25" s="287"/>
      <c r="NCM25" s="633"/>
      <c r="NCN25" s="287"/>
      <c r="NCO25" s="287"/>
      <c r="NCP25" s="287"/>
      <c r="NCQ25" s="287"/>
      <c r="NCR25" s="287"/>
      <c r="NCS25" s="287"/>
      <c r="NCT25" s="287"/>
      <c r="NCU25" s="287"/>
      <c r="NCV25" s="287"/>
      <c r="NCW25" s="287"/>
      <c r="NCX25" s="287"/>
      <c r="NCY25" s="287"/>
      <c r="NCZ25" s="287"/>
      <c r="NDA25" s="632"/>
      <c r="NDB25" s="287"/>
      <c r="NDC25" s="633"/>
      <c r="NDD25" s="287"/>
      <c r="NDE25" s="287"/>
      <c r="NDF25" s="287"/>
      <c r="NDG25" s="287"/>
      <c r="NDH25" s="287"/>
      <c r="NDI25" s="287"/>
      <c r="NDJ25" s="287"/>
      <c r="NDK25" s="287"/>
      <c r="NDL25" s="287"/>
      <c r="NDM25" s="287"/>
      <c r="NDN25" s="287"/>
      <c r="NDO25" s="287"/>
      <c r="NDP25" s="287"/>
      <c r="NDQ25" s="632"/>
      <c r="NDR25" s="287"/>
      <c r="NDS25" s="633"/>
      <c r="NDT25" s="287"/>
      <c r="NDU25" s="287"/>
      <c r="NDV25" s="287"/>
      <c r="NDW25" s="287"/>
      <c r="NDX25" s="287"/>
      <c r="NDY25" s="287"/>
      <c r="NDZ25" s="287"/>
      <c r="NEA25" s="287"/>
      <c r="NEB25" s="287"/>
      <c r="NEC25" s="287"/>
      <c r="NED25" s="287"/>
      <c r="NEE25" s="287"/>
      <c r="NEF25" s="287"/>
      <c r="NEG25" s="632"/>
      <c r="NEH25" s="287"/>
      <c r="NEI25" s="633"/>
      <c r="NEJ25" s="287"/>
      <c r="NEK25" s="287"/>
      <c r="NEL25" s="287"/>
      <c r="NEM25" s="287"/>
      <c r="NEN25" s="287"/>
      <c r="NEO25" s="287"/>
      <c r="NEP25" s="287"/>
      <c r="NEQ25" s="287"/>
      <c r="NER25" s="287"/>
      <c r="NES25" s="287"/>
      <c r="NET25" s="287"/>
      <c r="NEU25" s="287"/>
      <c r="NEV25" s="287"/>
      <c r="NEW25" s="632"/>
      <c r="NEX25" s="287"/>
      <c r="NEY25" s="633"/>
      <c r="NEZ25" s="287"/>
      <c r="NFA25" s="287"/>
      <c r="NFB25" s="287"/>
      <c r="NFC25" s="287"/>
      <c r="NFD25" s="287"/>
      <c r="NFE25" s="287"/>
      <c r="NFF25" s="287"/>
      <c r="NFG25" s="287"/>
      <c r="NFH25" s="287"/>
      <c r="NFI25" s="287"/>
      <c r="NFJ25" s="287"/>
      <c r="NFK25" s="287"/>
      <c r="NFL25" s="287"/>
      <c r="NFM25" s="632"/>
      <c r="NFN25" s="287"/>
      <c r="NFO25" s="633"/>
      <c r="NFP25" s="287"/>
      <c r="NFQ25" s="287"/>
      <c r="NFR25" s="287"/>
      <c r="NFS25" s="287"/>
      <c r="NFT25" s="287"/>
      <c r="NFU25" s="287"/>
      <c r="NFV25" s="287"/>
      <c r="NFW25" s="287"/>
      <c r="NFX25" s="287"/>
      <c r="NFY25" s="287"/>
      <c r="NFZ25" s="287"/>
      <c r="NGA25" s="287"/>
      <c r="NGB25" s="287"/>
      <c r="NGC25" s="632"/>
      <c r="NGD25" s="287"/>
      <c r="NGE25" s="633"/>
      <c r="NGF25" s="287"/>
      <c r="NGG25" s="287"/>
      <c r="NGH25" s="287"/>
      <c r="NGI25" s="287"/>
      <c r="NGJ25" s="287"/>
      <c r="NGK25" s="287"/>
      <c r="NGL25" s="287"/>
      <c r="NGM25" s="287"/>
      <c r="NGN25" s="287"/>
      <c r="NGO25" s="287"/>
      <c r="NGP25" s="287"/>
      <c r="NGQ25" s="287"/>
      <c r="NGR25" s="287"/>
      <c r="NGS25" s="632"/>
      <c r="NGT25" s="287"/>
      <c r="NGU25" s="633"/>
      <c r="NGV25" s="287"/>
      <c r="NGW25" s="287"/>
      <c r="NGX25" s="287"/>
      <c r="NGY25" s="287"/>
      <c r="NGZ25" s="287"/>
      <c r="NHA25" s="287"/>
      <c r="NHB25" s="287"/>
      <c r="NHC25" s="287"/>
      <c r="NHD25" s="287"/>
      <c r="NHE25" s="287"/>
      <c r="NHF25" s="287"/>
      <c r="NHG25" s="287"/>
      <c r="NHH25" s="287"/>
      <c r="NHI25" s="632"/>
      <c r="NHJ25" s="287"/>
      <c r="NHK25" s="633"/>
      <c r="NHL25" s="287"/>
      <c r="NHM25" s="287"/>
      <c r="NHN25" s="287"/>
      <c r="NHO25" s="287"/>
      <c r="NHP25" s="287"/>
      <c r="NHQ25" s="287"/>
      <c r="NHR25" s="287"/>
      <c r="NHS25" s="287"/>
      <c r="NHT25" s="287"/>
      <c r="NHU25" s="287"/>
      <c r="NHV25" s="287"/>
      <c r="NHW25" s="287"/>
      <c r="NHX25" s="287"/>
      <c r="NHY25" s="632"/>
      <c r="NHZ25" s="287"/>
      <c r="NIA25" s="633"/>
      <c r="NIB25" s="287"/>
      <c r="NIC25" s="287"/>
      <c r="NID25" s="287"/>
      <c r="NIE25" s="287"/>
      <c r="NIF25" s="287"/>
      <c r="NIG25" s="287"/>
      <c r="NIH25" s="287"/>
      <c r="NII25" s="287"/>
      <c r="NIJ25" s="287"/>
      <c r="NIK25" s="287"/>
      <c r="NIL25" s="287"/>
      <c r="NIM25" s="287"/>
      <c r="NIN25" s="287"/>
      <c r="NIO25" s="632"/>
      <c r="NIP25" s="287"/>
      <c r="NIQ25" s="633"/>
      <c r="NIR25" s="287"/>
      <c r="NIS25" s="287"/>
      <c r="NIT25" s="287"/>
      <c r="NIU25" s="287"/>
      <c r="NIV25" s="287"/>
      <c r="NIW25" s="287"/>
      <c r="NIX25" s="287"/>
      <c r="NIY25" s="287"/>
      <c r="NIZ25" s="287"/>
      <c r="NJA25" s="287"/>
      <c r="NJB25" s="287"/>
      <c r="NJC25" s="287"/>
      <c r="NJD25" s="287"/>
      <c r="NJE25" s="632"/>
      <c r="NJF25" s="287"/>
      <c r="NJG25" s="633"/>
      <c r="NJH25" s="287"/>
      <c r="NJI25" s="287"/>
      <c r="NJJ25" s="287"/>
      <c r="NJK25" s="287"/>
      <c r="NJL25" s="287"/>
      <c r="NJM25" s="287"/>
      <c r="NJN25" s="287"/>
      <c r="NJO25" s="287"/>
      <c r="NJP25" s="287"/>
      <c r="NJQ25" s="287"/>
      <c r="NJR25" s="287"/>
      <c r="NJS25" s="287"/>
      <c r="NJT25" s="287"/>
      <c r="NJU25" s="632"/>
      <c r="NJV25" s="287"/>
      <c r="NJW25" s="633"/>
      <c r="NJX25" s="287"/>
      <c r="NJY25" s="287"/>
      <c r="NJZ25" s="287"/>
      <c r="NKA25" s="287"/>
      <c r="NKB25" s="287"/>
      <c r="NKC25" s="287"/>
      <c r="NKD25" s="287"/>
      <c r="NKE25" s="287"/>
      <c r="NKF25" s="287"/>
      <c r="NKG25" s="287"/>
      <c r="NKH25" s="287"/>
      <c r="NKI25" s="287"/>
      <c r="NKJ25" s="287"/>
      <c r="NKK25" s="632"/>
      <c r="NKL25" s="287"/>
      <c r="NKM25" s="633"/>
      <c r="NKN25" s="287"/>
      <c r="NKO25" s="287"/>
      <c r="NKP25" s="287"/>
      <c r="NKQ25" s="287"/>
      <c r="NKR25" s="287"/>
      <c r="NKS25" s="287"/>
      <c r="NKT25" s="287"/>
      <c r="NKU25" s="287"/>
      <c r="NKV25" s="287"/>
      <c r="NKW25" s="287"/>
      <c r="NKX25" s="287"/>
      <c r="NKY25" s="287"/>
      <c r="NKZ25" s="287"/>
      <c r="NLA25" s="632"/>
      <c r="NLB25" s="287"/>
      <c r="NLC25" s="633"/>
      <c r="NLD25" s="287"/>
      <c r="NLE25" s="287"/>
      <c r="NLF25" s="287"/>
      <c r="NLG25" s="287"/>
      <c r="NLH25" s="287"/>
      <c r="NLI25" s="287"/>
      <c r="NLJ25" s="287"/>
      <c r="NLK25" s="287"/>
      <c r="NLL25" s="287"/>
      <c r="NLM25" s="287"/>
      <c r="NLN25" s="287"/>
      <c r="NLO25" s="287"/>
      <c r="NLP25" s="287"/>
      <c r="NLQ25" s="632"/>
      <c r="NLR25" s="287"/>
      <c r="NLS25" s="633"/>
      <c r="NLT25" s="287"/>
      <c r="NLU25" s="287"/>
      <c r="NLV25" s="287"/>
      <c r="NLW25" s="287"/>
      <c r="NLX25" s="287"/>
      <c r="NLY25" s="287"/>
      <c r="NLZ25" s="287"/>
      <c r="NMA25" s="287"/>
      <c r="NMB25" s="287"/>
      <c r="NMC25" s="287"/>
      <c r="NMD25" s="287"/>
      <c r="NME25" s="287"/>
      <c r="NMF25" s="287"/>
      <c r="NMG25" s="632"/>
      <c r="NMH25" s="287"/>
      <c r="NMI25" s="633"/>
      <c r="NMJ25" s="287"/>
      <c r="NMK25" s="287"/>
      <c r="NML25" s="287"/>
      <c r="NMM25" s="287"/>
      <c r="NMN25" s="287"/>
      <c r="NMO25" s="287"/>
      <c r="NMP25" s="287"/>
      <c r="NMQ25" s="287"/>
      <c r="NMR25" s="287"/>
      <c r="NMS25" s="287"/>
      <c r="NMT25" s="287"/>
      <c r="NMU25" s="287"/>
      <c r="NMV25" s="287"/>
      <c r="NMW25" s="632"/>
      <c r="NMX25" s="287"/>
      <c r="NMY25" s="633"/>
      <c r="NMZ25" s="287"/>
      <c r="NNA25" s="287"/>
      <c r="NNB25" s="287"/>
      <c r="NNC25" s="287"/>
      <c r="NND25" s="287"/>
      <c r="NNE25" s="287"/>
      <c r="NNF25" s="287"/>
      <c r="NNG25" s="287"/>
      <c r="NNH25" s="287"/>
      <c r="NNI25" s="287"/>
      <c r="NNJ25" s="287"/>
      <c r="NNK25" s="287"/>
      <c r="NNL25" s="287"/>
      <c r="NNM25" s="632"/>
      <c r="NNN25" s="287"/>
      <c r="NNO25" s="633"/>
      <c r="NNP25" s="287"/>
      <c r="NNQ25" s="287"/>
      <c r="NNR25" s="287"/>
      <c r="NNS25" s="287"/>
      <c r="NNT25" s="287"/>
      <c r="NNU25" s="287"/>
      <c r="NNV25" s="287"/>
      <c r="NNW25" s="287"/>
      <c r="NNX25" s="287"/>
      <c r="NNY25" s="287"/>
      <c r="NNZ25" s="287"/>
      <c r="NOA25" s="287"/>
      <c r="NOB25" s="287"/>
      <c r="NOC25" s="632"/>
      <c r="NOD25" s="287"/>
      <c r="NOE25" s="633"/>
      <c r="NOF25" s="287"/>
      <c r="NOG25" s="287"/>
      <c r="NOH25" s="287"/>
      <c r="NOI25" s="287"/>
      <c r="NOJ25" s="287"/>
      <c r="NOK25" s="287"/>
      <c r="NOL25" s="287"/>
      <c r="NOM25" s="287"/>
      <c r="NON25" s="287"/>
      <c r="NOO25" s="287"/>
      <c r="NOP25" s="287"/>
      <c r="NOQ25" s="287"/>
      <c r="NOR25" s="287"/>
      <c r="NOS25" s="632"/>
      <c r="NOT25" s="287"/>
      <c r="NOU25" s="633"/>
      <c r="NOV25" s="287"/>
      <c r="NOW25" s="287"/>
      <c r="NOX25" s="287"/>
      <c r="NOY25" s="287"/>
      <c r="NOZ25" s="287"/>
      <c r="NPA25" s="287"/>
      <c r="NPB25" s="287"/>
      <c r="NPC25" s="287"/>
      <c r="NPD25" s="287"/>
      <c r="NPE25" s="287"/>
      <c r="NPF25" s="287"/>
      <c r="NPG25" s="287"/>
      <c r="NPH25" s="287"/>
      <c r="NPI25" s="632"/>
      <c r="NPJ25" s="287"/>
      <c r="NPK25" s="633"/>
      <c r="NPL25" s="287"/>
      <c r="NPM25" s="287"/>
      <c r="NPN25" s="287"/>
      <c r="NPO25" s="287"/>
      <c r="NPP25" s="287"/>
      <c r="NPQ25" s="287"/>
      <c r="NPR25" s="287"/>
      <c r="NPS25" s="287"/>
      <c r="NPT25" s="287"/>
      <c r="NPU25" s="287"/>
      <c r="NPV25" s="287"/>
      <c r="NPW25" s="287"/>
      <c r="NPX25" s="287"/>
      <c r="NPY25" s="632"/>
      <c r="NPZ25" s="287"/>
      <c r="NQA25" s="633"/>
      <c r="NQB25" s="287"/>
      <c r="NQC25" s="287"/>
      <c r="NQD25" s="287"/>
      <c r="NQE25" s="287"/>
      <c r="NQF25" s="287"/>
      <c r="NQG25" s="287"/>
      <c r="NQH25" s="287"/>
      <c r="NQI25" s="287"/>
      <c r="NQJ25" s="287"/>
      <c r="NQK25" s="287"/>
      <c r="NQL25" s="287"/>
      <c r="NQM25" s="287"/>
      <c r="NQN25" s="287"/>
      <c r="NQO25" s="632"/>
      <c r="NQP25" s="287"/>
      <c r="NQQ25" s="633"/>
      <c r="NQR25" s="287"/>
      <c r="NQS25" s="287"/>
      <c r="NQT25" s="287"/>
      <c r="NQU25" s="287"/>
      <c r="NQV25" s="287"/>
      <c r="NQW25" s="287"/>
      <c r="NQX25" s="287"/>
      <c r="NQY25" s="287"/>
      <c r="NQZ25" s="287"/>
      <c r="NRA25" s="287"/>
      <c r="NRB25" s="287"/>
      <c r="NRC25" s="287"/>
      <c r="NRD25" s="287"/>
      <c r="NRE25" s="632"/>
      <c r="NRF25" s="287"/>
      <c r="NRG25" s="633"/>
      <c r="NRH25" s="287"/>
      <c r="NRI25" s="287"/>
      <c r="NRJ25" s="287"/>
      <c r="NRK25" s="287"/>
      <c r="NRL25" s="287"/>
      <c r="NRM25" s="287"/>
      <c r="NRN25" s="287"/>
      <c r="NRO25" s="287"/>
      <c r="NRP25" s="287"/>
      <c r="NRQ25" s="287"/>
      <c r="NRR25" s="287"/>
      <c r="NRS25" s="287"/>
      <c r="NRT25" s="287"/>
      <c r="NRU25" s="632"/>
      <c r="NRV25" s="287"/>
      <c r="NRW25" s="633"/>
      <c r="NRX25" s="287"/>
      <c r="NRY25" s="287"/>
      <c r="NRZ25" s="287"/>
      <c r="NSA25" s="287"/>
      <c r="NSB25" s="287"/>
      <c r="NSC25" s="287"/>
      <c r="NSD25" s="287"/>
      <c r="NSE25" s="287"/>
      <c r="NSF25" s="287"/>
      <c r="NSG25" s="287"/>
      <c r="NSH25" s="287"/>
      <c r="NSI25" s="287"/>
      <c r="NSJ25" s="287"/>
      <c r="NSK25" s="632"/>
      <c r="NSL25" s="287"/>
      <c r="NSM25" s="633"/>
      <c r="NSN25" s="287"/>
      <c r="NSO25" s="287"/>
      <c r="NSP25" s="287"/>
      <c r="NSQ25" s="287"/>
      <c r="NSR25" s="287"/>
      <c r="NSS25" s="287"/>
      <c r="NST25" s="287"/>
      <c r="NSU25" s="287"/>
      <c r="NSV25" s="287"/>
      <c r="NSW25" s="287"/>
      <c r="NSX25" s="287"/>
      <c r="NSY25" s="287"/>
      <c r="NSZ25" s="287"/>
      <c r="NTA25" s="632"/>
      <c r="NTB25" s="287"/>
      <c r="NTC25" s="633"/>
      <c r="NTD25" s="287"/>
      <c r="NTE25" s="287"/>
      <c r="NTF25" s="287"/>
      <c r="NTG25" s="287"/>
      <c r="NTH25" s="287"/>
      <c r="NTI25" s="287"/>
      <c r="NTJ25" s="287"/>
      <c r="NTK25" s="287"/>
      <c r="NTL25" s="287"/>
      <c r="NTM25" s="287"/>
      <c r="NTN25" s="287"/>
      <c r="NTO25" s="287"/>
      <c r="NTP25" s="287"/>
      <c r="NTQ25" s="632"/>
      <c r="NTR25" s="287"/>
      <c r="NTS25" s="633"/>
      <c r="NTT25" s="287"/>
      <c r="NTU25" s="287"/>
      <c r="NTV25" s="287"/>
      <c r="NTW25" s="287"/>
      <c r="NTX25" s="287"/>
      <c r="NTY25" s="287"/>
      <c r="NTZ25" s="287"/>
      <c r="NUA25" s="287"/>
      <c r="NUB25" s="287"/>
      <c r="NUC25" s="287"/>
      <c r="NUD25" s="287"/>
      <c r="NUE25" s="287"/>
      <c r="NUF25" s="287"/>
      <c r="NUG25" s="632"/>
      <c r="NUH25" s="287"/>
      <c r="NUI25" s="633"/>
      <c r="NUJ25" s="287"/>
      <c r="NUK25" s="287"/>
      <c r="NUL25" s="287"/>
      <c r="NUM25" s="287"/>
      <c r="NUN25" s="287"/>
      <c r="NUO25" s="287"/>
      <c r="NUP25" s="287"/>
      <c r="NUQ25" s="287"/>
      <c r="NUR25" s="287"/>
      <c r="NUS25" s="287"/>
      <c r="NUT25" s="287"/>
      <c r="NUU25" s="287"/>
      <c r="NUV25" s="287"/>
      <c r="NUW25" s="632"/>
      <c r="NUX25" s="287"/>
      <c r="NUY25" s="633"/>
      <c r="NUZ25" s="287"/>
      <c r="NVA25" s="287"/>
      <c r="NVB25" s="287"/>
      <c r="NVC25" s="287"/>
      <c r="NVD25" s="287"/>
      <c r="NVE25" s="287"/>
      <c r="NVF25" s="287"/>
      <c r="NVG25" s="287"/>
      <c r="NVH25" s="287"/>
      <c r="NVI25" s="287"/>
      <c r="NVJ25" s="287"/>
      <c r="NVK25" s="287"/>
      <c r="NVL25" s="287"/>
      <c r="NVM25" s="632"/>
      <c r="NVN25" s="287"/>
      <c r="NVO25" s="633"/>
      <c r="NVP25" s="287"/>
      <c r="NVQ25" s="287"/>
      <c r="NVR25" s="287"/>
      <c r="NVS25" s="287"/>
      <c r="NVT25" s="287"/>
      <c r="NVU25" s="287"/>
      <c r="NVV25" s="287"/>
      <c r="NVW25" s="287"/>
      <c r="NVX25" s="287"/>
      <c r="NVY25" s="287"/>
      <c r="NVZ25" s="287"/>
      <c r="NWA25" s="287"/>
      <c r="NWB25" s="287"/>
      <c r="NWC25" s="632"/>
      <c r="NWD25" s="287"/>
      <c r="NWE25" s="633"/>
      <c r="NWF25" s="287"/>
      <c r="NWG25" s="287"/>
      <c r="NWH25" s="287"/>
      <c r="NWI25" s="287"/>
      <c r="NWJ25" s="287"/>
      <c r="NWK25" s="287"/>
      <c r="NWL25" s="287"/>
      <c r="NWM25" s="287"/>
      <c r="NWN25" s="287"/>
      <c r="NWO25" s="287"/>
      <c r="NWP25" s="287"/>
      <c r="NWQ25" s="287"/>
      <c r="NWR25" s="287"/>
      <c r="NWS25" s="632"/>
      <c r="NWT25" s="287"/>
      <c r="NWU25" s="633"/>
      <c r="NWV25" s="287"/>
      <c r="NWW25" s="287"/>
      <c r="NWX25" s="287"/>
      <c r="NWY25" s="287"/>
      <c r="NWZ25" s="287"/>
      <c r="NXA25" s="287"/>
      <c r="NXB25" s="287"/>
      <c r="NXC25" s="287"/>
      <c r="NXD25" s="287"/>
      <c r="NXE25" s="287"/>
      <c r="NXF25" s="287"/>
      <c r="NXG25" s="287"/>
      <c r="NXH25" s="287"/>
      <c r="NXI25" s="632"/>
      <c r="NXJ25" s="287"/>
      <c r="NXK25" s="633"/>
      <c r="NXL25" s="287"/>
      <c r="NXM25" s="287"/>
      <c r="NXN25" s="287"/>
      <c r="NXO25" s="287"/>
      <c r="NXP25" s="287"/>
      <c r="NXQ25" s="287"/>
      <c r="NXR25" s="287"/>
      <c r="NXS25" s="287"/>
      <c r="NXT25" s="287"/>
      <c r="NXU25" s="287"/>
      <c r="NXV25" s="287"/>
      <c r="NXW25" s="287"/>
      <c r="NXX25" s="287"/>
      <c r="NXY25" s="632"/>
      <c r="NXZ25" s="287"/>
      <c r="NYA25" s="633"/>
      <c r="NYB25" s="287"/>
      <c r="NYC25" s="287"/>
      <c r="NYD25" s="287"/>
      <c r="NYE25" s="287"/>
      <c r="NYF25" s="287"/>
      <c r="NYG25" s="287"/>
      <c r="NYH25" s="287"/>
      <c r="NYI25" s="287"/>
      <c r="NYJ25" s="287"/>
      <c r="NYK25" s="287"/>
      <c r="NYL25" s="287"/>
      <c r="NYM25" s="287"/>
      <c r="NYN25" s="287"/>
      <c r="NYO25" s="632"/>
      <c r="NYP25" s="287"/>
      <c r="NYQ25" s="633"/>
      <c r="NYR25" s="287"/>
      <c r="NYS25" s="287"/>
      <c r="NYT25" s="287"/>
      <c r="NYU25" s="287"/>
      <c r="NYV25" s="287"/>
      <c r="NYW25" s="287"/>
      <c r="NYX25" s="287"/>
      <c r="NYY25" s="287"/>
      <c r="NYZ25" s="287"/>
      <c r="NZA25" s="287"/>
      <c r="NZB25" s="287"/>
      <c r="NZC25" s="287"/>
      <c r="NZD25" s="287"/>
      <c r="NZE25" s="632"/>
      <c r="NZF25" s="287"/>
      <c r="NZG25" s="633"/>
      <c r="NZH25" s="287"/>
      <c r="NZI25" s="287"/>
      <c r="NZJ25" s="287"/>
      <c r="NZK25" s="287"/>
      <c r="NZL25" s="287"/>
      <c r="NZM25" s="287"/>
      <c r="NZN25" s="287"/>
      <c r="NZO25" s="287"/>
      <c r="NZP25" s="287"/>
      <c r="NZQ25" s="287"/>
      <c r="NZR25" s="287"/>
      <c r="NZS25" s="287"/>
      <c r="NZT25" s="287"/>
      <c r="NZU25" s="632"/>
      <c r="NZV25" s="287"/>
      <c r="NZW25" s="633"/>
      <c r="NZX25" s="287"/>
      <c r="NZY25" s="287"/>
      <c r="NZZ25" s="287"/>
      <c r="OAA25" s="287"/>
      <c r="OAB25" s="287"/>
      <c r="OAC25" s="287"/>
      <c r="OAD25" s="287"/>
      <c r="OAE25" s="287"/>
      <c r="OAF25" s="287"/>
      <c r="OAG25" s="287"/>
      <c r="OAH25" s="287"/>
      <c r="OAI25" s="287"/>
      <c r="OAJ25" s="287"/>
      <c r="OAK25" s="632"/>
      <c r="OAL25" s="287"/>
      <c r="OAM25" s="633"/>
      <c r="OAN25" s="287"/>
      <c r="OAO25" s="287"/>
      <c r="OAP25" s="287"/>
      <c r="OAQ25" s="287"/>
      <c r="OAR25" s="287"/>
      <c r="OAS25" s="287"/>
      <c r="OAT25" s="287"/>
      <c r="OAU25" s="287"/>
      <c r="OAV25" s="287"/>
      <c r="OAW25" s="287"/>
      <c r="OAX25" s="287"/>
      <c r="OAY25" s="287"/>
      <c r="OAZ25" s="287"/>
      <c r="OBA25" s="632"/>
      <c r="OBB25" s="287"/>
      <c r="OBC25" s="633"/>
      <c r="OBD25" s="287"/>
      <c r="OBE25" s="287"/>
      <c r="OBF25" s="287"/>
      <c r="OBG25" s="287"/>
      <c r="OBH25" s="287"/>
      <c r="OBI25" s="287"/>
      <c r="OBJ25" s="287"/>
      <c r="OBK25" s="287"/>
      <c r="OBL25" s="287"/>
      <c r="OBM25" s="287"/>
      <c r="OBN25" s="287"/>
      <c r="OBO25" s="287"/>
      <c r="OBP25" s="287"/>
      <c r="OBQ25" s="632"/>
      <c r="OBR25" s="287"/>
      <c r="OBS25" s="633"/>
      <c r="OBT25" s="287"/>
      <c r="OBU25" s="287"/>
      <c r="OBV25" s="287"/>
      <c r="OBW25" s="287"/>
      <c r="OBX25" s="287"/>
      <c r="OBY25" s="287"/>
      <c r="OBZ25" s="287"/>
      <c r="OCA25" s="287"/>
      <c r="OCB25" s="287"/>
      <c r="OCC25" s="287"/>
      <c r="OCD25" s="287"/>
      <c r="OCE25" s="287"/>
      <c r="OCF25" s="287"/>
      <c r="OCG25" s="632"/>
      <c r="OCH25" s="287"/>
      <c r="OCI25" s="633"/>
      <c r="OCJ25" s="287"/>
      <c r="OCK25" s="287"/>
      <c r="OCL25" s="287"/>
      <c r="OCM25" s="287"/>
      <c r="OCN25" s="287"/>
      <c r="OCO25" s="287"/>
      <c r="OCP25" s="287"/>
      <c r="OCQ25" s="287"/>
      <c r="OCR25" s="287"/>
      <c r="OCS25" s="287"/>
      <c r="OCT25" s="287"/>
      <c r="OCU25" s="287"/>
      <c r="OCV25" s="287"/>
      <c r="OCW25" s="632"/>
      <c r="OCX25" s="287"/>
      <c r="OCY25" s="633"/>
      <c r="OCZ25" s="287"/>
      <c r="ODA25" s="287"/>
      <c r="ODB25" s="287"/>
      <c r="ODC25" s="287"/>
      <c r="ODD25" s="287"/>
      <c r="ODE25" s="287"/>
      <c r="ODF25" s="287"/>
      <c r="ODG25" s="287"/>
      <c r="ODH25" s="287"/>
      <c r="ODI25" s="287"/>
      <c r="ODJ25" s="287"/>
      <c r="ODK25" s="287"/>
      <c r="ODL25" s="287"/>
      <c r="ODM25" s="632"/>
      <c r="ODN25" s="287"/>
      <c r="ODO25" s="633"/>
      <c r="ODP25" s="287"/>
      <c r="ODQ25" s="287"/>
      <c r="ODR25" s="287"/>
      <c r="ODS25" s="287"/>
      <c r="ODT25" s="287"/>
      <c r="ODU25" s="287"/>
      <c r="ODV25" s="287"/>
      <c r="ODW25" s="287"/>
      <c r="ODX25" s="287"/>
      <c r="ODY25" s="287"/>
      <c r="ODZ25" s="287"/>
      <c r="OEA25" s="287"/>
      <c r="OEB25" s="287"/>
      <c r="OEC25" s="632"/>
      <c r="OED25" s="287"/>
      <c r="OEE25" s="633"/>
      <c r="OEF25" s="287"/>
      <c r="OEG25" s="287"/>
      <c r="OEH25" s="287"/>
      <c r="OEI25" s="287"/>
      <c r="OEJ25" s="287"/>
      <c r="OEK25" s="287"/>
      <c r="OEL25" s="287"/>
      <c r="OEM25" s="287"/>
      <c r="OEN25" s="287"/>
      <c r="OEO25" s="287"/>
      <c r="OEP25" s="287"/>
      <c r="OEQ25" s="287"/>
      <c r="OER25" s="287"/>
      <c r="OES25" s="632"/>
      <c r="OET25" s="287"/>
      <c r="OEU25" s="633"/>
      <c r="OEV25" s="287"/>
      <c r="OEW25" s="287"/>
      <c r="OEX25" s="287"/>
      <c r="OEY25" s="287"/>
      <c r="OEZ25" s="287"/>
      <c r="OFA25" s="287"/>
      <c r="OFB25" s="287"/>
      <c r="OFC25" s="287"/>
      <c r="OFD25" s="287"/>
      <c r="OFE25" s="287"/>
      <c r="OFF25" s="287"/>
      <c r="OFG25" s="287"/>
      <c r="OFH25" s="287"/>
      <c r="OFI25" s="632"/>
      <c r="OFJ25" s="287"/>
      <c r="OFK25" s="633"/>
      <c r="OFL25" s="287"/>
      <c r="OFM25" s="287"/>
      <c r="OFN25" s="287"/>
      <c r="OFO25" s="287"/>
      <c r="OFP25" s="287"/>
      <c r="OFQ25" s="287"/>
      <c r="OFR25" s="287"/>
      <c r="OFS25" s="287"/>
      <c r="OFT25" s="287"/>
      <c r="OFU25" s="287"/>
      <c r="OFV25" s="287"/>
      <c r="OFW25" s="287"/>
      <c r="OFX25" s="287"/>
      <c r="OFY25" s="632"/>
      <c r="OFZ25" s="287"/>
      <c r="OGA25" s="633"/>
      <c r="OGB25" s="287"/>
      <c r="OGC25" s="287"/>
      <c r="OGD25" s="287"/>
      <c r="OGE25" s="287"/>
      <c r="OGF25" s="287"/>
      <c r="OGG25" s="287"/>
      <c r="OGH25" s="287"/>
      <c r="OGI25" s="287"/>
      <c r="OGJ25" s="287"/>
      <c r="OGK25" s="287"/>
      <c r="OGL25" s="287"/>
      <c r="OGM25" s="287"/>
      <c r="OGN25" s="287"/>
      <c r="OGO25" s="632"/>
      <c r="OGP25" s="287"/>
      <c r="OGQ25" s="633"/>
      <c r="OGR25" s="287"/>
      <c r="OGS25" s="287"/>
      <c r="OGT25" s="287"/>
      <c r="OGU25" s="287"/>
      <c r="OGV25" s="287"/>
      <c r="OGW25" s="287"/>
      <c r="OGX25" s="287"/>
      <c r="OGY25" s="287"/>
      <c r="OGZ25" s="287"/>
      <c r="OHA25" s="287"/>
      <c r="OHB25" s="287"/>
      <c r="OHC25" s="287"/>
      <c r="OHD25" s="287"/>
      <c r="OHE25" s="632"/>
      <c r="OHF25" s="287"/>
      <c r="OHG25" s="633"/>
      <c r="OHH25" s="287"/>
      <c r="OHI25" s="287"/>
      <c r="OHJ25" s="287"/>
      <c r="OHK25" s="287"/>
      <c r="OHL25" s="287"/>
      <c r="OHM25" s="287"/>
      <c r="OHN25" s="287"/>
      <c r="OHO25" s="287"/>
      <c r="OHP25" s="287"/>
      <c r="OHQ25" s="287"/>
      <c r="OHR25" s="287"/>
      <c r="OHS25" s="287"/>
      <c r="OHT25" s="287"/>
      <c r="OHU25" s="632"/>
      <c r="OHV25" s="287"/>
      <c r="OHW25" s="633"/>
      <c r="OHX25" s="287"/>
      <c r="OHY25" s="287"/>
      <c r="OHZ25" s="287"/>
      <c r="OIA25" s="287"/>
      <c r="OIB25" s="287"/>
      <c r="OIC25" s="287"/>
      <c r="OID25" s="287"/>
      <c r="OIE25" s="287"/>
      <c r="OIF25" s="287"/>
      <c r="OIG25" s="287"/>
      <c r="OIH25" s="287"/>
      <c r="OII25" s="287"/>
      <c r="OIJ25" s="287"/>
      <c r="OIK25" s="632"/>
      <c r="OIL25" s="287"/>
      <c r="OIM25" s="633"/>
      <c r="OIN25" s="287"/>
      <c r="OIO25" s="287"/>
      <c r="OIP25" s="287"/>
      <c r="OIQ25" s="287"/>
      <c r="OIR25" s="287"/>
      <c r="OIS25" s="287"/>
      <c r="OIT25" s="287"/>
      <c r="OIU25" s="287"/>
      <c r="OIV25" s="287"/>
      <c r="OIW25" s="287"/>
      <c r="OIX25" s="287"/>
      <c r="OIY25" s="287"/>
      <c r="OIZ25" s="287"/>
      <c r="OJA25" s="632"/>
      <c r="OJB25" s="287"/>
      <c r="OJC25" s="633"/>
      <c r="OJD25" s="287"/>
      <c r="OJE25" s="287"/>
      <c r="OJF25" s="287"/>
      <c r="OJG25" s="287"/>
      <c r="OJH25" s="287"/>
      <c r="OJI25" s="287"/>
      <c r="OJJ25" s="287"/>
      <c r="OJK25" s="287"/>
      <c r="OJL25" s="287"/>
      <c r="OJM25" s="287"/>
      <c r="OJN25" s="287"/>
      <c r="OJO25" s="287"/>
      <c r="OJP25" s="287"/>
      <c r="OJQ25" s="632"/>
      <c r="OJR25" s="287"/>
      <c r="OJS25" s="633"/>
      <c r="OJT25" s="287"/>
      <c r="OJU25" s="287"/>
      <c r="OJV25" s="287"/>
      <c r="OJW25" s="287"/>
      <c r="OJX25" s="287"/>
      <c r="OJY25" s="287"/>
      <c r="OJZ25" s="287"/>
      <c r="OKA25" s="287"/>
      <c r="OKB25" s="287"/>
      <c r="OKC25" s="287"/>
      <c r="OKD25" s="287"/>
      <c r="OKE25" s="287"/>
      <c r="OKF25" s="287"/>
      <c r="OKG25" s="632"/>
      <c r="OKH25" s="287"/>
      <c r="OKI25" s="633"/>
      <c r="OKJ25" s="287"/>
      <c r="OKK25" s="287"/>
      <c r="OKL25" s="287"/>
      <c r="OKM25" s="287"/>
      <c r="OKN25" s="287"/>
      <c r="OKO25" s="287"/>
      <c r="OKP25" s="287"/>
      <c r="OKQ25" s="287"/>
      <c r="OKR25" s="287"/>
      <c r="OKS25" s="287"/>
      <c r="OKT25" s="287"/>
      <c r="OKU25" s="287"/>
      <c r="OKV25" s="287"/>
      <c r="OKW25" s="632"/>
      <c r="OKX25" s="287"/>
      <c r="OKY25" s="633"/>
      <c r="OKZ25" s="287"/>
      <c r="OLA25" s="287"/>
      <c r="OLB25" s="287"/>
      <c r="OLC25" s="287"/>
      <c r="OLD25" s="287"/>
      <c r="OLE25" s="287"/>
      <c r="OLF25" s="287"/>
      <c r="OLG25" s="287"/>
      <c r="OLH25" s="287"/>
      <c r="OLI25" s="287"/>
      <c r="OLJ25" s="287"/>
      <c r="OLK25" s="287"/>
      <c r="OLL25" s="287"/>
      <c r="OLM25" s="632"/>
      <c r="OLN25" s="287"/>
      <c r="OLO25" s="633"/>
      <c r="OLP25" s="287"/>
      <c r="OLQ25" s="287"/>
      <c r="OLR25" s="287"/>
      <c r="OLS25" s="287"/>
      <c r="OLT25" s="287"/>
      <c r="OLU25" s="287"/>
      <c r="OLV25" s="287"/>
      <c r="OLW25" s="287"/>
      <c r="OLX25" s="287"/>
      <c r="OLY25" s="287"/>
      <c r="OLZ25" s="287"/>
      <c r="OMA25" s="287"/>
      <c r="OMB25" s="287"/>
      <c r="OMC25" s="632"/>
      <c r="OMD25" s="287"/>
      <c r="OME25" s="633"/>
      <c r="OMF25" s="287"/>
      <c r="OMG25" s="287"/>
      <c r="OMH25" s="287"/>
      <c r="OMI25" s="287"/>
      <c r="OMJ25" s="287"/>
      <c r="OMK25" s="287"/>
      <c r="OML25" s="287"/>
      <c r="OMM25" s="287"/>
      <c r="OMN25" s="287"/>
      <c r="OMO25" s="287"/>
      <c r="OMP25" s="287"/>
      <c r="OMQ25" s="287"/>
      <c r="OMR25" s="287"/>
      <c r="OMS25" s="632"/>
      <c r="OMT25" s="287"/>
      <c r="OMU25" s="633"/>
      <c r="OMV25" s="287"/>
      <c r="OMW25" s="287"/>
      <c r="OMX25" s="287"/>
      <c r="OMY25" s="287"/>
      <c r="OMZ25" s="287"/>
      <c r="ONA25" s="287"/>
      <c r="ONB25" s="287"/>
      <c r="ONC25" s="287"/>
      <c r="OND25" s="287"/>
      <c r="ONE25" s="287"/>
      <c r="ONF25" s="287"/>
      <c r="ONG25" s="287"/>
      <c r="ONH25" s="287"/>
      <c r="ONI25" s="632"/>
      <c r="ONJ25" s="287"/>
      <c r="ONK25" s="633"/>
      <c r="ONL25" s="287"/>
      <c r="ONM25" s="287"/>
      <c r="ONN25" s="287"/>
      <c r="ONO25" s="287"/>
      <c r="ONP25" s="287"/>
      <c r="ONQ25" s="287"/>
      <c r="ONR25" s="287"/>
      <c r="ONS25" s="287"/>
      <c r="ONT25" s="287"/>
      <c r="ONU25" s="287"/>
      <c r="ONV25" s="287"/>
      <c r="ONW25" s="287"/>
      <c r="ONX25" s="287"/>
      <c r="ONY25" s="632"/>
      <c r="ONZ25" s="287"/>
      <c r="OOA25" s="633"/>
      <c r="OOB25" s="287"/>
      <c r="OOC25" s="287"/>
      <c r="OOD25" s="287"/>
      <c r="OOE25" s="287"/>
      <c r="OOF25" s="287"/>
      <c r="OOG25" s="287"/>
      <c r="OOH25" s="287"/>
      <c r="OOI25" s="287"/>
      <c r="OOJ25" s="287"/>
      <c r="OOK25" s="287"/>
      <c r="OOL25" s="287"/>
      <c r="OOM25" s="287"/>
      <c r="OON25" s="287"/>
      <c r="OOO25" s="632"/>
      <c r="OOP25" s="287"/>
      <c r="OOQ25" s="633"/>
      <c r="OOR25" s="287"/>
      <c r="OOS25" s="287"/>
      <c r="OOT25" s="287"/>
      <c r="OOU25" s="287"/>
      <c r="OOV25" s="287"/>
      <c r="OOW25" s="287"/>
      <c r="OOX25" s="287"/>
      <c r="OOY25" s="287"/>
      <c r="OOZ25" s="287"/>
      <c r="OPA25" s="287"/>
      <c r="OPB25" s="287"/>
      <c r="OPC25" s="287"/>
      <c r="OPD25" s="287"/>
      <c r="OPE25" s="632"/>
      <c r="OPF25" s="287"/>
      <c r="OPG25" s="633"/>
      <c r="OPH25" s="287"/>
      <c r="OPI25" s="287"/>
      <c r="OPJ25" s="287"/>
      <c r="OPK25" s="287"/>
      <c r="OPL25" s="287"/>
      <c r="OPM25" s="287"/>
      <c r="OPN25" s="287"/>
      <c r="OPO25" s="287"/>
      <c r="OPP25" s="287"/>
      <c r="OPQ25" s="287"/>
      <c r="OPR25" s="287"/>
      <c r="OPS25" s="287"/>
      <c r="OPT25" s="287"/>
      <c r="OPU25" s="632"/>
      <c r="OPV25" s="287"/>
      <c r="OPW25" s="633"/>
      <c r="OPX25" s="287"/>
      <c r="OPY25" s="287"/>
      <c r="OPZ25" s="287"/>
      <c r="OQA25" s="287"/>
      <c r="OQB25" s="287"/>
      <c r="OQC25" s="287"/>
      <c r="OQD25" s="287"/>
      <c r="OQE25" s="287"/>
      <c r="OQF25" s="287"/>
      <c r="OQG25" s="287"/>
      <c r="OQH25" s="287"/>
      <c r="OQI25" s="287"/>
      <c r="OQJ25" s="287"/>
      <c r="OQK25" s="632"/>
      <c r="OQL25" s="287"/>
      <c r="OQM25" s="633"/>
      <c r="OQN25" s="287"/>
      <c r="OQO25" s="287"/>
      <c r="OQP25" s="287"/>
      <c r="OQQ25" s="287"/>
      <c r="OQR25" s="287"/>
      <c r="OQS25" s="287"/>
      <c r="OQT25" s="287"/>
      <c r="OQU25" s="287"/>
      <c r="OQV25" s="287"/>
      <c r="OQW25" s="287"/>
      <c r="OQX25" s="287"/>
      <c r="OQY25" s="287"/>
      <c r="OQZ25" s="287"/>
      <c r="ORA25" s="632"/>
      <c r="ORB25" s="287"/>
      <c r="ORC25" s="633"/>
      <c r="ORD25" s="287"/>
      <c r="ORE25" s="287"/>
      <c r="ORF25" s="287"/>
      <c r="ORG25" s="287"/>
      <c r="ORH25" s="287"/>
      <c r="ORI25" s="287"/>
      <c r="ORJ25" s="287"/>
      <c r="ORK25" s="287"/>
      <c r="ORL25" s="287"/>
      <c r="ORM25" s="287"/>
      <c r="ORN25" s="287"/>
      <c r="ORO25" s="287"/>
      <c r="ORP25" s="287"/>
      <c r="ORQ25" s="632"/>
      <c r="ORR25" s="287"/>
      <c r="ORS25" s="633"/>
      <c r="ORT25" s="287"/>
      <c r="ORU25" s="287"/>
      <c r="ORV25" s="287"/>
      <c r="ORW25" s="287"/>
      <c r="ORX25" s="287"/>
      <c r="ORY25" s="287"/>
      <c r="ORZ25" s="287"/>
      <c r="OSA25" s="287"/>
      <c r="OSB25" s="287"/>
      <c r="OSC25" s="287"/>
      <c r="OSD25" s="287"/>
      <c r="OSE25" s="287"/>
      <c r="OSF25" s="287"/>
      <c r="OSG25" s="632"/>
      <c r="OSH25" s="287"/>
      <c r="OSI25" s="633"/>
      <c r="OSJ25" s="287"/>
      <c r="OSK25" s="287"/>
      <c r="OSL25" s="287"/>
      <c r="OSM25" s="287"/>
      <c r="OSN25" s="287"/>
      <c r="OSO25" s="287"/>
      <c r="OSP25" s="287"/>
      <c r="OSQ25" s="287"/>
      <c r="OSR25" s="287"/>
      <c r="OSS25" s="287"/>
      <c r="OST25" s="287"/>
      <c r="OSU25" s="287"/>
      <c r="OSV25" s="287"/>
      <c r="OSW25" s="632"/>
      <c r="OSX25" s="287"/>
      <c r="OSY25" s="633"/>
      <c r="OSZ25" s="287"/>
      <c r="OTA25" s="287"/>
      <c r="OTB25" s="287"/>
      <c r="OTC25" s="287"/>
      <c r="OTD25" s="287"/>
      <c r="OTE25" s="287"/>
      <c r="OTF25" s="287"/>
      <c r="OTG25" s="287"/>
      <c r="OTH25" s="287"/>
      <c r="OTI25" s="287"/>
      <c r="OTJ25" s="287"/>
      <c r="OTK25" s="287"/>
      <c r="OTL25" s="287"/>
      <c r="OTM25" s="632"/>
      <c r="OTN25" s="287"/>
      <c r="OTO25" s="633"/>
      <c r="OTP25" s="287"/>
      <c r="OTQ25" s="287"/>
      <c r="OTR25" s="287"/>
      <c r="OTS25" s="287"/>
      <c r="OTT25" s="287"/>
      <c r="OTU25" s="287"/>
      <c r="OTV25" s="287"/>
      <c r="OTW25" s="287"/>
      <c r="OTX25" s="287"/>
      <c r="OTY25" s="287"/>
      <c r="OTZ25" s="287"/>
      <c r="OUA25" s="287"/>
      <c r="OUB25" s="287"/>
      <c r="OUC25" s="632"/>
      <c r="OUD25" s="287"/>
      <c r="OUE25" s="633"/>
      <c r="OUF25" s="287"/>
      <c r="OUG25" s="287"/>
      <c r="OUH25" s="287"/>
      <c r="OUI25" s="287"/>
      <c r="OUJ25" s="287"/>
      <c r="OUK25" s="287"/>
      <c r="OUL25" s="287"/>
      <c r="OUM25" s="287"/>
      <c r="OUN25" s="287"/>
      <c r="OUO25" s="287"/>
      <c r="OUP25" s="287"/>
      <c r="OUQ25" s="287"/>
      <c r="OUR25" s="287"/>
      <c r="OUS25" s="632"/>
      <c r="OUT25" s="287"/>
      <c r="OUU25" s="633"/>
      <c r="OUV25" s="287"/>
      <c r="OUW25" s="287"/>
      <c r="OUX25" s="287"/>
      <c r="OUY25" s="287"/>
      <c r="OUZ25" s="287"/>
      <c r="OVA25" s="287"/>
      <c r="OVB25" s="287"/>
      <c r="OVC25" s="287"/>
      <c r="OVD25" s="287"/>
      <c r="OVE25" s="287"/>
      <c r="OVF25" s="287"/>
      <c r="OVG25" s="287"/>
      <c r="OVH25" s="287"/>
      <c r="OVI25" s="632"/>
      <c r="OVJ25" s="287"/>
      <c r="OVK25" s="633"/>
      <c r="OVL25" s="287"/>
      <c r="OVM25" s="287"/>
      <c r="OVN25" s="287"/>
      <c r="OVO25" s="287"/>
      <c r="OVP25" s="287"/>
      <c r="OVQ25" s="287"/>
      <c r="OVR25" s="287"/>
      <c r="OVS25" s="287"/>
      <c r="OVT25" s="287"/>
      <c r="OVU25" s="287"/>
      <c r="OVV25" s="287"/>
      <c r="OVW25" s="287"/>
      <c r="OVX25" s="287"/>
      <c r="OVY25" s="632"/>
      <c r="OVZ25" s="287"/>
      <c r="OWA25" s="633"/>
      <c r="OWB25" s="287"/>
      <c r="OWC25" s="287"/>
      <c r="OWD25" s="287"/>
      <c r="OWE25" s="287"/>
      <c r="OWF25" s="287"/>
      <c r="OWG25" s="287"/>
      <c r="OWH25" s="287"/>
      <c r="OWI25" s="287"/>
      <c r="OWJ25" s="287"/>
      <c r="OWK25" s="287"/>
      <c r="OWL25" s="287"/>
      <c r="OWM25" s="287"/>
      <c r="OWN25" s="287"/>
      <c r="OWO25" s="632"/>
      <c r="OWP25" s="287"/>
      <c r="OWQ25" s="633"/>
      <c r="OWR25" s="287"/>
      <c r="OWS25" s="287"/>
      <c r="OWT25" s="287"/>
      <c r="OWU25" s="287"/>
      <c r="OWV25" s="287"/>
      <c r="OWW25" s="287"/>
      <c r="OWX25" s="287"/>
      <c r="OWY25" s="287"/>
      <c r="OWZ25" s="287"/>
      <c r="OXA25" s="287"/>
      <c r="OXB25" s="287"/>
      <c r="OXC25" s="287"/>
      <c r="OXD25" s="287"/>
      <c r="OXE25" s="632"/>
      <c r="OXF25" s="287"/>
      <c r="OXG25" s="633"/>
      <c r="OXH25" s="287"/>
      <c r="OXI25" s="287"/>
      <c r="OXJ25" s="287"/>
      <c r="OXK25" s="287"/>
      <c r="OXL25" s="287"/>
      <c r="OXM25" s="287"/>
      <c r="OXN25" s="287"/>
      <c r="OXO25" s="287"/>
      <c r="OXP25" s="287"/>
      <c r="OXQ25" s="287"/>
      <c r="OXR25" s="287"/>
      <c r="OXS25" s="287"/>
      <c r="OXT25" s="287"/>
      <c r="OXU25" s="632"/>
      <c r="OXV25" s="287"/>
      <c r="OXW25" s="633"/>
      <c r="OXX25" s="287"/>
      <c r="OXY25" s="287"/>
      <c r="OXZ25" s="287"/>
      <c r="OYA25" s="287"/>
      <c r="OYB25" s="287"/>
      <c r="OYC25" s="287"/>
      <c r="OYD25" s="287"/>
      <c r="OYE25" s="287"/>
      <c r="OYF25" s="287"/>
      <c r="OYG25" s="287"/>
      <c r="OYH25" s="287"/>
      <c r="OYI25" s="287"/>
      <c r="OYJ25" s="287"/>
      <c r="OYK25" s="632"/>
      <c r="OYL25" s="287"/>
      <c r="OYM25" s="633"/>
      <c r="OYN25" s="287"/>
      <c r="OYO25" s="287"/>
      <c r="OYP25" s="287"/>
      <c r="OYQ25" s="287"/>
      <c r="OYR25" s="287"/>
      <c r="OYS25" s="287"/>
      <c r="OYT25" s="287"/>
      <c r="OYU25" s="287"/>
      <c r="OYV25" s="287"/>
      <c r="OYW25" s="287"/>
      <c r="OYX25" s="287"/>
      <c r="OYY25" s="287"/>
      <c r="OYZ25" s="287"/>
      <c r="OZA25" s="632"/>
      <c r="OZB25" s="287"/>
      <c r="OZC25" s="633"/>
      <c r="OZD25" s="287"/>
      <c r="OZE25" s="287"/>
      <c r="OZF25" s="287"/>
      <c r="OZG25" s="287"/>
      <c r="OZH25" s="287"/>
      <c r="OZI25" s="287"/>
      <c r="OZJ25" s="287"/>
      <c r="OZK25" s="287"/>
      <c r="OZL25" s="287"/>
      <c r="OZM25" s="287"/>
      <c r="OZN25" s="287"/>
      <c r="OZO25" s="287"/>
      <c r="OZP25" s="287"/>
      <c r="OZQ25" s="632"/>
      <c r="OZR25" s="287"/>
      <c r="OZS25" s="633"/>
      <c r="OZT25" s="287"/>
      <c r="OZU25" s="287"/>
      <c r="OZV25" s="287"/>
      <c r="OZW25" s="287"/>
      <c r="OZX25" s="287"/>
      <c r="OZY25" s="287"/>
      <c r="OZZ25" s="287"/>
      <c r="PAA25" s="287"/>
      <c r="PAB25" s="287"/>
      <c r="PAC25" s="287"/>
      <c r="PAD25" s="287"/>
      <c r="PAE25" s="287"/>
      <c r="PAF25" s="287"/>
      <c r="PAG25" s="632"/>
      <c r="PAH25" s="287"/>
      <c r="PAI25" s="633"/>
      <c r="PAJ25" s="287"/>
      <c r="PAK25" s="287"/>
      <c r="PAL25" s="287"/>
      <c r="PAM25" s="287"/>
      <c r="PAN25" s="287"/>
      <c r="PAO25" s="287"/>
      <c r="PAP25" s="287"/>
      <c r="PAQ25" s="287"/>
      <c r="PAR25" s="287"/>
      <c r="PAS25" s="287"/>
      <c r="PAT25" s="287"/>
      <c r="PAU25" s="287"/>
      <c r="PAV25" s="287"/>
      <c r="PAW25" s="632"/>
      <c r="PAX25" s="287"/>
      <c r="PAY25" s="633"/>
      <c r="PAZ25" s="287"/>
      <c r="PBA25" s="287"/>
      <c r="PBB25" s="287"/>
      <c r="PBC25" s="287"/>
      <c r="PBD25" s="287"/>
      <c r="PBE25" s="287"/>
      <c r="PBF25" s="287"/>
      <c r="PBG25" s="287"/>
      <c r="PBH25" s="287"/>
      <c r="PBI25" s="287"/>
      <c r="PBJ25" s="287"/>
      <c r="PBK25" s="287"/>
      <c r="PBL25" s="287"/>
      <c r="PBM25" s="632"/>
      <c r="PBN25" s="287"/>
      <c r="PBO25" s="633"/>
      <c r="PBP25" s="287"/>
      <c r="PBQ25" s="287"/>
      <c r="PBR25" s="287"/>
      <c r="PBS25" s="287"/>
      <c r="PBT25" s="287"/>
      <c r="PBU25" s="287"/>
      <c r="PBV25" s="287"/>
      <c r="PBW25" s="287"/>
      <c r="PBX25" s="287"/>
      <c r="PBY25" s="287"/>
      <c r="PBZ25" s="287"/>
      <c r="PCA25" s="287"/>
      <c r="PCB25" s="287"/>
      <c r="PCC25" s="632"/>
      <c r="PCD25" s="287"/>
      <c r="PCE25" s="633"/>
      <c r="PCF25" s="287"/>
      <c r="PCG25" s="287"/>
      <c r="PCH25" s="287"/>
      <c r="PCI25" s="287"/>
      <c r="PCJ25" s="287"/>
      <c r="PCK25" s="287"/>
      <c r="PCL25" s="287"/>
      <c r="PCM25" s="287"/>
      <c r="PCN25" s="287"/>
      <c r="PCO25" s="287"/>
      <c r="PCP25" s="287"/>
      <c r="PCQ25" s="287"/>
      <c r="PCR25" s="287"/>
      <c r="PCS25" s="632"/>
      <c r="PCT25" s="287"/>
      <c r="PCU25" s="633"/>
      <c r="PCV25" s="287"/>
      <c r="PCW25" s="287"/>
      <c r="PCX25" s="287"/>
      <c r="PCY25" s="287"/>
      <c r="PCZ25" s="287"/>
      <c r="PDA25" s="287"/>
      <c r="PDB25" s="287"/>
      <c r="PDC25" s="287"/>
      <c r="PDD25" s="287"/>
      <c r="PDE25" s="287"/>
      <c r="PDF25" s="287"/>
      <c r="PDG25" s="287"/>
      <c r="PDH25" s="287"/>
      <c r="PDI25" s="632"/>
      <c r="PDJ25" s="287"/>
      <c r="PDK25" s="633"/>
      <c r="PDL25" s="287"/>
      <c r="PDM25" s="287"/>
      <c r="PDN25" s="287"/>
      <c r="PDO25" s="287"/>
      <c r="PDP25" s="287"/>
      <c r="PDQ25" s="287"/>
      <c r="PDR25" s="287"/>
      <c r="PDS25" s="287"/>
      <c r="PDT25" s="287"/>
      <c r="PDU25" s="287"/>
      <c r="PDV25" s="287"/>
      <c r="PDW25" s="287"/>
      <c r="PDX25" s="287"/>
      <c r="PDY25" s="632"/>
      <c r="PDZ25" s="287"/>
      <c r="PEA25" s="633"/>
      <c r="PEB25" s="287"/>
      <c r="PEC25" s="287"/>
      <c r="PED25" s="287"/>
      <c r="PEE25" s="287"/>
      <c r="PEF25" s="287"/>
      <c r="PEG25" s="287"/>
      <c r="PEH25" s="287"/>
      <c r="PEI25" s="287"/>
      <c r="PEJ25" s="287"/>
      <c r="PEK25" s="287"/>
      <c r="PEL25" s="287"/>
      <c r="PEM25" s="287"/>
      <c r="PEN25" s="287"/>
      <c r="PEO25" s="632"/>
      <c r="PEP25" s="287"/>
      <c r="PEQ25" s="633"/>
      <c r="PER25" s="287"/>
      <c r="PES25" s="287"/>
      <c r="PET25" s="287"/>
      <c r="PEU25" s="287"/>
      <c r="PEV25" s="287"/>
      <c r="PEW25" s="287"/>
      <c r="PEX25" s="287"/>
      <c r="PEY25" s="287"/>
      <c r="PEZ25" s="287"/>
      <c r="PFA25" s="287"/>
      <c r="PFB25" s="287"/>
      <c r="PFC25" s="287"/>
      <c r="PFD25" s="287"/>
      <c r="PFE25" s="632"/>
      <c r="PFF25" s="287"/>
      <c r="PFG25" s="633"/>
      <c r="PFH25" s="287"/>
      <c r="PFI25" s="287"/>
      <c r="PFJ25" s="287"/>
      <c r="PFK25" s="287"/>
      <c r="PFL25" s="287"/>
      <c r="PFM25" s="287"/>
      <c r="PFN25" s="287"/>
      <c r="PFO25" s="287"/>
      <c r="PFP25" s="287"/>
      <c r="PFQ25" s="287"/>
      <c r="PFR25" s="287"/>
      <c r="PFS25" s="287"/>
      <c r="PFT25" s="287"/>
      <c r="PFU25" s="632"/>
      <c r="PFV25" s="287"/>
      <c r="PFW25" s="633"/>
      <c r="PFX25" s="287"/>
      <c r="PFY25" s="287"/>
      <c r="PFZ25" s="287"/>
      <c r="PGA25" s="287"/>
      <c r="PGB25" s="287"/>
      <c r="PGC25" s="287"/>
      <c r="PGD25" s="287"/>
      <c r="PGE25" s="287"/>
      <c r="PGF25" s="287"/>
      <c r="PGG25" s="287"/>
      <c r="PGH25" s="287"/>
      <c r="PGI25" s="287"/>
      <c r="PGJ25" s="287"/>
      <c r="PGK25" s="632"/>
      <c r="PGL25" s="287"/>
      <c r="PGM25" s="633"/>
      <c r="PGN25" s="287"/>
      <c r="PGO25" s="287"/>
      <c r="PGP25" s="287"/>
      <c r="PGQ25" s="287"/>
      <c r="PGR25" s="287"/>
      <c r="PGS25" s="287"/>
      <c r="PGT25" s="287"/>
      <c r="PGU25" s="287"/>
      <c r="PGV25" s="287"/>
      <c r="PGW25" s="287"/>
      <c r="PGX25" s="287"/>
      <c r="PGY25" s="287"/>
      <c r="PGZ25" s="287"/>
      <c r="PHA25" s="632"/>
      <c r="PHB25" s="287"/>
      <c r="PHC25" s="633"/>
      <c r="PHD25" s="287"/>
      <c r="PHE25" s="287"/>
      <c r="PHF25" s="287"/>
      <c r="PHG25" s="287"/>
      <c r="PHH25" s="287"/>
      <c r="PHI25" s="287"/>
      <c r="PHJ25" s="287"/>
      <c r="PHK25" s="287"/>
      <c r="PHL25" s="287"/>
      <c r="PHM25" s="287"/>
      <c r="PHN25" s="287"/>
      <c r="PHO25" s="287"/>
      <c r="PHP25" s="287"/>
      <c r="PHQ25" s="632"/>
      <c r="PHR25" s="287"/>
      <c r="PHS25" s="633"/>
      <c r="PHT25" s="287"/>
      <c r="PHU25" s="287"/>
      <c r="PHV25" s="287"/>
      <c r="PHW25" s="287"/>
      <c r="PHX25" s="287"/>
      <c r="PHY25" s="287"/>
      <c r="PHZ25" s="287"/>
      <c r="PIA25" s="287"/>
      <c r="PIB25" s="287"/>
      <c r="PIC25" s="287"/>
      <c r="PID25" s="287"/>
      <c r="PIE25" s="287"/>
      <c r="PIF25" s="287"/>
      <c r="PIG25" s="632"/>
      <c r="PIH25" s="287"/>
      <c r="PII25" s="633"/>
      <c r="PIJ25" s="287"/>
      <c r="PIK25" s="287"/>
      <c r="PIL25" s="287"/>
      <c r="PIM25" s="287"/>
      <c r="PIN25" s="287"/>
      <c r="PIO25" s="287"/>
      <c r="PIP25" s="287"/>
      <c r="PIQ25" s="287"/>
      <c r="PIR25" s="287"/>
      <c r="PIS25" s="287"/>
      <c r="PIT25" s="287"/>
      <c r="PIU25" s="287"/>
      <c r="PIV25" s="287"/>
      <c r="PIW25" s="632"/>
      <c r="PIX25" s="287"/>
      <c r="PIY25" s="633"/>
      <c r="PIZ25" s="287"/>
      <c r="PJA25" s="287"/>
      <c r="PJB25" s="287"/>
      <c r="PJC25" s="287"/>
      <c r="PJD25" s="287"/>
      <c r="PJE25" s="287"/>
      <c r="PJF25" s="287"/>
      <c r="PJG25" s="287"/>
      <c r="PJH25" s="287"/>
      <c r="PJI25" s="287"/>
      <c r="PJJ25" s="287"/>
      <c r="PJK25" s="287"/>
      <c r="PJL25" s="287"/>
      <c r="PJM25" s="632"/>
      <c r="PJN25" s="287"/>
      <c r="PJO25" s="633"/>
      <c r="PJP25" s="287"/>
      <c r="PJQ25" s="287"/>
      <c r="PJR25" s="287"/>
      <c r="PJS25" s="287"/>
      <c r="PJT25" s="287"/>
      <c r="PJU25" s="287"/>
      <c r="PJV25" s="287"/>
      <c r="PJW25" s="287"/>
      <c r="PJX25" s="287"/>
      <c r="PJY25" s="287"/>
      <c r="PJZ25" s="287"/>
      <c r="PKA25" s="287"/>
      <c r="PKB25" s="287"/>
      <c r="PKC25" s="632"/>
      <c r="PKD25" s="287"/>
      <c r="PKE25" s="633"/>
      <c r="PKF25" s="287"/>
      <c r="PKG25" s="287"/>
      <c r="PKH25" s="287"/>
      <c r="PKI25" s="287"/>
      <c r="PKJ25" s="287"/>
      <c r="PKK25" s="287"/>
      <c r="PKL25" s="287"/>
      <c r="PKM25" s="287"/>
      <c r="PKN25" s="287"/>
      <c r="PKO25" s="287"/>
      <c r="PKP25" s="287"/>
      <c r="PKQ25" s="287"/>
      <c r="PKR25" s="287"/>
      <c r="PKS25" s="632"/>
      <c r="PKT25" s="287"/>
      <c r="PKU25" s="633"/>
      <c r="PKV25" s="287"/>
      <c r="PKW25" s="287"/>
      <c r="PKX25" s="287"/>
      <c r="PKY25" s="287"/>
      <c r="PKZ25" s="287"/>
      <c r="PLA25" s="287"/>
      <c r="PLB25" s="287"/>
      <c r="PLC25" s="287"/>
      <c r="PLD25" s="287"/>
      <c r="PLE25" s="287"/>
      <c r="PLF25" s="287"/>
      <c r="PLG25" s="287"/>
      <c r="PLH25" s="287"/>
      <c r="PLI25" s="632"/>
      <c r="PLJ25" s="287"/>
      <c r="PLK25" s="633"/>
      <c r="PLL25" s="287"/>
      <c r="PLM25" s="287"/>
      <c r="PLN25" s="287"/>
      <c r="PLO25" s="287"/>
      <c r="PLP25" s="287"/>
      <c r="PLQ25" s="287"/>
      <c r="PLR25" s="287"/>
      <c r="PLS25" s="287"/>
      <c r="PLT25" s="287"/>
      <c r="PLU25" s="287"/>
      <c r="PLV25" s="287"/>
      <c r="PLW25" s="287"/>
      <c r="PLX25" s="287"/>
      <c r="PLY25" s="632"/>
      <c r="PLZ25" s="287"/>
      <c r="PMA25" s="633"/>
      <c r="PMB25" s="287"/>
      <c r="PMC25" s="287"/>
      <c r="PMD25" s="287"/>
      <c r="PME25" s="287"/>
      <c r="PMF25" s="287"/>
      <c r="PMG25" s="287"/>
      <c r="PMH25" s="287"/>
      <c r="PMI25" s="287"/>
      <c r="PMJ25" s="287"/>
      <c r="PMK25" s="287"/>
      <c r="PML25" s="287"/>
      <c r="PMM25" s="287"/>
      <c r="PMN25" s="287"/>
      <c r="PMO25" s="632"/>
      <c r="PMP25" s="287"/>
      <c r="PMQ25" s="633"/>
      <c r="PMR25" s="287"/>
      <c r="PMS25" s="287"/>
      <c r="PMT25" s="287"/>
      <c r="PMU25" s="287"/>
      <c r="PMV25" s="287"/>
      <c r="PMW25" s="287"/>
      <c r="PMX25" s="287"/>
      <c r="PMY25" s="287"/>
      <c r="PMZ25" s="287"/>
      <c r="PNA25" s="287"/>
      <c r="PNB25" s="287"/>
      <c r="PNC25" s="287"/>
      <c r="PND25" s="287"/>
      <c r="PNE25" s="632"/>
      <c r="PNF25" s="287"/>
      <c r="PNG25" s="633"/>
      <c r="PNH25" s="287"/>
      <c r="PNI25" s="287"/>
      <c r="PNJ25" s="287"/>
      <c r="PNK25" s="287"/>
      <c r="PNL25" s="287"/>
      <c r="PNM25" s="287"/>
      <c r="PNN25" s="287"/>
      <c r="PNO25" s="287"/>
      <c r="PNP25" s="287"/>
      <c r="PNQ25" s="287"/>
      <c r="PNR25" s="287"/>
      <c r="PNS25" s="287"/>
      <c r="PNT25" s="287"/>
      <c r="PNU25" s="632"/>
      <c r="PNV25" s="287"/>
      <c r="PNW25" s="633"/>
      <c r="PNX25" s="287"/>
      <c r="PNY25" s="287"/>
      <c r="PNZ25" s="287"/>
      <c r="POA25" s="287"/>
      <c r="POB25" s="287"/>
      <c r="POC25" s="287"/>
      <c r="POD25" s="287"/>
      <c r="POE25" s="287"/>
      <c r="POF25" s="287"/>
      <c r="POG25" s="287"/>
      <c r="POH25" s="287"/>
      <c r="POI25" s="287"/>
      <c r="POJ25" s="287"/>
      <c r="POK25" s="632"/>
      <c r="POL25" s="287"/>
      <c r="POM25" s="633"/>
      <c r="PON25" s="287"/>
      <c r="POO25" s="287"/>
      <c r="POP25" s="287"/>
      <c r="POQ25" s="287"/>
      <c r="POR25" s="287"/>
      <c r="POS25" s="287"/>
      <c r="POT25" s="287"/>
      <c r="POU25" s="287"/>
      <c r="POV25" s="287"/>
      <c r="POW25" s="287"/>
      <c r="POX25" s="287"/>
      <c r="POY25" s="287"/>
      <c r="POZ25" s="287"/>
      <c r="PPA25" s="632"/>
      <c r="PPB25" s="287"/>
      <c r="PPC25" s="633"/>
      <c r="PPD25" s="287"/>
      <c r="PPE25" s="287"/>
      <c r="PPF25" s="287"/>
      <c r="PPG25" s="287"/>
      <c r="PPH25" s="287"/>
      <c r="PPI25" s="287"/>
      <c r="PPJ25" s="287"/>
      <c r="PPK25" s="287"/>
      <c r="PPL25" s="287"/>
      <c r="PPM25" s="287"/>
      <c r="PPN25" s="287"/>
      <c r="PPO25" s="287"/>
      <c r="PPP25" s="287"/>
      <c r="PPQ25" s="632"/>
      <c r="PPR25" s="287"/>
      <c r="PPS25" s="633"/>
      <c r="PPT25" s="287"/>
      <c r="PPU25" s="287"/>
      <c r="PPV25" s="287"/>
      <c r="PPW25" s="287"/>
      <c r="PPX25" s="287"/>
      <c r="PPY25" s="287"/>
      <c r="PPZ25" s="287"/>
      <c r="PQA25" s="287"/>
      <c r="PQB25" s="287"/>
      <c r="PQC25" s="287"/>
      <c r="PQD25" s="287"/>
      <c r="PQE25" s="287"/>
      <c r="PQF25" s="287"/>
      <c r="PQG25" s="632"/>
      <c r="PQH25" s="287"/>
      <c r="PQI25" s="633"/>
      <c r="PQJ25" s="287"/>
      <c r="PQK25" s="287"/>
      <c r="PQL25" s="287"/>
      <c r="PQM25" s="287"/>
      <c r="PQN25" s="287"/>
      <c r="PQO25" s="287"/>
      <c r="PQP25" s="287"/>
      <c r="PQQ25" s="287"/>
      <c r="PQR25" s="287"/>
      <c r="PQS25" s="287"/>
      <c r="PQT25" s="287"/>
      <c r="PQU25" s="287"/>
      <c r="PQV25" s="287"/>
      <c r="PQW25" s="632"/>
      <c r="PQX25" s="287"/>
      <c r="PQY25" s="633"/>
      <c r="PQZ25" s="287"/>
      <c r="PRA25" s="287"/>
      <c r="PRB25" s="287"/>
      <c r="PRC25" s="287"/>
      <c r="PRD25" s="287"/>
      <c r="PRE25" s="287"/>
      <c r="PRF25" s="287"/>
      <c r="PRG25" s="287"/>
      <c r="PRH25" s="287"/>
      <c r="PRI25" s="287"/>
      <c r="PRJ25" s="287"/>
      <c r="PRK25" s="287"/>
      <c r="PRL25" s="287"/>
      <c r="PRM25" s="632"/>
      <c r="PRN25" s="287"/>
      <c r="PRO25" s="633"/>
      <c r="PRP25" s="287"/>
      <c r="PRQ25" s="287"/>
      <c r="PRR25" s="287"/>
      <c r="PRS25" s="287"/>
      <c r="PRT25" s="287"/>
      <c r="PRU25" s="287"/>
      <c r="PRV25" s="287"/>
      <c r="PRW25" s="287"/>
      <c r="PRX25" s="287"/>
      <c r="PRY25" s="287"/>
      <c r="PRZ25" s="287"/>
      <c r="PSA25" s="287"/>
      <c r="PSB25" s="287"/>
      <c r="PSC25" s="632"/>
      <c r="PSD25" s="287"/>
      <c r="PSE25" s="633"/>
      <c r="PSF25" s="287"/>
      <c r="PSG25" s="287"/>
      <c r="PSH25" s="287"/>
      <c r="PSI25" s="287"/>
      <c r="PSJ25" s="287"/>
      <c r="PSK25" s="287"/>
      <c r="PSL25" s="287"/>
      <c r="PSM25" s="287"/>
      <c r="PSN25" s="287"/>
      <c r="PSO25" s="287"/>
      <c r="PSP25" s="287"/>
      <c r="PSQ25" s="287"/>
      <c r="PSR25" s="287"/>
      <c r="PSS25" s="632"/>
      <c r="PST25" s="287"/>
      <c r="PSU25" s="633"/>
      <c r="PSV25" s="287"/>
      <c r="PSW25" s="287"/>
      <c r="PSX25" s="287"/>
      <c r="PSY25" s="287"/>
      <c r="PSZ25" s="287"/>
      <c r="PTA25" s="287"/>
      <c r="PTB25" s="287"/>
      <c r="PTC25" s="287"/>
      <c r="PTD25" s="287"/>
      <c r="PTE25" s="287"/>
      <c r="PTF25" s="287"/>
      <c r="PTG25" s="287"/>
      <c r="PTH25" s="287"/>
      <c r="PTI25" s="632"/>
      <c r="PTJ25" s="287"/>
      <c r="PTK25" s="633"/>
      <c r="PTL25" s="287"/>
      <c r="PTM25" s="287"/>
      <c r="PTN25" s="287"/>
      <c r="PTO25" s="287"/>
      <c r="PTP25" s="287"/>
      <c r="PTQ25" s="287"/>
      <c r="PTR25" s="287"/>
      <c r="PTS25" s="287"/>
      <c r="PTT25" s="287"/>
      <c r="PTU25" s="287"/>
      <c r="PTV25" s="287"/>
      <c r="PTW25" s="287"/>
      <c r="PTX25" s="287"/>
      <c r="PTY25" s="632"/>
      <c r="PTZ25" s="287"/>
      <c r="PUA25" s="633"/>
      <c r="PUB25" s="287"/>
      <c r="PUC25" s="287"/>
      <c r="PUD25" s="287"/>
      <c r="PUE25" s="287"/>
      <c r="PUF25" s="287"/>
      <c r="PUG25" s="287"/>
      <c r="PUH25" s="287"/>
      <c r="PUI25" s="287"/>
      <c r="PUJ25" s="287"/>
      <c r="PUK25" s="287"/>
      <c r="PUL25" s="287"/>
      <c r="PUM25" s="287"/>
      <c r="PUN25" s="287"/>
      <c r="PUO25" s="632"/>
      <c r="PUP25" s="287"/>
      <c r="PUQ25" s="633"/>
      <c r="PUR25" s="287"/>
      <c r="PUS25" s="287"/>
      <c r="PUT25" s="287"/>
      <c r="PUU25" s="287"/>
      <c r="PUV25" s="287"/>
      <c r="PUW25" s="287"/>
      <c r="PUX25" s="287"/>
      <c r="PUY25" s="287"/>
      <c r="PUZ25" s="287"/>
      <c r="PVA25" s="287"/>
      <c r="PVB25" s="287"/>
      <c r="PVC25" s="287"/>
      <c r="PVD25" s="287"/>
      <c r="PVE25" s="632"/>
      <c r="PVF25" s="287"/>
      <c r="PVG25" s="633"/>
      <c r="PVH25" s="287"/>
      <c r="PVI25" s="287"/>
      <c r="PVJ25" s="287"/>
      <c r="PVK25" s="287"/>
      <c r="PVL25" s="287"/>
      <c r="PVM25" s="287"/>
      <c r="PVN25" s="287"/>
      <c r="PVO25" s="287"/>
      <c r="PVP25" s="287"/>
      <c r="PVQ25" s="287"/>
      <c r="PVR25" s="287"/>
      <c r="PVS25" s="287"/>
      <c r="PVT25" s="287"/>
      <c r="PVU25" s="632"/>
      <c r="PVV25" s="287"/>
      <c r="PVW25" s="633"/>
      <c r="PVX25" s="287"/>
      <c r="PVY25" s="287"/>
      <c r="PVZ25" s="287"/>
      <c r="PWA25" s="287"/>
      <c r="PWB25" s="287"/>
      <c r="PWC25" s="287"/>
      <c r="PWD25" s="287"/>
      <c r="PWE25" s="287"/>
      <c r="PWF25" s="287"/>
      <c r="PWG25" s="287"/>
      <c r="PWH25" s="287"/>
      <c r="PWI25" s="287"/>
      <c r="PWJ25" s="287"/>
      <c r="PWK25" s="632"/>
      <c r="PWL25" s="287"/>
      <c r="PWM25" s="633"/>
      <c r="PWN25" s="287"/>
      <c r="PWO25" s="287"/>
      <c r="PWP25" s="287"/>
      <c r="PWQ25" s="287"/>
      <c r="PWR25" s="287"/>
      <c r="PWS25" s="287"/>
      <c r="PWT25" s="287"/>
      <c r="PWU25" s="287"/>
      <c r="PWV25" s="287"/>
      <c r="PWW25" s="287"/>
      <c r="PWX25" s="287"/>
      <c r="PWY25" s="287"/>
      <c r="PWZ25" s="287"/>
      <c r="PXA25" s="632"/>
      <c r="PXB25" s="287"/>
      <c r="PXC25" s="633"/>
      <c r="PXD25" s="287"/>
      <c r="PXE25" s="287"/>
      <c r="PXF25" s="287"/>
      <c r="PXG25" s="287"/>
      <c r="PXH25" s="287"/>
      <c r="PXI25" s="287"/>
      <c r="PXJ25" s="287"/>
      <c r="PXK25" s="287"/>
      <c r="PXL25" s="287"/>
      <c r="PXM25" s="287"/>
      <c r="PXN25" s="287"/>
      <c r="PXO25" s="287"/>
      <c r="PXP25" s="287"/>
      <c r="PXQ25" s="632"/>
      <c r="PXR25" s="287"/>
      <c r="PXS25" s="633"/>
      <c r="PXT25" s="287"/>
      <c r="PXU25" s="287"/>
      <c r="PXV25" s="287"/>
      <c r="PXW25" s="287"/>
      <c r="PXX25" s="287"/>
      <c r="PXY25" s="287"/>
      <c r="PXZ25" s="287"/>
      <c r="PYA25" s="287"/>
      <c r="PYB25" s="287"/>
      <c r="PYC25" s="287"/>
      <c r="PYD25" s="287"/>
      <c r="PYE25" s="287"/>
      <c r="PYF25" s="287"/>
      <c r="PYG25" s="632"/>
      <c r="PYH25" s="287"/>
      <c r="PYI25" s="633"/>
      <c r="PYJ25" s="287"/>
      <c r="PYK25" s="287"/>
      <c r="PYL25" s="287"/>
      <c r="PYM25" s="287"/>
      <c r="PYN25" s="287"/>
      <c r="PYO25" s="287"/>
      <c r="PYP25" s="287"/>
      <c r="PYQ25" s="287"/>
      <c r="PYR25" s="287"/>
      <c r="PYS25" s="287"/>
      <c r="PYT25" s="287"/>
      <c r="PYU25" s="287"/>
      <c r="PYV25" s="287"/>
      <c r="PYW25" s="632"/>
      <c r="PYX25" s="287"/>
      <c r="PYY25" s="633"/>
      <c r="PYZ25" s="287"/>
      <c r="PZA25" s="287"/>
      <c r="PZB25" s="287"/>
      <c r="PZC25" s="287"/>
      <c r="PZD25" s="287"/>
      <c r="PZE25" s="287"/>
      <c r="PZF25" s="287"/>
      <c r="PZG25" s="287"/>
      <c r="PZH25" s="287"/>
      <c r="PZI25" s="287"/>
      <c r="PZJ25" s="287"/>
      <c r="PZK25" s="287"/>
      <c r="PZL25" s="287"/>
      <c r="PZM25" s="632"/>
      <c r="PZN25" s="287"/>
      <c r="PZO25" s="633"/>
      <c r="PZP25" s="287"/>
      <c r="PZQ25" s="287"/>
      <c r="PZR25" s="287"/>
      <c r="PZS25" s="287"/>
      <c r="PZT25" s="287"/>
      <c r="PZU25" s="287"/>
      <c r="PZV25" s="287"/>
      <c r="PZW25" s="287"/>
      <c r="PZX25" s="287"/>
      <c r="PZY25" s="287"/>
      <c r="PZZ25" s="287"/>
      <c r="QAA25" s="287"/>
      <c r="QAB25" s="287"/>
      <c r="QAC25" s="632"/>
      <c r="QAD25" s="287"/>
      <c r="QAE25" s="633"/>
      <c r="QAF25" s="287"/>
      <c r="QAG25" s="287"/>
      <c r="QAH25" s="287"/>
      <c r="QAI25" s="287"/>
      <c r="QAJ25" s="287"/>
      <c r="QAK25" s="287"/>
      <c r="QAL25" s="287"/>
      <c r="QAM25" s="287"/>
      <c r="QAN25" s="287"/>
      <c r="QAO25" s="287"/>
      <c r="QAP25" s="287"/>
      <c r="QAQ25" s="287"/>
      <c r="QAR25" s="287"/>
      <c r="QAS25" s="632"/>
      <c r="QAT25" s="287"/>
      <c r="QAU25" s="633"/>
      <c r="QAV25" s="287"/>
      <c r="QAW25" s="287"/>
      <c r="QAX25" s="287"/>
      <c r="QAY25" s="287"/>
      <c r="QAZ25" s="287"/>
      <c r="QBA25" s="287"/>
      <c r="QBB25" s="287"/>
      <c r="QBC25" s="287"/>
      <c r="QBD25" s="287"/>
      <c r="QBE25" s="287"/>
      <c r="QBF25" s="287"/>
      <c r="QBG25" s="287"/>
      <c r="QBH25" s="287"/>
      <c r="QBI25" s="632"/>
      <c r="QBJ25" s="287"/>
      <c r="QBK25" s="633"/>
      <c r="QBL25" s="287"/>
      <c r="QBM25" s="287"/>
      <c r="QBN25" s="287"/>
      <c r="QBO25" s="287"/>
      <c r="QBP25" s="287"/>
      <c r="QBQ25" s="287"/>
      <c r="QBR25" s="287"/>
      <c r="QBS25" s="287"/>
      <c r="QBT25" s="287"/>
      <c r="QBU25" s="287"/>
      <c r="QBV25" s="287"/>
      <c r="QBW25" s="287"/>
      <c r="QBX25" s="287"/>
      <c r="QBY25" s="632"/>
      <c r="QBZ25" s="287"/>
      <c r="QCA25" s="633"/>
      <c r="QCB25" s="287"/>
      <c r="QCC25" s="287"/>
      <c r="QCD25" s="287"/>
      <c r="QCE25" s="287"/>
      <c r="QCF25" s="287"/>
      <c r="QCG25" s="287"/>
      <c r="QCH25" s="287"/>
      <c r="QCI25" s="287"/>
      <c r="QCJ25" s="287"/>
      <c r="QCK25" s="287"/>
      <c r="QCL25" s="287"/>
      <c r="QCM25" s="287"/>
      <c r="QCN25" s="287"/>
      <c r="QCO25" s="632"/>
      <c r="QCP25" s="287"/>
      <c r="QCQ25" s="633"/>
      <c r="QCR25" s="287"/>
      <c r="QCS25" s="287"/>
      <c r="QCT25" s="287"/>
      <c r="QCU25" s="287"/>
      <c r="QCV25" s="287"/>
      <c r="QCW25" s="287"/>
      <c r="QCX25" s="287"/>
      <c r="QCY25" s="287"/>
      <c r="QCZ25" s="287"/>
      <c r="QDA25" s="287"/>
      <c r="QDB25" s="287"/>
      <c r="QDC25" s="287"/>
      <c r="QDD25" s="287"/>
      <c r="QDE25" s="632"/>
      <c r="QDF25" s="287"/>
      <c r="QDG25" s="633"/>
      <c r="QDH25" s="287"/>
      <c r="QDI25" s="287"/>
      <c r="QDJ25" s="287"/>
      <c r="QDK25" s="287"/>
      <c r="QDL25" s="287"/>
      <c r="QDM25" s="287"/>
      <c r="QDN25" s="287"/>
      <c r="QDO25" s="287"/>
      <c r="QDP25" s="287"/>
      <c r="QDQ25" s="287"/>
      <c r="QDR25" s="287"/>
      <c r="QDS25" s="287"/>
      <c r="QDT25" s="287"/>
      <c r="QDU25" s="632"/>
      <c r="QDV25" s="287"/>
      <c r="QDW25" s="633"/>
      <c r="QDX25" s="287"/>
      <c r="QDY25" s="287"/>
      <c r="QDZ25" s="287"/>
      <c r="QEA25" s="287"/>
      <c r="QEB25" s="287"/>
      <c r="QEC25" s="287"/>
      <c r="QED25" s="287"/>
      <c r="QEE25" s="287"/>
      <c r="QEF25" s="287"/>
      <c r="QEG25" s="287"/>
      <c r="QEH25" s="287"/>
      <c r="QEI25" s="287"/>
      <c r="QEJ25" s="287"/>
      <c r="QEK25" s="632"/>
      <c r="QEL25" s="287"/>
      <c r="QEM25" s="633"/>
      <c r="QEN25" s="287"/>
      <c r="QEO25" s="287"/>
      <c r="QEP25" s="287"/>
      <c r="QEQ25" s="287"/>
      <c r="QER25" s="287"/>
      <c r="QES25" s="287"/>
      <c r="QET25" s="287"/>
      <c r="QEU25" s="287"/>
      <c r="QEV25" s="287"/>
      <c r="QEW25" s="287"/>
      <c r="QEX25" s="287"/>
      <c r="QEY25" s="287"/>
      <c r="QEZ25" s="287"/>
      <c r="QFA25" s="632"/>
      <c r="QFB25" s="287"/>
      <c r="QFC25" s="633"/>
      <c r="QFD25" s="287"/>
      <c r="QFE25" s="287"/>
      <c r="QFF25" s="287"/>
      <c r="QFG25" s="287"/>
      <c r="QFH25" s="287"/>
      <c r="QFI25" s="287"/>
      <c r="QFJ25" s="287"/>
      <c r="QFK25" s="287"/>
      <c r="QFL25" s="287"/>
      <c r="QFM25" s="287"/>
      <c r="QFN25" s="287"/>
      <c r="QFO25" s="287"/>
      <c r="QFP25" s="287"/>
      <c r="QFQ25" s="632"/>
      <c r="QFR25" s="287"/>
      <c r="QFS25" s="633"/>
      <c r="QFT25" s="287"/>
      <c r="QFU25" s="287"/>
      <c r="QFV25" s="287"/>
      <c r="QFW25" s="287"/>
      <c r="QFX25" s="287"/>
      <c r="QFY25" s="287"/>
      <c r="QFZ25" s="287"/>
      <c r="QGA25" s="287"/>
      <c r="QGB25" s="287"/>
      <c r="QGC25" s="287"/>
      <c r="QGD25" s="287"/>
      <c r="QGE25" s="287"/>
      <c r="QGF25" s="287"/>
      <c r="QGG25" s="632"/>
      <c r="QGH25" s="287"/>
      <c r="QGI25" s="633"/>
      <c r="QGJ25" s="287"/>
      <c r="QGK25" s="287"/>
      <c r="QGL25" s="287"/>
      <c r="QGM25" s="287"/>
      <c r="QGN25" s="287"/>
      <c r="QGO25" s="287"/>
      <c r="QGP25" s="287"/>
      <c r="QGQ25" s="287"/>
      <c r="QGR25" s="287"/>
      <c r="QGS25" s="287"/>
      <c r="QGT25" s="287"/>
      <c r="QGU25" s="287"/>
      <c r="QGV25" s="287"/>
      <c r="QGW25" s="632"/>
      <c r="QGX25" s="287"/>
      <c r="QGY25" s="633"/>
      <c r="QGZ25" s="287"/>
      <c r="QHA25" s="287"/>
      <c r="QHB25" s="287"/>
      <c r="QHC25" s="287"/>
      <c r="QHD25" s="287"/>
      <c r="QHE25" s="287"/>
      <c r="QHF25" s="287"/>
      <c r="QHG25" s="287"/>
      <c r="QHH25" s="287"/>
      <c r="QHI25" s="287"/>
      <c r="QHJ25" s="287"/>
      <c r="QHK25" s="287"/>
      <c r="QHL25" s="287"/>
      <c r="QHM25" s="632"/>
      <c r="QHN25" s="287"/>
      <c r="QHO25" s="633"/>
      <c r="QHP25" s="287"/>
      <c r="QHQ25" s="287"/>
      <c r="QHR25" s="287"/>
      <c r="QHS25" s="287"/>
      <c r="QHT25" s="287"/>
      <c r="QHU25" s="287"/>
      <c r="QHV25" s="287"/>
      <c r="QHW25" s="287"/>
      <c r="QHX25" s="287"/>
      <c r="QHY25" s="287"/>
      <c r="QHZ25" s="287"/>
      <c r="QIA25" s="287"/>
      <c r="QIB25" s="287"/>
      <c r="QIC25" s="632"/>
      <c r="QID25" s="287"/>
      <c r="QIE25" s="633"/>
      <c r="QIF25" s="287"/>
      <c r="QIG25" s="287"/>
      <c r="QIH25" s="287"/>
      <c r="QII25" s="287"/>
      <c r="QIJ25" s="287"/>
      <c r="QIK25" s="287"/>
      <c r="QIL25" s="287"/>
      <c r="QIM25" s="287"/>
      <c r="QIN25" s="287"/>
      <c r="QIO25" s="287"/>
      <c r="QIP25" s="287"/>
      <c r="QIQ25" s="287"/>
      <c r="QIR25" s="287"/>
      <c r="QIS25" s="632"/>
      <c r="QIT25" s="287"/>
      <c r="QIU25" s="633"/>
      <c r="QIV25" s="287"/>
      <c r="QIW25" s="287"/>
      <c r="QIX25" s="287"/>
      <c r="QIY25" s="287"/>
      <c r="QIZ25" s="287"/>
      <c r="QJA25" s="287"/>
      <c r="QJB25" s="287"/>
      <c r="QJC25" s="287"/>
      <c r="QJD25" s="287"/>
      <c r="QJE25" s="287"/>
      <c r="QJF25" s="287"/>
      <c r="QJG25" s="287"/>
      <c r="QJH25" s="287"/>
      <c r="QJI25" s="632"/>
      <c r="QJJ25" s="287"/>
      <c r="QJK25" s="633"/>
      <c r="QJL25" s="287"/>
      <c r="QJM25" s="287"/>
      <c r="QJN25" s="287"/>
      <c r="QJO25" s="287"/>
      <c r="QJP25" s="287"/>
      <c r="QJQ25" s="287"/>
      <c r="QJR25" s="287"/>
      <c r="QJS25" s="287"/>
      <c r="QJT25" s="287"/>
      <c r="QJU25" s="287"/>
      <c r="QJV25" s="287"/>
      <c r="QJW25" s="287"/>
      <c r="QJX25" s="287"/>
      <c r="QJY25" s="632"/>
      <c r="QJZ25" s="287"/>
      <c r="QKA25" s="633"/>
      <c r="QKB25" s="287"/>
      <c r="QKC25" s="287"/>
      <c r="QKD25" s="287"/>
      <c r="QKE25" s="287"/>
      <c r="QKF25" s="287"/>
      <c r="QKG25" s="287"/>
      <c r="QKH25" s="287"/>
      <c r="QKI25" s="287"/>
      <c r="QKJ25" s="287"/>
      <c r="QKK25" s="287"/>
      <c r="QKL25" s="287"/>
      <c r="QKM25" s="287"/>
      <c r="QKN25" s="287"/>
      <c r="QKO25" s="632"/>
      <c r="QKP25" s="287"/>
      <c r="QKQ25" s="633"/>
      <c r="QKR25" s="287"/>
      <c r="QKS25" s="287"/>
      <c r="QKT25" s="287"/>
      <c r="QKU25" s="287"/>
      <c r="QKV25" s="287"/>
      <c r="QKW25" s="287"/>
      <c r="QKX25" s="287"/>
      <c r="QKY25" s="287"/>
      <c r="QKZ25" s="287"/>
      <c r="QLA25" s="287"/>
      <c r="QLB25" s="287"/>
      <c r="QLC25" s="287"/>
      <c r="QLD25" s="287"/>
      <c r="QLE25" s="632"/>
      <c r="QLF25" s="287"/>
      <c r="QLG25" s="633"/>
      <c r="QLH25" s="287"/>
      <c r="QLI25" s="287"/>
      <c r="QLJ25" s="287"/>
      <c r="QLK25" s="287"/>
      <c r="QLL25" s="287"/>
      <c r="QLM25" s="287"/>
      <c r="QLN25" s="287"/>
      <c r="QLO25" s="287"/>
      <c r="QLP25" s="287"/>
      <c r="QLQ25" s="287"/>
      <c r="QLR25" s="287"/>
      <c r="QLS25" s="287"/>
      <c r="QLT25" s="287"/>
      <c r="QLU25" s="632"/>
      <c r="QLV25" s="287"/>
      <c r="QLW25" s="633"/>
      <c r="QLX25" s="287"/>
      <c r="QLY25" s="287"/>
      <c r="QLZ25" s="287"/>
      <c r="QMA25" s="287"/>
      <c r="QMB25" s="287"/>
      <c r="QMC25" s="287"/>
      <c r="QMD25" s="287"/>
      <c r="QME25" s="287"/>
      <c r="QMF25" s="287"/>
      <c r="QMG25" s="287"/>
      <c r="QMH25" s="287"/>
      <c r="QMI25" s="287"/>
      <c r="QMJ25" s="287"/>
      <c r="QMK25" s="632"/>
      <c r="QML25" s="287"/>
      <c r="QMM25" s="633"/>
      <c r="QMN25" s="287"/>
      <c r="QMO25" s="287"/>
      <c r="QMP25" s="287"/>
      <c r="QMQ25" s="287"/>
      <c r="QMR25" s="287"/>
      <c r="QMS25" s="287"/>
      <c r="QMT25" s="287"/>
      <c r="QMU25" s="287"/>
      <c r="QMV25" s="287"/>
      <c r="QMW25" s="287"/>
      <c r="QMX25" s="287"/>
      <c r="QMY25" s="287"/>
      <c r="QMZ25" s="287"/>
      <c r="QNA25" s="632"/>
      <c r="QNB25" s="287"/>
      <c r="QNC25" s="633"/>
      <c r="QND25" s="287"/>
      <c r="QNE25" s="287"/>
      <c r="QNF25" s="287"/>
      <c r="QNG25" s="287"/>
      <c r="QNH25" s="287"/>
      <c r="QNI25" s="287"/>
      <c r="QNJ25" s="287"/>
      <c r="QNK25" s="287"/>
      <c r="QNL25" s="287"/>
      <c r="QNM25" s="287"/>
      <c r="QNN25" s="287"/>
      <c r="QNO25" s="287"/>
      <c r="QNP25" s="287"/>
      <c r="QNQ25" s="632"/>
      <c r="QNR25" s="287"/>
      <c r="QNS25" s="633"/>
      <c r="QNT25" s="287"/>
      <c r="QNU25" s="287"/>
      <c r="QNV25" s="287"/>
      <c r="QNW25" s="287"/>
      <c r="QNX25" s="287"/>
      <c r="QNY25" s="287"/>
      <c r="QNZ25" s="287"/>
      <c r="QOA25" s="287"/>
      <c r="QOB25" s="287"/>
      <c r="QOC25" s="287"/>
      <c r="QOD25" s="287"/>
      <c r="QOE25" s="287"/>
      <c r="QOF25" s="287"/>
      <c r="QOG25" s="632"/>
      <c r="QOH25" s="287"/>
      <c r="QOI25" s="633"/>
      <c r="QOJ25" s="287"/>
      <c r="QOK25" s="287"/>
      <c r="QOL25" s="287"/>
      <c r="QOM25" s="287"/>
      <c r="QON25" s="287"/>
      <c r="QOO25" s="287"/>
      <c r="QOP25" s="287"/>
      <c r="QOQ25" s="287"/>
      <c r="QOR25" s="287"/>
      <c r="QOS25" s="287"/>
      <c r="QOT25" s="287"/>
      <c r="QOU25" s="287"/>
      <c r="QOV25" s="287"/>
      <c r="QOW25" s="632"/>
      <c r="QOX25" s="287"/>
      <c r="QOY25" s="633"/>
      <c r="QOZ25" s="287"/>
      <c r="QPA25" s="287"/>
      <c r="QPB25" s="287"/>
      <c r="QPC25" s="287"/>
      <c r="QPD25" s="287"/>
      <c r="QPE25" s="287"/>
      <c r="QPF25" s="287"/>
      <c r="QPG25" s="287"/>
      <c r="QPH25" s="287"/>
      <c r="QPI25" s="287"/>
      <c r="QPJ25" s="287"/>
      <c r="QPK25" s="287"/>
      <c r="QPL25" s="287"/>
      <c r="QPM25" s="632"/>
      <c r="QPN25" s="287"/>
      <c r="QPO25" s="633"/>
      <c r="QPP25" s="287"/>
      <c r="QPQ25" s="287"/>
      <c r="QPR25" s="287"/>
      <c r="QPS25" s="287"/>
      <c r="QPT25" s="287"/>
      <c r="QPU25" s="287"/>
      <c r="QPV25" s="287"/>
      <c r="QPW25" s="287"/>
      <c r="QPX25" s="287"/>
      <c r="QPY25" s="287"/>
      <c r="QPZ25" s="287"/>
      <c r="QQA25" s="287"/>
      <c r="QQB25" s="287"/>
      <c r="QQC25" s="632"/>
      <c r="QQD25" s="287"/>
      <c r="QQE25" s="633"/>
      <c r="QQF25" s="287"/>
      <c r="QQG25" s="287"/>
      <c r="QQH25" s="287"/>
      <c r="QQI25" s="287"/>
      <c r="QQJ25" s="287"/>
      <c r="QQK25" s="287"/>
      <c r="QQL25" s="287"/>
      <c r="QQM25" s="287"/>
      <c r="QQN25" s="287"/>
      <c r="QQO25" s="287"/>
      <c r="QQP25" s="287"/>
      <c r="QQQ25" s="287"/>
      <c r="QQR25" s="287"/>
      <c r="QQS25" s="632"/>
      <c r="QQT25" s="287"/>
      <c r="QQU25" s="633"/>
      <c r="QQV25" s="287"/>
      <c r="QQW25" s="287"/>
      <c r="QQX25" s="287"/>
      <c r="QQY25" s="287"/>
      <c r="QQZ25" s="287"/>
      <c r="QRA25" s="287"/>
      <c r="QRB25" s="287"/>
      <c r="QRC25" s="287"/>
      <c r="QRD25" s="287"/>
      <c r="QRE25" s="287"/>
      <c r="QRF25" s="287"/>
      <c r="QRG25" s="287"/>
      <c r="QRH25" s="287"/>
      <c r="QRI25" s="632"/>
      <c r="QRJ25" s="287"/>
      <c r="QRK25" s="633"/>
      <c r="QRL25" s="287"/>
      <c r="QRM25" s="287"/>
      <c r="QRN25" s="287"/>
      <c r="QRO25" s="287"/>
      <c r="QRP25" s="287"/>
      <c r="QRQ25" s="287"/>
      <c r="QRR25" s="287"/>
      <c r="QRS25" s="287"/>
      <c r="QRT25" s="287"/>
      <c r="QRU25" s="287"/>
      <c r="QRV25" s="287"/>
      <c r="QRW25" s="287"/>
      <c r="QRX25" s="287"/>
      <c r="QRY25" s="632"/>
      <c r="QRZ25" s="287"/>
      <c r="QSA25" s="633"/>
      <c r="QSB25" s="287"/>
      <c r="QSC25" s="287"/>
      <c r="QSD25" s="287"/>
      <c r="QSE25" s="287"/>
      <c r="QSF25" s="287"/>
      <c r="QSG25" s="287"/>
      <c r="QSH25" s="287"/>
      <c r="QSI25" s="287"/>
      <c r="QSJ25" s="287"/>
      <c r="QSK25" s="287"/>
      <c r="QSL25" s="287"/>
      <c r="QSM25" s="287"/>
      <c r="QSN25" s="287"/>
      <c r="QSO25" s="632"/>
      <c r="QSP25" s="287"/>
      <c r="QSQ25" s="633"/>
      <c r="QSR25" s="287"/>
      <c r="QSS25" s="287"/>
      <c r="QST25" s="287"/>
      <c r="QSU25" s="287"/>
      <c r="QSV25" s="287"/>
      <c r="QSW25" s="287"/>
      <c r="QSX25" s="287"/>
      <c r="QSY25" s="287"/>
      <c r="QSZ25" s="287"/>
      <c r="QTA25" s="287"/>
      <c r="QTB25" s="287"/>
      <c r="QTC25" s="287"/>
      <c r="QTD25" s="287"/>
      <c r="QTE25" s="632"/>
      <c r="QTF25" s="287"/>
      <c r="QTG25" s="633"/>
      <c r="QTH25" s="287"/>
      <c r="QTI25" s="287"/>
      <c r="QTJ25" s="287"/>
      <c r="QTK25" s="287"/>
      <c r="QTL25" s="287"/>
      <c r="QTM25" s="287"/>
      <c r="QTN25" s="287"/>
      <c r="QTO25" s="287"/>
      <c r="QTP25" s="287"/>
      <c r="QTQ25" s="287"/>
      <c r="QTR25" s="287"/>
      <c r="QTS25" s="287"/>
      <c r="QTT25" s="287"/>
      <c r="QTU25" s="632"/>
      <c r="QTV25" s="287"/>
      <c r="QTW25" s="633"/>
      <c r="QTX25" s="287"/>
      <c r="QTY25" s="287"/>
      <c r="QTZ25" s="287"/>
      <c r="QUA25" s="287"/>
      <c r="QUB25" s="287"/>
      <c r="QUC25" s="287"/>
      <c r="QUD25" s="287"/>
      <c r="QUE25" s="287"/>
      <c r="QUF25" s="287"/>
      <c r="QUG25" s="287"/>
      <c r="QUH25" s="287"/>
      <c r="QUI25" s="287"/>
      <c r="QUJ25" s="287"/>
      <c r="QUK25" s="632"/>
      <c r="QUL25" s="287"/>
      <c r="QUM25" s="633"/>
      <c r="QUN25" s="287"/>
      <c r="QUO25" s="287"/>
      <c r="QUP25" s="287"/>
      <c r="QUQ25" s="287"/>
      <c r="QUR25" s="287"/>
      <c r="QUS25" s="287"/>
      <c r="QUT25" s="287"/>
      <c r="QUU25" s="287"/>
      <c r="QUV25" s="287"/>
      <c r="QUW25" s="287"/>
      <c r="QUX25" s="287"/>
      <c r="QUY25" s="287"/>
      <c r="QUZ25" s="287"/>
      <c r="QVA25" s="632"/>
      <c r="QVB25" s="287"/>
      <c r="QVC25" s="633"/>
      <c r="QVD25" s="287"/>
      <c r="QVE25" s="287"/>
      <c r="QVF25" s="287"/>
      <c r="QVG25" s="287"/>
      <c r="QVH25" s="287"/>
      <c r="QVI25" s="287"/>
      <c r="QVJ25" s="287"/>
      <c r="QVK25" s="287"/>
      <c r="QVL25" s="287"/>
      <c r="QVM25" s="287"/>
      <c r="QVN25" s="287"/>
      <c r="QVO25" s="287"/>
      <c r="QVP25" s="287"/>
      <c r="QVQ25" s="632"/>
      <c r="QVR25" s="287"/>
      <c r="QVS25" s="633"/>
      <c r="QVT25" s="287"/>
      <c r="QVU25" s="287"/>
      <c r="QVV25" s="287"/>
      <c r="QVW25" s="287"/>
      <c r="QVX25" s="287"/>
      <c r="QVY25" s="287"/>
      <c r="QVZ25" s="287"/>
      <c r="QWA25" s="287"/>
      <c r="QWB25" s="287"/>
      <c r="QWC25" s="287"/>
      <c r="QWD25" s="287"/>
      <c r="QWE25" s="287"/>
      <c r="QWF25" s="287"/>
      <c r="QWG25" s="632"/>
      <c r="QWH25" s="287"/>
      <c r="QWI25" s="633"/>
      <c r="QWJ25" s="287"/>
      <c r="QWK25" s="287"/>
      <c r="QWL25" s="287"/>
      <c r="QWM25" s="287"/>
      <c r="QWN25" s="287"/>
      <c r="QWO25" s="287"/>
      <c r="QWP25" s="287"/>
      <c r="QWQ25" s="287"/>
      <c r="QWR25" s="287"/>
      <c r="QWS25" s="287"/>
      <c r="QWT25" s="287"/>
      <c r="QWU25" s="287"/>
      <c r="QWV25" s="287"/>
      <c r="QWW25" s="632"/>
      <c r="QWX25" s="287"/>
      <c r="QWY25" s="633"/>
      <c r="QWZ25" s="287"/>
      <c r="QXA25" s="287"/>
      <c r="QXB25" s="287"/>
      <c r="QXC25" s="287"/>
      <c r="QXD25" s="287"/>
      <c r="QXE25" s="287"/>
      <c r="QXF25" s="287"/>
      <c r="QXG25" s="287"/>
      <c r="QXH25" s="287"/>
      <c r="QXI25" s="287"/>
      <c r="QXJ25" s="287"/>
      <c r="QXK25" s="287"/>
      <c r="QXL25" s="287"/>
      <c r="QXM25" s="632"/>
      <c r="QXN25" s="287"/>
      <c r="QXO25" s="633"/>
      <c r="QXP25" s="287"/>
      <c r="QXQ25" s="287"/>
      <c r="QXR25" s="287"/>
      <c r="QXS25" s="287"/>
      <c r="QXT25" s="287"/>
      <c r="QXU25" s="287"/>
      <c r="QXV25" s="287"/>
      <c r="QXW25" s="287"/>
      <c r="QXX25" s="287"/>
      <c r="QXY25" s="287"/>
      <c r="QXZ25" s="287"/>
      <c r="QYA25" s="287"/>
      <c r="QYB25" s="287"/>
      <c r="QYC25" s="632"/>
      <c r="QYD25" s="287"/>
      <c r="QYE25" s="633"/>
      <c r="QYF25" s="287"/>
      <c r="QYG25" s="287"/>
      <c r="QYH25" s="287"/>
      <c r="QYI25" s="287"/>
      <c r="QYJ25" s="287"/>
      <c r="QYK25" s="287"/>
      <c r="QYL25" s="287"/>
      <c r="QYM25" s="287"/>
      <c r="QYN25" s="287"/>
      <c r="QYO25" s="287"/>
      <c r="QYP25" s="287"/>
      <c r="QYQ25" s="287"/>
      <c r="QYR25" s="287"/>
      <c r="QYS25" s="632"/>
      <c r="QYT25" s="287"/>
      <c r="QYU25" s="633"/>
      <c r="QYV25" s="287"/>
      <c r="QYW25" s="287"/>
      <c r="QYX25" s="287"/>
      <c r="QYY25" s="287"/>
      <c r="QYZ25" s="287"/>
      <c r="QZA25" s="287"/>
      <c r="QZB25" s="287"/>
      <c r="QZC25" s="287"/>
      <c r="QZD25" s="287"/>
      <c r="QZE25" s="287"/>
      <c r="QZF25" s="287"/>
      <c r="QZG25" s="287"/>
      <c r="QZH25" s="287"/>
      <c r="QZI25" s="632"/>
      <c r="QZJ25" s="287"/>
      <c r="QZK25" s="633"/>
      <c r="QZL25" s="287"/>
      <c r="QZM25" s="287"/>
      <c r="QZN25" s="287"/>
      <c r="QZO25" s="287"/>
      <c r="QZP25" s="287"/>
      <c r="QZQ25" s="287"/>
      <c r="QZR25" s="287"/>
      <c r="QZS25" s="287"/>
      <c r="QZT25" s="287"/>
      <c r="QZU25" s="287"/>
      <c r="QZV25" s="287"/>
      <c r="QZW25" s="287"/>
      <c r="QZX25" s="287"/>
      <c r="QZY25" s="632"/>
      <c r="QZZ25" s="287"/>
      <c r="RAA25" s="633"/>
      <c r="RAB25" s="287"/>
      <c r="RAC25" s="287"/>
      <c r="RAD25" s="287"/>
      <c r="RAE25" s="287"/>
      <c r="RAF25" s="287"/>
      <c r="RAG25" s="287"/>
      <c r="RAH25" s="287"/>
      <c r="RAI25" s="287"/>
      <c r="RAJ25" s="287"/>
      <c r="RAK25" s="287"/>
      <c r="RAL25" s="287"/>
      <c r="RAM25" s="287"/>
      <c r="RAN25" s="287"/>
      <c r="RAO25" s="632"/>
      <c r="RAP25" s="287"/>
      <c r="RAQ25" s="633"/>
      <c r="RAR25" s="287"/>
      <c r="RAS25" s="287"/>
      <c r="RAT25" s="287"/>
      <c r="RAU25" s="287"/>
      <c r="RAV25" s="287"/>
      <c r="RAW25" s="287"/>
      <c r="RAX25" s="287"/>
      <c r="RAY25" s="287"/>
      <c r="RAZ25" s="287"/>
      <c r="RBA25" s="287"/>
      <c r="RBB25" s="287"/>
      <c r="RBC25" s="287"/>
      <c r="RBD25" s="287"/>
      <c r="RBE25" s="632"/>
      <c r="RBF25" s="287"/>
      <c r="RBG25" s="633"/>
      <c r="RBH25" s="287"/>
      <c r="RBI25" s="287"/>
      <c r="RBJ25" s="287"/>
      <c r="RBK25" s="287"/>
      <c r="RBL25" s="287"/>
      <c r="RBM25" s="287"/>
      <c r="RBN25" s="287"/>
      <c r="RBO25" s="287"/>
      <c r="RBP25" s="287"/>
      <c r="RBQ25" s="287"/>
      <c r="RBR25" s="287"/>
      <c r="RBS25" s="287"/>
      <c r="RBT25" s="287"/>
      <c r="RBU25" s="632"/>
      <c r="RBV25" s="287"/>
      <c r="RBW25" s="633"/>
      <c r="RBX25" s="287"/>
      <c r="RBY25" s="287"/>
      <c r="RBZ25" s="287"/>
      <c r="RCA25" s="287"/>
      <c r="RCB25" s="287"/>
      <c r="RCC25" s="287"/>
      <c r="RCD25" s="287"/>
      <c r="RCE25" s="287"/>
      <c r="RCF25" s="287"/>
      <c r="RCG25" s="287"/>
      <c r="RCH25" s="287"/>
      <c r="RCI25" s="287"/>
      <c r="RCJ25" s="287"/>
      <c r="RCK25" s="632"/>
      <c r="RCL25" s="287"/>
      <c r="RCM25" s="633"/>
      <c r="RCN25" s="287"/>
      <c r="RCO25" s="287"/>
      <c r="RCP25" s="287"/>
      <c r="RCQ25" s="287"/>
      <c r="RCR25" s="287"/>
      <c r="RCS25" s="287"/>
      <c r="RCT25" s="287"/>
      <c r="RCU25" s="287"/>
      <c r="RCV25" s="287"/>
      <c r="RCW25" s="287"/>
      <c r="RCX25" s="287"/>
      <c r="RCY25" s="287"/>
      <c r="RCZ25" s="287"/>
      <c r="RDA25" s="632"/>
      <c r="RDB25" s="287"/>
      <c r="RDC25" s="633"/>
      <c r="RDD25" s="287"/>
      <c r="RDE25" s="287"/>
      <c r="RDF25" s="287"/>
      <c r="RDG25" s="287"/>
      <c r="RDH25" s="287"/>
      <c r="RDI25" s="287"/>
      <c r="RDJ25" s="287"/>
      <c r="RDK25" s="287"/>
      <c r="RDL25" s="287"/>
      <c r="RDM25" s="287"/>
      <c r="RDN25" s="287"/>
      <c r="RDO25" s="287"/>
      <c r="RDP25" s="287"/>
      <c r="RDQ25" s="632"/>
      <c r="RDR25" s="287"/>
      <c r="RDS25" s="633"/>
      <c r="RDT25" s="287"/>
      <c r="RDU25" s="287"/>
      <c r="RDV25" s="287"/>
      <c r="RDW25" s="287"/>
      <c r="RDX25" s="287"/>
      <c r="RDY25" s="287"/>
      <c r="RDZ25" s="287"/>
      <c r="REA25" s="287"/>
      <c r="REB25" s="287"/>
      <c r="REC25" s="287"/>
      <c r="RED25" s="287"/>
      <c r="REE25" s="287"/>
      <c r="REF25" s="287"/>
      <c r="REG25" s="632"/>
      <c r="REH25" s="287"/>
      <c r="REI25" s="633"/>
      <c r="REJ25" s="287"/>
      <c r="REK25" s="287"/>
      <c r="REL25" s="287"/>
      <c r="REM25" s="287"/>
      <c r="REN25" s="287"/>
      <c r="REO25" s="287"/>
      <c r="REP25" s="287"/>
      <c r="REQ25" s="287"/>
      <c r="RER25" s="287"/>
      <c r="RES25" s="287"/>
      <c r="RET25" s="287"/>
      <c r="REU25" s="287"/>
      <c r="REV25" s="287"/>
      <c r="REW25" s="632"/>
      <c r="REX25" s="287"/>
      <c r="REY25" s="633"/>
      <c r="REZ25" s="287"/>
      <c r="RFA25" s="287"/>
      <c r="RFB25" s="287"/>
      <c r="RFC25" s="287"/>
      <c r="RFD25" s="287"/>
      <c r="RFE25" s="287"/>
      <c r="RFF25" s="287"/>
      <c r="RFG25" s="287"/>
      <c r="RFH25" s="287"/>
      <c r="RFI25" s="287"/>
      <c r="RFJ25" s="287"/>
      <c r="RFK25" s="287"/>
      <c r="RFL25" s="287"/>
      <c r="RFM25" s="632"/>
      <c r="RFN25" s="287"/>
      <c r="RFO25" s="633"/>
      <c r="RFP25" s="287"/>
      <c r="RFQ25" s="287"/>
      <c r="RFR25" s="287"/>
      <c r="RFS25" s="287"/>
      <c r="RFT25" s="287"/>
      <c r="RFU25" s="287"/>
      <c r="RFV25" s="287"/>
      <c r="RFW25" s="287"/>
      <c r="RFX25" s="287"/>
      <c r="RFY25" s="287"/>
      <c r="RFZ25" s="287"/>
      <c r="RGA25" s="287"/>
      <c r="RGB25" s="287"/>
      <c r="RGC25" s="632"/>
      <c r="RGD25" s="287"/>
      <c r="RGE25" s="633"/>
      <c r="RGF25" s="287"/>
      <c r="RGG25" s="287"/>
      <c r="RGH25" s="287"/>
      <c r="RGI25" s="287"/>
      <c r="RGJ25" s="287"/>
      <c r="RGK25" s="287"/>
      <c r="RGL25" s="287"/>
      <c r="RGM25" s="287"/>
      <c r="RGN25" s="287"/>
      <c r="RGO25" s="287"/>
      <c r="RGP25" s="287"/>
      <c r="RGQ25" s="287"/>
      <c r="RGR25" s="287"/>
      <c r="RGS25" s="632"/>
      <c r="RGT25" s="287"/>
      <c r="RGU25" s="633"/>
      <c r="RGV25" s="287"/>
      <c r="RGW25" s="287"/>
      <c r="RGX25" s="287"/>
      <c r="RGY25" s="287"/>
      <c r="RGZ25" s="287"/>
      <c r="RHA25" s="287"/>
      <c r="RHB25" s="287"/>
      <c r="RHC25" s="287"/>
      <c r="RHD25" s="287"/>
      <c r="RHE25" s="287"/>
      <c r="RHF25" s="287"/>
      <c r="RHG25" s="287"/>
      <c r="RHH25" s="287"/>
      <c r="RHI25" s="632"/>
      <c r="RHJ25" s="287"/>
      <c r="RHK25" s="633"/>
      <c r="RHL25" s="287"/>
      <c r="RHM25" s="287"/>
      <c r="RHN25" s="287"/>
      <c r="RHO25" s="287"/>
      <c r="RHP25" s="287"/>
      <c r="RHQ25" s="287"/>
      <c r="RHR25" s="287"/>
      <c r="RHS25" s="287"/>
      <c r="RHT25" s="287"/>
      <c r="RHU25" s="287"/>
      <c r="RHV25" s="287"/>
      <c r="RHW25" s="287"/>
      <c r="RHX25" s="287"/>
      <c r="RHY25" s="632"/>
      <c r="RHZ25" s="287"/>
      <c r="RIA25" s="633"/>
      <c r="RIB25" s="287"/>
      <c r="RIC25" s="287"/>
      <c r="RID25" s="287"/>
      <c r="RIE25" s="287"/>
      <c r="RIF25" s="287"/>
      <c r="RIG25" s="287"/>
      <c r="RIH25" s="287"/>
      <c r="RII25" s="287"/>
      <c r="RIJ25" s="287"/>
      <c r="RIK25" s="287"/>
      <c r="RIL25" s="287"/>
      <c r="RIM25" s="287"/>
      <c r="RIN25" s="287"/>
      <c r="RIO25" s="632"/>
      <c r="RIP25" s="287"/>
      <c r="RIQ25" s="633"/>
      <c r="RIR25" s="287"/>
      <c r="RIS25" s="287"/>
      <c r="RIT25" s="287"/>
      <c r="RIU25" s="287"/>
      <c r="RIV25" s="287"/>
      <c r="RIW25" s="287"/>
      <c r="RIX25" s="287"/>
      <c r="RIY25" s="287"/>
      <c r="RIZ25" s="287"/>
      <c r="RJA25" s="287"/>
      <c r="RJB25" s="287"/>
      <c r="RJC25" s="287"/>
      <c r="RJD25" s="287"/>
      <c r="RJE25" s="632"/>
      <c r="RJF25" s="287"/>
      <c r="RJG25" s="633"/>
      <c r="RJH25" s="287"/>
      <c r="RJI25" s="287"/>
      <c r="RJJ25" s="287"/>
      <c r="RJK25" s="287"/>
      <c r="RJL25" s="287"/>
      <c r="RJM25" s="287"/>
      <c r="RJN25" s="287"/>
      <c r="RJO25" s="287"/>
      <c r="RJP25" s="287"/>
      <c r="RJQ25" s="287"/>
      <c r="RJR25" s="287"/>
      <c r="RJS25" s="287"/>
      <c r="RJT25" s="287"/>
      <c r="RJU25" s="632"/>
      <c r="RJV25" s="287"/>
      <c r="RJW25" s="633"/>
      <c r="RJX25" s="287"/>
      <c r="RJY25" s="287"/>
      <c r="RJZ25" s="287"/>
      <c r="RKA25" s="287"/>
      <c r="RKB25" s="287"/>
      <c r="RKC25" s="287"/>
      <c r="RKD25" s="287"/>
      <c r="RKE25" s="287"/>
      <c r="RKF25" s="287"/>
      <c r="RKG25" s="287"/>
      <c r="RKH25" s="287"/>
      <c r="RKI25" s="287"/>
      <c r="RKJ25" s="287"/>
      <c r="RKK25" s="632"/>
      <c r="RKL25" s="287"/>
      <c r="RKM25" s="633"/>
      <c r="RKN25" s="287"/>
      <c r="RKO25" s="287"/>
      <c r="RKP25" s="287"/>
      <c r="RKQ25" s="287"/>
      <c r="RKR25" s="287"/>
      <c r="RKS25" s="287"/>
      <c r="RKT25" s="287"/>
      <c r="RKU25" s="287"/>
      <c r="RKV25" s="287"/>
      <c r="RKW25" s="287"/>
      <c r="RKX25" s="287"/>
      <c r="RKY25" s="287"/>
      <c r="RKZ25" s="287"/>
      <c r="RLA25" s="632"/>
      <c r="RLB25" s="287"/>
      <c r="RLC25" s="633"/>
      <c r="RLD25" s="287"/>
      <c r="RLE25" s="287"/>
      <c r="RLF25" s="287"/>
      <c r="RLG25" s="287"/>
      <c r="RLH25" s="287"/>
      <c r="RLI25" s="287"/>
      <c r="RLJ25" s="287"/>
      <c r="RLK25" s="287"/>
      <c r="RLL25" s="287"/>
      <c r="RLM25" s="287"/>
      <c r="RLN25" s="287"/>
      <c r="RLO25" s="287"/>
      <c r="RLP25" s="287"/>
      <c r="RLQ25" s="632"/>
      <c r="RLR25" s="287"/>
      <c r="RLS25" s="633"/>
      <c r="RLT25" s="287"/>
      <c r="RLU25" s="287"/>
      <c r="RLV25" s="287"/>
      <c r="RLW25" s="287"/>
      <c r="RLX25" s="287"/>
      <c r="RLY25" s="287"/>
      <c r="RLZ25" s="287"/>
      <c r="RMA25" s="287"/>
      <c r="RMB25" s="287"/>
      <c r="RMC25" s="287"/>
      <c r="RMD25" s="287"/>
      <c r="RME25" s="287"/>
      <c r="RMF25" s="287"/>
      <c r="RMG25" s="632"/>
      <c r="RMH25" s="287"/>
      <c r="RMI25" s="633"/>
      <c r="RMJ25" s="287"/>
      <c r="RMK25" s="287"/>
      <c r="RML25" s="287"/>
      <c r="RMM25" s="287"/>
      <c r="RMN25" s="287"/>
      <c r="RMO25" s="287"/>
      <c r="RMP25" s="287"/>
      <c r="RMQ25" s="287"/>
      <c r="RMR25" s="287"/>
      <c r="RMS25" s="287"/>
      <c r="RMT25" s="287"/>
      <c r="RMU25" s="287"/>
      <c r="RMV25" s="287"/>
      <c r="RMW25" s="632"/>
      <c r="RMX25" s="287"/>
      <c r="RMY25" s="633"/>
      <c r="RMZ25" s="287"/>
      <c r="RNA25" s="287"/>
      <c r="RNB25" s="287"/>
      <c r="RNC25" s="287"/>
      <c r="RND25" s="287"/>
      <c r="RNE25" s="287"/>
      <c r="RNF25" s="287"/>
      <c r="RNG25" s="287"/>
      <c r="RNH25" s="287"/>
      <c r="RNI25" s="287"/>
      <c r="RNJ25" s="287"/>
      <c r="RNK25" s="287"/>
      <c r="RNL25" s="287"/>
      <c r="RNM25" s="632"/>
      <c r="RNN25" s="287"/>
      <c r="RNO25" s="633"/>
      <c r="RNP25" s="287"/>
      <c r="RNQ25" s="287"/>
      <c r="RNR25" s="287"/>
      <c r="RNS25" s="287"/>
      <c r="RNT25" s="287"/>
      <c r="RNU25" s="287"/>
      <c r="RNV25" s="287"/>
      <c r="RNW25" s="287"/>
      <c r="RNX25" s="287"/>
      <c r="RNY25" s="287"/>
      <c r="RNZ25" s="287"/>
      <c r="ROA25" s="287"/>
      <c r="ROB25" s="287"/>
      <c r="ROC25" s="632"/>
      <c r="ROD25" s="287"/>
      <c r="ROE25" s="633"/>
      <c r="ROF25" s="287"/>
      <c r="ROG25" s="287"/>
      <c r="ROH25" s="287"/>
      <c r="ROI25" s="287"/>
      <c r="ROJ25" s="287"/>
      <c r="ROK25" s="287"/>
      <c r="ROL25" s="287"/>
      <c r="ROM25" s="287"/>
      <c r="RON25" s="287"/>
      <c r="ROO25" s="287"/>
      <c r="ROP25" s="287"/>
      <c r="ROQ25" s="287"/>
      <c r="ROR25" s="287"/>
      <c r="ROS25" s="632"/>
      <c r="ROT25" s="287"/>
      <c r="ROU25" s="633"/>
      <c r="ROV25" s="287"/>
      <c r="ROW25" s="287"/>
      <c r="ROX25" s="287"/>
      <c r="ROY25" s="287"/>
      <c r="ROZ25" s="287"/>
      <c r="RPA25" s="287"/>
      <c r="RPB25" s="287"/>
      <c r="RPC25" s="287"/>
      <c r="RPD25" s="287"/>
      <c r="RPE25" s="287"/>
      <c r="RPF25" s="287"/>
      <c r="RPG25" s="287"/>
      <c r="RPH25" s="287"/>
      <c r="RPI25" s="632"/>
      <c r="RPJ25" s="287"/>
      <c r="RPK25" s="633"/>
      <c r="RPL25" s="287"/>
      <c r="RPM25" s="287"/>
      <c r="RPN25" s="287"/>
      <c r="RPO25" s="287"/>
      <c r="RPP25" s="287"/>
      <c r="RPQ25" s="287"/>
      <c r="RPR25" s="287"/>
      <c r="RPS25" s="287"/>
      <c r="RPT25" s="287"/>
      <c r="RPU25" s="287"/>
      <c r="RPV25" s="287"/>
      <c r="RPW25" s="287"/>
      <c r="RPX25" s="287"/>
      <c r="RPY25" s="632"/>
      <c r="RPZ25" s="287"/>
      <c r="RQA25" s="633"/>
      <c r="RQB25" s="287"/>
      <c r="RQC25" s="287"/>
      <c r="RQD25" s="287"/>
      <c r="RQE25" s="287"/>
      <c r="RQF25" s="287"/>
      <c r="RQG25" s="287"/>
      <c r="RQH25" s="287"/>
      <c r="RQI25" s="287"/>
      <c r="RQJ25" s="287"/>
      <c r="RQK25" s="287"/>
      <c r="RQL25" s="287"/>
      <c r="RQM25" s="287"/>
      <c r="RQN25" s="287"/>
      <c r="RQO25" s="632"/>
      <c r="RQP25" s="287"/>
      <c r="RQQ25" s="633"/>
      <c r="RQR25" s="287"/>
      <c r="RQS25" s="287"/>
      <c r="RQT25" s="287"/>
      <c r="RQU25" s="287"/>
      <c r="RQV25" s="287"/>
      <c r="RQW25" s="287"/>
      <c r="RQX25" s="287"/>
      <c r="RQY25" s="287"/>
      <c r="RQZ25" s="287"/>
      <c r="RRA25" s="287"/>
      <c r="RRB25" s="287"/>
      <c r="RRC25" s="287"/>
      <c r="RRD25" s="287"/>
      <c r="RRE25" s="632"/>
      <c r="RRF25" s="287"/>
      <c r="RRG25" s="633"/>
      <c r="RRH25" s="287"/>
      <c r="RRI25" s="287"/>
      <c r="RRJ25" s="287"/>
      <c r="RRK25" s="287"/>
      <c r="RRL25" s="287"/>
      <c r="RRM25" s="287"/>
      <c r="RRN25" s="287"/>
      <c r="RRO25" s="287"/>
      <c r="RRP25" s="287"/>
      <c r="RRQ25" s="287"/>
      <c r="RRR25" s="287"/>
      <c r="RRS25" s="287"/>
      <c r="RRT25" s="287"/>
      <c r="RRU25" s="632"/>
      <c r="RRV25" s="287"/>
      <c r="RRW25" s="633"/>
      <c r="RRX25" s="287"/>
      <c r="RRY25" s="287"/>
      <c r="RRZ25" s="287"/>
      <c r="RSA25" s="287"/>
      <c r="RSB25" s="287"/>
      <c r="RSC25" s="287"/>
      <c r="RSD25" s="287"/>
      <c r="RSE25" s="287"/>
      <c r="RSF25" s="287"/>
      <c r="RSG25" s="287"/>
      <c r="RSH25" s="287"/>
      <c r="RSI25" s="287"/>
      <c r="RSJ25" s="287"/>
      <c r="RSK25" s="632"/>
      <c r="RSL25" s="287"/>
      <c r="RSM25" s="633"/>
      <c r="RSN25" s="287"/>
      <c r="RSO25" s="287"/>
      <c r="RSP25" s="287"/>
      <c r="RSQ25" s="287"/>
      <c r="RSR25" s="287"/>
      <c r="RSS25" s="287"/>
      <c r="RST25" s="287"/>
      <c r="RSU25" s="287"/>
      <c r="RSV25" s="287"/>
      <c r="RSW25" s="287"/>
      <c r="RSX25" s="287"/>
      <c r="RSY25" s="287"/>
      <c r="RSZ25" s="287"/>
      <c r="RTA25" s="632"/>
      <c r="RTB25" s="287"/>
      <c r="RTC25" s="633"/>
      <c r="RTD25" s="287"/>
      <c r="RTE25" s="287"/>
      <c r="RTF25" s="287"/>
      <c r="RTG25" s="287"/>
      <c r="RTH25" s="287"/>
      <c r="RTI25" s="287"/>
      <c r="RTJ25" s="287"/>
      <c r="RTK25" s="287"/>
      <c r="RTL25" s="287"/>
      <c r="RTM25" s="287"/>
      <c r="RTN25" s="287"/>
      <c r="RTO25" s="287"/>
      <c r="RTP25" s="287"/>
      <c r="RTQ25" s="632"/>
      <c r="RTR25" s="287"/>
      <c r="RTS25" s="633"/>
      <c r="RTT25" s="287"/>
      <c r="RTU25" s="287"/>
      <c r="RTV25" s="287"/>
      <c r="RTW25" s="287"/>
      <c r="RTX25" s="287"/>
      <c r="RTY25" s="287"/>
      <c r="RTZ25" s="287"/>
      <c r="RUA25" s="287"/>
      <c r="RUB25" s="287"/>
      <c r="RUC25" s="287"/>
      <c r="RUD25" s="287"/>
      <c r="RUE25" s="287"/>
      <c r="RUF25" s="287"/>
      <c r="RUG25" s="632"/>
      <c r="RUH25" s="287"/>
      <c r="RUI25" s="633"/>
      <c r="RUJ25" s="287"/>
      <c r="RUK25" s="287"/>
      <c r="RUL25" s="287"/>
      <c r="RUM25" s="287"/>
      <c r="RUN25" s="287"/>
      <c r="RUO25" s="287"/>
      <c r="RUP25" s="287"/>
      <c r="RUQ25" s="287"/>
      <c r="RUR25" s="287"/>
      <c r="RUS25" s="287"/>
      <c r="RUT25" s="287"/>
      <c r="RUU25" s="287"/>
      <c r="RUV25" s="287"/>
      <c r="RUW25" s="632"/>
      <c r="RUX25" s="287"/>
      <c r="RUY25" s="633"/>
      <c r="RUZ25" s="287"/>
      <c r="RVA25" s="287"/>
      <c r="RVB25" s="287"/>
      <c r="RVC25" s="287"/>
      <c r="RVD25" s="287"/>
      <c r="RVE25" s="287"/>
      <c r="RVF25" s="287"/>
      <c r="RVG25" s="287"/>
      <c r="RVH25" s="287"/>
      <c r="RVI25" s="287"/>
      <c r="RVJ25" s="287"/>
      <c r="RVK25" s="287"/>
      <c r="RVL25" s="287"/>
      <c r="RVM25" s="632"/>
      <c r="RVN25" s="287"/>
      <c r="RVO25" s="633"/>
      <c r="RVP25" s="287"/>
      <c r="RVQ25" s="287"/>
      <c r="RVR25" s="287"/>
      <c r="RVS25" s="287"/>
      <c r="RVT25" s="287"/>
      <c r="RVU25" s="287"/>
      <c r="RVV25" s="287"/>
      <c r="RVW25" s="287"/>
      <c r="RVX25" s="287"/>
      <c r="RVY25" s="287"/>
      <c r="RVZ25" s="287"/>
      <c r="RWA25" s="287"/>
      <c r="RWB25" s="287"/>
      <c r="RWC25" s="632"/>
      <c r="RWD25" s="287"/>
      <c r="RWE25" s="633"/>
      <c r="RWF25" s="287"/>
      <c r="RWG25" s="287"/>
      <c r="RWH25" s="287"/>
      <c r="RWI25" s="287"/>
      <c r="RWJ25" s="287"/>
      <c r="RWK25" s="287"/>
      <c r="RWL25" s="287"/>
      <c r="RWM25" s="287"/>
      <c r="RWN25" s="287"/>
      <c r="RWO25" s="287"/>
      <c r="RWP25" s="287"/>
      <c r="RWQ25" s="287"/>
      <c r="RWR25" s="287"/>
      <c r="RWS25" s="632"/>
      <c r="RWT25" s="287"/>
      <c r="RWU25" s="633"/>
      <c r="RWV25" s="287"/>
      <c r="RWW25" s="287"/>
      <c r="RWX25" s="287"/>
      <c r="RWY25" s="287"/>
      <c r="RWZ25" s="287"/>
      <c r="RXA25" s="287"/>
      <c r="RXB25" s="287"/>
      <c r="RXC25" s="287"/>
      <c r="RXD25" s="287"/>
      <c r="RXE25" s="287"/>
      <c r="RXF25" s="287"/>
      <c r="RXG25" s="287"/>
      <c r="RXH25" s="287"/>
      <c r="RXI25" s="632"/>
      <c r="RXJ25" s="287"/>
      <c r="RXK25" s="633"/>
      <c r="RXL25" s="287"/>
      <c r="RXM25" s="287"/>
      <c r="RXN25" s="287"/>
      <c r="RXO25" s="287"/>
      <c r="RXP25" s="287"/>
      <c r="RXQ25" s="287"/>
      <c r="RXR25" s="287"/>
      <c r="RXS25" s="287"/>
      <c r="RXT25" s="287"/>
      <c r="RXU25" s="287"/>
      <c r="RXV25" s="287"/>
      <c r="RXW25" s="287"/>
      <c r="RXX25" s="287"/>
      <c r="RXY25" s="632"/>
      <c r="RXZ25" s="287"/>
      <c r="RYA25" s="633"/>
      <c r="RYB25" s="287"/>
      <c r="RYC25" s="287"/>
      <c r="RYD25" s="287"/>
      <c r="RYE25" s="287"/>
      <c r="RYF25" s="287"/>
      <c r="RYG25" s="287"/>
      <c r="RYH25" s="287"/>
      <c r="RYI25" s="287"/>
      <c r="RYJ25" s="287"/>
      <c r="RYK25" s="287"/>
      <c r="RYL25" s="287"/>
      <c r="RYM25" s="287"/>
      <c r="RYN25" s="287"/>
      <c r="RYO25" s="632"/>
      <c r="RYP25" s="287"/>
      <c r="RYQ25" s="633"/>
      <c r="RYR25" s="287"/>
      <c r="RYS25" s="287"/>
      <c r="RYT25" s="287"/>
      <c r="RYU25" s="287"/>
      <c r="RYV25" s="287"/>
      <c r="RYW25" s="287"/>
      <c r="RYX25" s="287"/>
      <c r="RYY25" s="287"/>
      <c r="RYZ25" s="287"/>
      <c r="RZA25" s="287"/>
      <c r="RZB25" s="287"/>
      <c r="RZC25" s="287"/>
      <c r="RZD25" s="287"/>
      <c r="RZE25" s="632"/>
      <c r="RZF25" s="287"/>
      <c r="RZG25" s="633"/>
      <c r="RZH25" s="287"/>
      <c r="RZI25" s="287"/>
      <c r="RZJ25" s="287"/>
      <c r="RZK25" s="287"/>
      <c r="RZL25" s="287"/>
      <c r="RZM25" s="287"/>
      <c r="RZN25" s="287"/>
      <c r="RZO25" s="287"/>
      <c r="RZP25" s="287"/>
      <c r="RZQ25" s="287"/>
      <c r="RZR25" s="287"/>
      <c r="RZS25" s="287"/>
      <c r="RZT25" s="287"/>
      <c r="RZU25" s="632"/>
      <c r="RZV25" s="287"/>
      <c r="RZW25" s="633"/>
      <c r="RZX25" s="287"/>
      <c r="RZY25" s="287"/>
      <c r="RZZ25" s="287"/>
      <c r="SAA25" s="287"/>
      <c r="SAB25" s="287"/>
      <c r="SAC25" s="287"/>
      <c r="SAD25" s="287"/>
      <c r="SAE25" s="287"/>
      <c r="SAF25" s="287"/>
      <c r="SAG25" s="287"/>
      <c r="SAH25" s="287"/>
      <c r="SAI25" s="287"/>
      <c r="SAJ25" s="287"/>
      <c r="SAK25" s="632"/>
      <c r="SAL25" s="287"/>
      <c r="SAM25" s="633"/>
      <c r="SAN25" s="287"/>
      <c r="SAO25" s="287"/>
      <c r="SAP25" s="287"/>
      <c r="SAQ25" s="287"/>
      <c r="SAR25" s="287"/>
      <c r="SAS25" s="287"/>
      <c r="SAT25" s="287"/>
      <c r="SAU25" s="287"/>
      <c r="SAV25" s="287"/>
      <c r="SAW25" s="287"/>
      <c r="SAX25" s="287"/>
      <c r="SAY25" s="287"/>
      <c r="SAZ25" s="287"/>
      <c r="SBA25" s="632"/>
      <c r="SBB25" s="287"/>
      <c r="SBC25" s="633"/>
      <c r="SBD25" s="287"/>
      <c r="SBE25" s="287"/>
      <c r="SBF25" s="287"/>
      <c r="SBG25" s="287"/>
      <c r="SBH25" s="287"/>
      <c r="SBI25" s="287"/>
      <c r="SBJ25" s="287"/>
      <c r="SBK25" s="287"/>
      <c r="SBL25" s="287"/>
      <c r="SBM25" s="287"/>
      <c r="SBN25" s="287"/>
      <c r="SBO25" s="287"/>
      <c r="SBP25" s="287"/>
      <c r="SBQ25" s="632"/>
      <c r="SBR25" s="287"/>
      <c r="SBS25" s="633"/>
      <c r="SBT25" s="287"/>
      <c r="SBU25" s="287"/>
      <c r="SBV25" s="287"/>
      <c r="SBW25" s="287"/>
      <c r="SBX25" s="287"/>
      <c r="SBY25" s="287"/>
      <c r="SBZ25" s="287"/>
      <c r="SCA25" s="287"/>
      <c r="SCB25" s="287"/>
      <c r="SCC25" s="287"/>
      <c r="SCD25" s="287"/>
      <c r="SCE25" s="287"/>
      <c r="SCF25" s="287"/>
      <c r="SCG25" s="632"/>
      <c r="SCH25" s="287"/>
      <c r="SCI25" s="633"/>
      <c r="SCJ25" s="287"/>
      <c r="SCK25" s="287"/>
      <c r="SCL25" s="287"/>
      <c r="SCM25" s="287"/>
      <c r="SCN25" s="287"/>
      <c r="SCO25" s="287"/>
      <c r="SCP25" s="287"/>
      <c r="SCQ25" s="287"/>
      <c r="SCR25" s="287"/>
      <c r="SCS25" s="287"/>
      <c r="SCT25" s="287"/>
      <c r="SCU25" s="287"/>
      <c r="SCV25" s="287"/>
      <c r="SCW25" s="632"/>
      <c r="SCX25" s="287"/>
      <c r="SCY25" s="633"/>
      <c r="SCZ25" s="287"/>
      <c r="SDA25" s="287"/>
      <c r="SDB25" s="287"/>
      <c r="SDC25" s="287"/>
      <c r="SDD25" s="287"/>
      <c r="SDE25" s="287"/>
      <c r="SDF25" s="287"/>
      <c r="SDG25" s="287"/>
      <c r="SDH25" s="287"/>
      <c r="SDI25" s="287"/>
      <c r="SDJ25" s="287"/>
      <c r="SDK25" s="287"/>
      <c r="SDL25" s="287"/>
      <c r="SDM25" s="632"/>
      <c r="SDN25" s="287"/>
      <c r="SDO25" s="633"/>
      <c r="SDP25" s="287"/>
      <c r="SDQ25" s="287"/>
      <c r="SDR25" s="287"/>
      <c r="SDS25" s="287"/>
      <c r="SDT25" s="287"/>
      <c r="SDU25" s="287"/>
      <c r="SDV25" s="287"/>
      <c r="SDW25" s="287"/>
      <c r="SDX25" s="287"/>
      <c r="SDY25" s="287"/>
      <c r="SDZ25" s="287"/>
      <c r="SEA25" s="287"/>
      <c r="SEB25" s="287"/>
      <c r="SEC25" s="632"/>
      <c r="SED25" s="287"/>
      <c r="SEE25" s="633"/>
      <c r="SEF25" s="287"/>
      <c r="SEG25" s="287"/>
      <c r="SEH25" s="287"/>
      <c r="SEI25" s="287"/>
      <c r="SEJ25" s="287"/>
      <c r="SEK25" s="287"/>
      <c r="SEL25" s="287"/>
      <c r="SEM25" s="287"/>
      <c r="SEN25" s="287"/>
      <c r="SEO25" s="287"/>
      <c r="SEP25" s="287"/>
      <c r="SEQ25" s="287"/>
      <c r="SER25" s="287"/>
      <c r="SES25" s="632"/>
      <c r="SET25" s="287"/>
      <c r="SEU25" s="633"/>
      <c r="SEV25" s="287"/>
      <c r="SEW25" s="287"/>
      <c r="SEX25" s="287"/>
      <c r="SEY25" s="287"/>
      <c r="SEZ25" s="287"/>
      <c r="SFA25" s="287"/>
      <c r="SFB25" s="287"/>
      <c r="SFC25" s="287"/>
      <c r="SFD25" s="287"/>
      <c r="SFE25" s="287"/>
      <c r="SFF25" s="287"/>
      <c r="SFG25" s="287"/>
      <c r="SFH25" s="287"/>
      <c r="SFI25" s="632"/>
      <c r="SFJ25" s="287"/>
      <c r="SFK25" s="633"/>
      <c r="SFL25" s="287"/>
      <c r="SFM25" s="287"/>
      <c r="SFN25" s="287"/>
      <c r="SFO25" s="287"/>
      <c r="SFP25" s="287"/>
      <c r="SFQ25" s="287"/>
      <c r="SFR25" s="287"/>
      <c r="SFS25" s="287"/>
      <c r="SFT25" s="287"/>
      <c r="SFU25" s="287"/>
      <c r="SFV25" s="287"/>
      <c r="SFW25" s="287"/>
      <c r="SFX25" s="287"/>
      <c r="SFY25" s="632"/>
      <c r="SFZ25" s="287"/>
      <c r="SGA25" s="633"/>
      <c r="SGB25" s="287"/>
      <c r="SGC25" s="287"/>
      <c r="SGD25" s="287"/>
      <c r="SGE25" s="287"/>
      <c r="SGF25" s="287"/>
      <c r="SGG25" s="287"/>
      <c r="SGH25" s="287"/>
      <c r="SGI25" s="287"/>
      <c r="SGJ25" s="287"/>
      <c r="SGK25" s="287"/>
      <c r="SGL25" s="287"/>
      <c r="SGM25" s="287"/>
      <c r="SGN25" s="287"/>
      <c r="SGO25" s="632"/>
      <c r="SGP25" s="287"/>
      <c r="SGQ25" s="633"/>
      <c r="SGR25" s="287"/>
      <c r="SGS25" s="287"/>
      <c r="SGT25" s="287"/>
      <c r="SGU25" s="287"/>
      <c r="SGV25" s="287"/>
      <c r="SGW25" s="287"/>
      <c r="SGX25" s="287"/>
      <c r="SGY25" s="287"/>
      <c r="SGZ25" s="287"/>
      <c r="SHA25" s="287"/>
      <c r="SHB25" s="287"/>
      <c r="SHC25" s="287"/>
      <c r="SHD25" s="287"/>
      <c r="SHE25" s="632"/>
      <c r="SHF25" s="287"/>
      <c r="SHG25" s="633"/>
      <c r="SHH25" s="287"/>
      <c r="SHI25" s="287"/>
      <c r="SHJ25" s="287"/>
      <c r="SHK25" s="287"/>
      <c r="SHL25" s="287"/>
      <c r="SHM25" s="287"/>
      <c r="SHN25" s="287"/>
      <c r="SHO25" s="287"/>
      <c r="SHP25" s="287"/>
      <c r="SHQ25" s="287"/>
      <c r="SHR25" s="287"/>
      <c r="SHS25" s="287"/>
      <c r="SHT25" s="287"/>
      <c r="SHU25" s="632"/>
      <c r="SHV25" s="287"/>
      <c r="SHW25" s="633"/>
      <c r="SHX25" s="287"/>
      <c r="SHY25" s="287"/>
      <c r="SHZ25" s="287"/>
      <c r="SIA25" s="287"/>
      <c r="SIB25" s="287"/>
      <c r="SIC25" s="287"/>
      <c r="SID25" s="287"/>
      <c r="SIE25" s="287"/>
      <c r="SIF25" s="287"/>
      <c r="SIG25" s="287"/>
      <c r="SIH25" s="287"/>
      <c r="SII25" s="287"/>
      <c r="SIJ25" s="287"/>
      <c r="SIK25" s="632"/>
      <c r="SIL25" s="287"/>
      <c r="SIM25" s="633"/>
      <c r="SIN25" s="287"/>
      <c r="SIO25" s="287"/>
      <c r="SIP25" s="287"/>
      <c r="SIQ25" s="287"/>
      <c r="SIR25" s="287"/>
      <c r="SIS25" s="287"/>
      <c r="SIT25" s="287"/>
      <c r="SIU25" s="287"/>
      <c r="SIV25" s="287"/>
      <c r="SIW25" s="287"/>
      <c r="SIX25" s="287"/>
      <c r="SIY25" s="287"/>
      <c r="SIZ25" s="287"/>
      <c r="SJA25" s="632"/>
      <c r="SJB25" s="287"/>
      <c r="SJC25" s="633"/>
      <c r="SJD25" s="287"/>
      <c r="SJE25" s="287"/>
      <c r="SJF25" s="287"/>
      <c r="SJG25" s="287"/>
      <c r="SJH25" s="287"/>
      <c r="SJI25" s="287"/>
      <c r="SJJ25" s="287"/>
      <c r="SJK25" s="287"/>
      <c r="SJL25" s="287"/>
      <c r="SJM25" s="287"/>
      <c r="SJN25" s="287"/>
      <c r="SJO25" s="287"/>
      <c r="SJP25" s="287"/>
      <c r="SJQ25" s="632"/>
      <c r="SJR25" s="287"/>
      <c r="SJS25" s="633"/>
      <c r="SJT25" s="287"/>
      <c r="SJU25" s="287"/>
      <c r="SJV25" s="287"/>
      <c r="SJW25" s="287"/>
      <c r="SJX25" s="287"/>
      <c r="SJY25" s="287"/>
      <c r="SJZ25" s="287"/>
      <c r="SKA25" s="287"/>
      <c r="SKB25" s="287"/>
      <c r="SKC25" s="287"/>
      <c r="SKD25" s="287"/>
      <c r="SKE25" s="287"/>
      <c r="SKF25" s="287"/>
      <c r="SKG25" s="632"/>
      <c r="SKH25" s="287"/>
      <c r="SKI25" s="633"/>
      <c r="SKJ25" s="287"/>
      <c r="SKK25" s="287"/>
      <c r="SKL25" s="287"/>
      <c r="SKM25" s="287"/>
      <c r="SKN25" s="287"/>
      <c r="SKO25" s="287"/>
      <c r="SKP25" s="287"/>
      <c r="SKQ25" s="287"/>
      <c r="SKR25" s="287"/>
      <c r="SKS25" s="287"/>
      <c r="SKT25" s="287"/>
      <c r="SKU25" s="287"/>
      <c r="SKV25" s="287"/>
      <c r="SKW25" s="632"/>
      <c r="SKX25" s="287"/>
      <c r="SKY25" s="633"/>
      <c r="SKZ25" s="287"/>
      <c r="SLA25" s="287"/>
      <c r="SLB25" s="287"/>
      <c r="SLC25" s="287"/>
      <c r="SLD25" s="287"/>
      <c r="SLE25" s="287"/>
      <c r="SLF25" s="287"/>
      <c r="SLG25" s="287"/>
      <c r="SLH25" s="287"/>
      <c r="SLI25" s="287"/>
      <c r="SLJ25" s="287"/>
      <c r="SLK25" s="287"/>
      <c r="SLL25" s="287"/>
      <c r="SLM25" s="632"/>
      <c r="SLN25" s="287"/>
      <c r="SLO25" s="633"/>
      <c r="SLP25" s="287"/>
      <c r="SLQ25" s="287"/>
      <c r="SLR25" s="287"/>
      <c r="SLS25" s="287"/>
      <c r="SLT25" s="287"/>
      <c r="SLU25" s="287"/>
      <c r="SLV25" s="287"/>
      <c r="SLW25" s="287"/>
      <c r="SLX25" s="287"/>
      <c r="SLY25" s="287"/>
      <c r="SLZ25" s="287"/>
      <c r="SMA25" s="287"/>
      <c r="SMB25" s="287"/>
      <c r="SMC25" s="632"/>
      <c r="SMD25" s="287"/>
      <c r="SME25" s="633"/>
      <c r="SMF25" s="287"/>
      <c r="SMG25" s="287"/>
      <c r="SMH25" s="287"/>
      <c r="SMI25" s="287"/>
      <c r="SMJ25" s="287"/>
      <c r="SMK25" s="287"/>
      <c r="SML25" s="287"/>
      <c r="SMM25" s="287"/>
      <c r="SMN25" s="287"/>
      <c r="SMO25" s="287"/>
      <c r="SMP25" s="287"/>
      <c r="SMQ25" s="287"/>
      <c r="SMR25" s="287"/>
      <c r="SMS25" s="632"/>
      <c r="SMT25" s="287"/>
      <c r="SMU25" s="633"/>
      <c r="SMV25" s="287"/>
      <c r="SMW25" s="287"/>
      <c r="SMX25" s="287"/>
      <c r="SMY25" s="287"/>
      <c r="SMZ25" s="287"/>
      <c r="SNA25" s="287"/>
      <c r="SNB25" s="287"/>
      <c r="SNC25" s="287"/>
      <c r="SND25" s="287"/>
      <c r="SNE25" s="287"/>
      <c r="SNF25" s="287"/>
      <c r="SNG25" s="287"/>
      <c r="SNH25" s="287"/>
      <c r="SNI25" s="632"/>
      <c r="SNJ25" s="287"/>
      <c r="SNK25" s="633"/>
      <c r="SNL25" s="287"/>
      <c r="SNM25" s="287"/>
      <c r="SNN25" s="287"/>
      <c r="SNO25" s="287"/>
      <c r="SNP25" s="287"/>
      <c r="SNQ25" s="287"/>
      <c r="SNR25" s="287"/>
      <c r="SNS25" s="287"/>
      <c r="SNT25" s="287"/>
      <c r="SNU25" s="287"/>
      <c r="SNV25" s="287"/>
      <c r="SNW25" s="287"/>
      <c r="SNX25" s="287"/>
      <c r="SNY25" s="632"/>
      <c r="SNZ25" s="287"/>
      <c r="SOA25" s="633"/>
      <c r="SOB25" s="287"/>
      <c r="SOC25" s="287"/>
      <c r="SOD25" s="287"/>
      <c r="SOE25" s="287"/>
      <c r="SOF25" s="287"/>
      <c r="SOG25" s="287"/>
      <c r="SOH25" s="287"/>
      <c r="SOI25" s="287"/>
      <c r="SOJ25" s="287"/>
      <c r="SOK25" s="287"/>
      <c r="SOL25" s="287"/>
      <c r="SOM25" s="287"/>
      <c r="SON25" s="287"/>
      <c r="SOO25" s="632"/>
      <c r="SOP25" s="287"/>
      <c r="SOQ25" s="633"/>
      <c r="SOR25" s="287"/>
      <c r="SOS25" s="287"/>
      <c r="SOT25" s="287"/>
      <c r="SOU25" s="287"/>
      <c r="SOV25" s="287"/>
      <c r="SOW25" s="287"/>
      <c r="SOX25" s="287"/>
      <c r="SOY25" s="287"/>
      <c r="SOZ25" s="287"/>
      <c r="SPA25" s="287"/>
      <c r="SPB25" s="287"/>
      <c r="SPC25" s="287"/>
      <c r="SPD25" s="287"/>
      <c r="SPE25" s="632"/>
      <c r="SPF25" s="287"/>
      <c r="SPG25" s="633"/>
      <c r="SPH25" s="287"/>
      <c r="SPI25" s="287"/>
      <c r="SPJ25" s="287"/>
      <c r="SPK25" s="287"/>
      <c r="SPL25" s="287"/>
      <c r="SPM25" s="287"/>
      <c r="SPN25" s="287"/>
      <c r="SPO25" s="287"/>
      <c r="SPP25" s="287"/>
      <c r="SPQ25" s="287"/>
      <c r="SPR25" s="287"/>
      <c r="SPS25" s="287"/>
      <c r="SPT25" s="287"/>
      <c r="SPU25" s="632"/>
      <c r="SPV25" s="287"/>
      <c r="SPW25" s="633"/>
      <c r="SPX25" s="287"/>
      <c r="SPY25" s="287"/>
      <c r="SPZ25" s="287"/>
      <c r="SQA25" s="287"/>
      <c r="SQB25" s="287"/>
      <c r="SQC25" s="287"/>
      <c r="SQD25" s="287"/>
      <c r="SQE25" s="287"/>
      <c r="SQF25" s="287"/>
      <c r="SQG25" s="287"/>
      <c r="SQH25" s="287"/>
      <c r="SQI25" s="287"/>
      <c r="SQJ25" s="287"/>
      <c r="SQK25" s="632"/>
      <c r="SQL25" s="287"/>
      <c r="SQM25" s="633"/>
      <c r="SQN25" s="287"/>
      <c r="SQO25" s="287"/>
      <c r="SQP25" s="287"/>
      <c r="SQQ25" s="287"/>
      <c r="SQR25" s="287"/>
      <c r="SQS25" s="287"/>
      <c r="SQT25" s="287"/>
      <c r="SQU25" s="287"/>
      <c r="SQV25" s="287"/>
      <c r="SQW25" s="287"/>
      <c r="SQX25" s="287"/>
      <c r="SQY25" s="287"/>
      <c r="SQZ25" s="287"/>
      <c r="SRA25" s="632"/>
      <c r="SRB25" s="287"/>
      <c r="SRC25" s="633"/>
      <c r="SRD25" s="287"/>
      <c r="SRE25" s="287"/>
      <c r="SRF25" s="287"/>
      <c r="SRG25" s="287"/>
      <c r="SRH25" s="287"/>
      <c r="SRI25" s="287"/>
      <c r="SRJ25" s="287"/>
      <c r="SRK25" s="287"/>
      <c r="SRL25" s="287"/>
      <c r="SRM25" s="287"/>
      <c r="SRN25" s="287"/>
      <c r="SRO25" s="287"/>
      <c r="SRP25" s="287"/>
      <c r="SRQ25" s="632"/>
      <c r="SRR25" s="287"/>
      <c r="SRS25" s="633"/>
      <c r="SRT25" s="287"/>
      <c r="SRU25" s="287"/>
      <c r="SRV25" s="287"/>
      <c r="SRW25" s="287"/>
      <c r="SRX25" s="287"/>
      <c r="SRY25" s="287"/>
      <c r="SRZ25" s="287"/>
      <c r="SSA25" s="287"/>
      <c r="SSB25" s="287"/>
      <c r="SSC25" s="287"/>
      <c r="SSD25" s="287"/>
      <c r="SSE25" s="287"/>
      <c r="SSF25" s="287"/>
      <c r="SSG25" s="632"/>
      <c r="SSH25" s="287"/>
      <c r="SSI25" s="633"/>
      <c r="SSJ25" s="287"/>
      <c r="SSK25" s="287"/>
      <c r="SSL25" s="287"/>
      <c r="SSM25" s="287"/>
      <c r="SSN25" s="287"/>
      <c r="SSO25" s="287"/>
      <c r="SSP25" s="287"/>
      <c r="SSQ25" s="287"/>
      <c r="SSR25" s="287"/>
      <c r="SSS25" s="287"/>
      <c r="SST25" s="287"/>
      <c r="SSU25" s="287"/>
      <c r="SSV25" s="287"/>
      <c r="SSW25" s="632"/>
      <c r="SSX25" s="287"/>
      <c r="SSY25" s="633"/>
      <c r="SSZ25" s="287"/>
      <c r="STA25" s="287"/>
      <c r="STB25" s="287"/>
      <c r="STC25" s="287"/>
      <c r="STD25" s="287"/>
      <c r="STE25" s="287"/>
      <c r="STF25" s="287"/>
      <c r="STG25" s="287"/>
      <c r="STH25" s="287"/>
      <c r="STI25" s="287"/>
      <c r="STJ25" s="287"/>
      <c r="STK25" s="287"/>
      <c r="STL25" s="287"/>
      <c r="STM25" s="632"/>
      <c r="STN25" s="287"/>
      <c r="STO25" s="633"/>
      <c r="STP25" s="287"/>
      <c r="STQ25" s="287"/>
      <c r="STR25" s="287"/>
      <c r="STS25" s="287"/>
      <c r="STT25" s="287"/>
      <c r="STU25" s="287"/>
      <c r="STV25" s="287"/>
      <c r="STW25" s="287"/>
      <c r="STX25" s="287"/>
      <c r="STY25" s="287"/>
      <c r="STZ25" s="287"/>
      <c r="SUA25" s="287"/>
      <c r="SUB25" s="287"/>
      <c r="SUC25" s="632"/>
      <c r="SUD25" s="287"/>
      <c r="SUE25" s="633"/>
      <c r="SUF25" s="287"/>
      <c r="SUG25" s="287"/>
      <c r="SUH25" s="287"/>
      <c r="SUI25" s="287"/>
      <c r="SUJ25" s="287"/>
      <c r="SUK25" s="287"/>
      <c r="SUL25" s="287"/>
      <c r="SUM25" s="287"/>
      <c r="SUN25" s="287"/>
      <c r="SUO25" s="287"/>
      <c r="SUP25" s="287"/>
      <c r="SUQ25" s="287"/>
      <c r="SUR25" s="287"/>
      <c r="SUS25" s="632"/>
      <c r="SUT25" s="287"/>
      <c r="SUU25" s="633"/>
      <c r="SUV25" s="287"/>
      <c r="SUW25" s="287"/>
      <c r="SUX25" s="287"/>
      <c r="SUY25" s="287"/>
      <c r="SUZ25" s="287"/>
      <c r="SVA25" s="287"/>
      <c r="SVB25" s="287"/>
      <c r="SVC25" s="287"/>
      <c r="SVD25" s="287"/>
      <c r="SVE25" s="287"/>
      <c r="SVF25" s="287"/>
      <c r="SVG25" s="287"/>
      <c r="SVH25" s="287"/>
      <c r="SVI25" s="632"/>
      <c r="SVJ25" s="287"/>
      <c r="SVK25" s="633"/>
      <c r="SVL25" s="287"/>
      <c r="SVM25" s="287"/>
      <c r="SVN25" s="287"/>
      <c r="SVO25" s="287"/>
      <c r="SVP25" s="287"/>
      <c r="SVQ25" s="287"/>
      <c r="SVR25" s="287"/>
      <c r="SVS25" s="287"/>
      <c r="SVT25" s="287"/>
      <c r="SVU25" s="287"/>
      <c r="SVV25" s="287"/>
      <c r="SVW25" s="287"/>
      <c r="SVX25" s="287"/>
      <c r="SVY25" s="632"/>
      <c r="SVZ25" s="287"/>
      <c r="SWA25" s="633"/>
      <c r="SWB25" s="287"/>
      <c r="SWC25" s="287"/>
      <c r="SWD25" s="287"/>
      <c r="SWE25" s="287"/>
      <c r="SWF25" s="287"/>
      <c r="SWG25" s="287"/>
      <c r="SWH25" s="287"/>
      <c r="SWI25" s="287"/>
      <c r="SWJ25" s="287"/>
      <c r="SWK25" s="287"/>
      <c r="SWL25" s="287"/>
      <c r="SWM25" s="287"/>
      <c r="SWN25" s="287"/>
      <c r="SWO25" s="632"/>
      <c r="SWP25" s="287"/>
      <c r="SWQ25" s="633"/>
      <c r="SWR25" s="287"/>
      <c r="SWS25" s="287"/>
      <c r="SWT25" s="287"/>
      <c r="SWU25" s="287"/>
      <c r="SWV25" s="287"/>
      <c r="SWW25" s="287"/>
      <c r="SWX25" s="287"/>
      <c r="SWY25" s="287"/>
      <c r="SWZ25" s="287"/>
      <c r="SXA25" s="287"/>
      <c r="SXB25" s="287"/>
      <c r="SXC25" s="287"/>
      <c r="SXD25" s="287"/>
      <c r="SXE25" s="632"/>
      <c r="SXF25" s="287"/>
      <c r="SXG25" s="633"/>
      <c r="SXH25" s="287"/>
      <c r="SXI25" s="287"/>
      <c r="SXJ25" s="287"/>
      <c r="SXK25" s="287"/>
      <c r="SXL25" s="287"/>
      <c r="SXM25" s="287"/>
      <c r="SXN25" s="287"/>
      <c r="SXO25" s="287"/>
      <c r="SXP25" s="287"/>
      <c r="SXQ25" s="287"/>
      <c r="SXR25" s="287"/>
      <c r="SXS25" s="287"/>
      <c r="SXT25" s="287"/>
      <c r="SXU25" s="632"/>
      <c r="SXV25" s="287"/>
      <c r="SXW25" s="633"/>
      <c r="SXX25" s="287"/>
      <c r="SXY25" s="287"/>
      <c r="SXZ25" s="287"/>
      <c r="SYA25" s="287"/>
      <c r="SYB25" s="287"/>
      <c r="SYC25" s="287"/>
      <c r="SYD25" s="287"/>
      <c r="SYE25" s="287"/>
      <c r="SYF25" s="287"/>
      <c r="SYG25" s="287"/>
      <c r="SYH25" s="287"/>
      <c r="SYI25" s="287"/>
      <c r="SYJ25" s="287"/>
      <c r="SYK25" s="632"/>
      <c r="SYL25" s="287"/>
      <c r="SYM25" s="633"/>
      <c r="SYN25" s="287"/>
      <c r="SYO25" s="287"/>
      <c r="SYP25" s="287"/>
      <c r="SYQ25" s="287"/>
      <c r="SYR25" s="287"/>
      <c r="SYS25" s="287"/>
      <c r="SYT25" s="287"/>
      <c r="SYU25" s="287"/>
      <c r="SYV25" s="287"/>
      <c r="SYW25" s="287"/>
      <c r="SYX25" s="287"/>
      <c r="SYY25" s="287"/>
      <c r="SYZ25" s="287"/>
      <c r="SZA25" s="632"/>
      <c r="SZB25" s="287"/>
      <c r="SZC25" s="633"/>
      <c r="SZD25" s="287"/>
      <c r="SZE25" s="287"/>
      <c r="SZF25" s="287"/>
      <c r="SZG25" s="287"/>
      <c r="SZH25" s="287"/>
      <c r="SZI25" s="287"/>
      <c r="SZJ25" s="287"/>
      <c r="SZK25" s="287"/>
      <c r="SZL25" s="287"/>
      <c r="SZM25" s="287"/>
      <c r="SZN25" s="287"/>
      <c r="SZO25" s="287"/>
      <c r="SZP25" s="287"/>
      <c r="SZQ25" s="632"/>
      <c r="SZR25" s="287"/>
      <c r="SZS25" s="633"/>
      <c r="SZT25" s="287"/>
      <c r="SZU25" s="287"/>
      <c r="SZV25" s="287"/>
      <c r="SZW25" s="287"/>
      <c r="SZX25" s="287"/>
      <c r="SZY25" s="287"/>
      <c r="SZZ25" s="287"/>
      <c r="TAA25" s="287"/>
      <c r="TAB25" s="287"/>
      <c r="TAC25" s="287"/>
      <c r="TAD25" s="287"/>
      <c r="TAE25" s="287"/>
      <c r="TAF25" s="287"/>
      <c r="TAG25" s="632"/>
      <c r="TAH25" s="287"/>
      <c r="TAI25" s="633"/>
      <c r="TAJ25" s="287"/>
      <c r="TAK25" s="287"/>
      <c r="TAL25" s="287"/>
      <c r="TAM25" s="287"/>
      <c r="TAN25" s="287"/>
      <c r="TAO25" s="287"/>
      <c r="TAP25" s="287"/>
      <c r="TAQ25" s="287"/>
      <c r="TAR25" s="287"/>
      <c r="TAS25" s="287"/>
      <c r="TAT25" s="287"/>
      <c r="TAU25" s="287"/>
      <c r="TAV25" s="287"/>
      <c r="TAW25" s="632"/>
      <c r="TAX25" s="287"/>
      <c r="TAY25" s="633"/>
      <c r="TAZ25" s="287"/>
      <c r="TBA25" s="287"/>
      <c r="TBB25" s="287"/>
      <c r="TBC25" s="287"/>
      <c r="TBD25" s="287"/>
      <c r="TBE25" s="287"/>
      <c r="TBF25" s="287"/>
      <c r="TBG25" s="287"/>
      <c r="TBH25" s="287"/>
      <c r="TBI25" s="287"/>
      <c r="TBJ25" s="287"/>
      <c r="TBK25" s="287"/>
      <c r="TBL25" s="287"/>
      <c r="TBM25" s="632"/>
      <c r="TBN25" s="287"/>
      <c r="TBO25" s="633"/>
      <c r="TBP25" s="287"/>
      <c r="TBQ25" s="287"/>
      <c r="TBR25" s="287"/>
      <c r="TBS25" s="287"/>
      <c r="TBT25" s="287"/>
      <c r="TBU25" s="287"/>
      <c r="TBV25" s="287"/>
      <c r="TBW25" s="287"/>
      <c r="TBX25" s="287"/>
      <c r="TBY25" s="287"/>
      <c r="TBZ25" s="287"/>
      <c r="TCA25" s="287"/>
      <c r="TCB25" s="287"/>
      <c r="TCC25" s="632"/>
      <c r="TCD25" s="287"/>
      <c r="TCE25" s="633"/>
      <c r="TCF25" s="287"/>
      <c r="TCG25" s="287"/>
      <c r="TCH25" s="287"/>
      <c r="TCI25" s="287"/>
      <c r="TCJ25" s="287"/>
      <c r="TCK25" s="287"/>
      <c r="TCL25" s="287"/>
      <c r="TCM25" s="287"/>
      <c r="TCN25" s="287"/>
      <c r="TCO25" s="287"/>
      <c r="TCP25" s="287"/>
      <c r="TCQ25" s="287"/>
      <c r="TCR25" s="287"/>
      <c r="TCS25" s="632"/>
      <c r="TCT25" s="287"/>
      <c r="TCU25" s="633"/>
      <c r="TCV25" s="287"/>
      <c r="TCW25" s="287"/>
      <c r="TCX25" s="287"/>
      <c r="TCY25" s="287"/>
      <c r="TCZ25" s="287"/>
      <c r="TDA25" s="287"/>
      <c r="TDB25" s="287"/>
      <c r="TDC25" s="287"/>
      <c r="TDD25" s="287"/>
      <c r="TDE25" s="287"/>
      <c r="TDF25" s="287"/>
      <c r="TDG25" s="287"/>
      <c r="TDH25" s="287"/>
      <c r="TDI25" s="632"/>
      <c r="TDJ25" s="287"/>
      <c r="TDK25" s="633"/>
      <c r="TDL25" s="287"/>
      <c r="TDM25" s="287"/>
      <c r="TDN25" s="287"/>
      <c r="TDO25" s="287"/>
      <c r="TDP25" s="287"/>
      <c r="TDQ25" s="287"/>
      <c r="TDR25" s="287"/>
      <c r="TDS25" s="287"/>
      <c r="TDT25" s="287"/>
      <c r="TDU25" s="287"/>
      <c r="TDV25" s="287"/>
      <c r="TDW25" s="287"/>
      <c r="TDX25" s="287"/>
      <c r="TDY25" s="632"/>
      <c r="TDZ25" s="287"/>
      <c r="TEA25" s="633"/>
      <c r="TEB25" s="287"/>
      <c r="TEC25" s="287"/>
      <c r="TED25" s="287"/>
      <c r="TEE25" s="287"/>
      <c r="TEF25" s="287"/>
      <c r="TEG25" s="287"/>
      <c r="TEH25" s="287"/>
      <c r="TEI25" s="287"/>
      <c r="TEJ25" s="287"/>
      <c r="TEK25" s="287"/>
      <c r="TEL25" s="287"/>
      <c r="TEM25" s="287"/>
      <c r="TEN25" s="287"/>
      <c r="TEO25" s="632"/>
      <c r="TEP25" s="287"/>
      <c r="TEQ25" s="633"/>
      <c r="TER25" s="287"/>
      <c r="TES25" s="287"/>
      <c r="TET25" s="287"/>
      <c r="TEU25" s="287"/>
      <c r="TEV25" s="287"/>
      <c r="TEW25" s="287"/>
      <c r="TEX25" s="287"/>
      <c r="TEY25" s="287"/>
      <c r="TEZ25" s="287"/>
      <c r="TFA25" s="287"/>
      <c r="TFB25" s="287"/>
      <c r="TFC25" s="287"/>
      <c r="TFD25" s="287"/>
      <c r="TFE25" s="632"/>
      <c r="TFF25" s="287"/>
      <c r="TFG25" s="633"/>
      <c r="TFH25" s="287"/>
      <c r="TFI25" s="287"/>
      <c r="TFJ25" s="287"/>
      <c r="TFK25" s="287"/>
      <c r="TFL25" s="287"/>
      <c r="TFM25" s="287"/>
      <c r="TFN25" s="287"/>
      <c r="TFO25" s="287"/>
      <c r="TFP25" s="287"/>
      <c r="TFQ25" s="287"/>
      <c r="TFR25" s="287"/>
      <c r="TFS25" s="287"/>
      <c r="TFT25" s="287"/>
      <c r="TFU25" s="632"/>
      <c r="TFV25" s="287"/>
      <c r="TFW25" s="633"/>
      <c r="TFX25" s="287"/>
      <c r="TFY25" s="287"/>
      <c r="TFZ25" s="287"/>
      <c r="TGA25" s="287"/>
      <c r="TGB25" s="287"/>
      <c r="TGC25" s="287"/>
      <c r="TGD25" s="287"/>
      <c r="TGE25" s="287"/>
      <c r="TGF25" s="287"/>
      <c r="TGG25" s="287"/>
      <c r="TGH25" s="287"/>
      <c r="TGI25" s="287"/>
      <c r="TGJ25" s="287"/>
      <c r="TGK25" s="632"/>
      <c r="TGL25" s="287"/>
      <c r="TGM25" s="633"/>
      <c r="TGN25" s="287"/>
      <c r="TGO25" s="287"/>
      <c r="TGP25" s="287"/>
      <c r="TGQ25" s="287"/>
      <c r="TGR25" s="287"/>
      <c r="TGS25" s="287"/>
      <c r="TGT25" s="287"/>
      <c r="TGU25" s="287"/>
      <c r="TGV25" s="287"/>
      <c r="TGW25" s="287"/>
      <c r="TGX25" s="287"/>
      <c r="TGY25" s="287"/>
      <c r="TGZ25" s="287"/>
      <c r="THA25" s="632"/>
      <c r="THB25" s="287"/>
      <c r="THC25" s="633"/>
      <c r="THD25" s="287"/>
      <c r="THE25" s="287"/>
      <c r="THF25" s="287"/>
      <c r="THG25" s="287"/>
      <c r="THH25" s="287"/>
      <c r="THI25" s="287"/>
      <c r="THJ25" s="287"/>
      <c r="THK25" s="287"/>
      <c r="THL25" s="287"/>
      <c r="THM25" s="287"/>
      <c r="THN25" s="287"/>
      <c r="THO25" s="287"/>
      <c r="THP25" s="287"/>
      <c r="THQ25" s="632"/>
      <c r="THR25" s="287"/>
      <c r="THS25" s="633"/>
      <c r="THT25" s="287"/>
      <c r="THU25" s="287"/>
      <c r="THV25" s="287"/>
      <c r="THW25" s="287"/>
      <c r="THX25" s="287"/>
      <c r="THY25" s="287"/>
      <c r="THZ25" s="287"/>
      <c r="TIA25" s="287"/>
      <c r="TIB25" s="287"/>
      <c r="TIC25" s="287"/>
      <c r="TID25" s="287"/>
      <c r="TIE25" s="287"/>
      <c r="TIF25" s="287"/>
      <c r="TIG25" s="632"/>
      <c r="TIH25" s="287"/>
      <c r="TII25" s="633"/>
      <c r="TIJ25" s="287"/>
      <c r="TIK25" s="287"/>
      <c r="TIL25" s="287"/>
      <c r="TIM25" s="287"/>
      <c r="TIN25" s="287"/>
      <c r="TIO25" s="287"/>
      <c r="TIP25" s="287"/>
      <c r="TIQ25" s="287"/>
      <c r="TIR25" s="287"/>
      <c r="TIS25" s="287"/>
      <c r="TIT25" s="287"/>
      <c r="TIU25" s="287"/>
      <c r="TIV25" s="287"/>
      <c r="TIW25" s="632"/>
      <c r="TIX25" s="287"/>
      <c r="TIY25" s="633"/>
      <c r="TIZ25" s="287"/>
      <c r="TJA25" s="287"/>
      <c r="TJB25" s="287"/>
      <c r="TJC25" s="287"/>
      <c r="TJD25" s="287"/>
      <c r="TJE25" s="287"/>
      <c r="TJF25" s="287"/>
      <c r="TJG25" s="287"/>
      <c r="TJH25" s="287"/>
      <c r="TJI25" s="287"/>
      <c r="TJJ25" s="287"/>
      <c r="TJK25" s="287"/>
      <c r="TJL25" s="287"/>
      <c r="TJM25" s="632"/>
      <c r="TJN25" s="287"/>
      <c r="TJO25" s="633"/>
      <c r="TJP25" s="287"/>
      <c r="TJQ25" s="287"/>
      <c r="TJR25" s="287"/>
      <c r="TJS25" s="287"/>
      <c r="TJT25" s="287"/>
      <c r="TJU25" s="287"/>
      <c r="TJV25" s="287"/>
      <c r="TJW25" s="287"/>
      <c r="TJX25" s="287"/>
      <c r="TJY25" s="287"/>
      <c r="TJZ25" s="287"/>
      <c r="TKA25" s="287"/>
      <c r="TKB25" s="287"/>
      <c r="TKC25" s="632"/>
      <c r="TKD25" s="287"/>
      <c r="TKE25" s="633"/>
      <c r="TKF25" s="287"/>
      <c r="TKG25" s="287"/>
      <c r="TKH25" s="287"/>
      <c r="TKI25" s="287"/>
      <c r="TKJ25" s="287"/>
      <c r="TKK25" s="287"/>
      <c r="TKL25" s="287"/>
      <c r="TKM25" s="287"/>
      <c r="TKN25" s="287"/>
      <c r="TKO25" s="287"/>
      <c r="TKP25" s="287"/>
      <c r="TKQ25" s="287"/>
      <c r="TKR25" s="287"/>
      <c r="TKS25" s="632"/>
      <c r="TKT25" s="287"/>
      <c r="TKU25" s="633"/>
      <c r="TKV25" s="287"/>
      <c r="TKW25" s="287"/>
      <c r="TKX25" s="287"/>
      <c r="TKY25" s="287"/>
      <c r="TKZ25" s="287"/>
      <c r="TLA25" s="287"/>
      <c r="TLB25" s="287"/>
      <c r="TLC25" s="287"/>
      <c r="TLD25" s="287"/>
      <c r="TLE25" s="287"/>
      <c r="TLF25" s="287"/>
      <c r="TLG25" s="287"/>
      <c r="TLH25" s="287"/>
      <c r="TLI25" s="632"/>
      <c r="TLJ25" s="287"/>
      <c r="TLK25" s="633"/>
      <c r="TLL25" s="287"/>
      <c r="TLM25" s="287"/>
      <c r="TLN25" s="287"/>
      <c r="TLO25" s="287"/>
      <c r="TLP25" s="287"/>
      <c r="TLQ25" s="287"/>
      <c r="TLR25" s="287"/>
      <c r="TLS25" s="287"/>
      <c r="TLT25" s="287"/>
      <c r="TLU25" s="287"/>
      <c r="TLV25" s="287"/>
      <c r="TLW25" s="287"/>
      <c r="TLX25" s="287"/>
      <c r="TLY25" s="632"/>
      <c r="TLZ25" s="287"/>
      <c r="TMA25" s="633"/>
      <c r="TMB25" s="287"/>
      <c r="TMC25" s="287"/>
      <c r="TMD25" s="287"/>
      <c r="TME25" s="287"/>
      <c r="TMF25" s="287"/>
      <c r="TMG25" s="287"/>
      <c r="TMH25" s="287"/>
      <c r="TMI25" s="287"/>
      <c r="TMJ25" s="287"/>
      <c r="TMK25" s="287"/>
      <c r="TML25" s="287"/>
      <c r="TMM25" s="287"/>
      <c r="TMN25" s="287"/>
      <c r="TMO25" s="632"/>
      <c r="TMP25" s="287"/>
      <c r="TMQ25" s="633"/>
      <c r="TMR25" s="287"/>
      <c r="TMS25" s="287"/>
      <c r="TMT25" s="287"/>
      <c r="TMU25" s="287"/>
      <c r="TMV25" s="287"/>
      <c r="TMW25" s="287"/>
      <c r="TMX25" s="287"/>
      <c r="TMY25" s="287"/>
      <c r="TMZ25" s="287"/>
      <c r="TNA25" s="287"/>
      <c r="TNB25" s="287"/>
      <c r="TNC25" s="287"/>
      <c r="TND25" s="287"/>
      <c r="TNE25" s="632"/>
      <c r="TNF25" s="287"/>
      <c r="TNG25" s="633"/>
      <c r="TNH25" s="287"/>
      <c r="TNI25" s="287"/>
      <c r="TNJ25" s="287"/>
      <c r="TNK25" s="287"/>
      <c r="TNL25" s="287"/>
      <c r="TNM25" s="287"/>
      <c r="TNN25" s="287"/>
      <c r="TNO25" s="287"/>
      <c r="TNP25" s="287"/>
      <c r="TNQ25" s="287"/>
      <c r="TNR25" s="287"/>
      <c r="TNS25" s="287"/>
      <c r="TNT25" s="287"/>
      <c r="TNU25" s="632"/>
      <c r="TNV25" s="287"/>
      <c r="TNW25" s="633"/>
      <c r="TNX25" s="287"/>
      <c r="TNY25" s="287"/>
      <c r="TNZ25" s="287"/>
      <c r="TOA25" s="287"/>
      <c r="TOB25" s="287"/>
      <c r="TOC25" s="287"/>
      <c r="TOD25" s="287"/>
      <c r="TOE25" s="287"/>
      <c r="TOF25" s="287"/>
      <c r="TOG25" s="287"/>
      <c r="TOH25" s="287"/>
      <c r="TOI25" s="287"/>
      <c r="TOJ25" s="287"/>
      <c r="TOK25" s="632"/>
      <c r="TOL25" s="287"/>
      <c r="TOM25" s="633"/>
      <c r="TON25" s="287"/>
      <c r="TOO25" s="287"/>
      <c r="TOP25" s="287"/>
      <c r="TOQ25" s="287"/>
      <c r="TOR25" s="287"/>
      <c r="TOS25" s="287"/>
      <c r="TOT25" s="287"/>
      <c r="TOU25" s="287"/>
      <c r="TOV25" s="287"/>
      <c r="TOW25" s="287"/>
      <c r="TOX25" s="287"/>
      <c r="TOY25" s="287"/>
      <c r="TOZ25" s="287"/>
      <c r="TPA25" s="632"/>
      <c r="TPB25" s="287"/>
      <c r="TPC25" s="633"/>
      <c r="TPD25" s="287"/>
      <c r="TPE25" s="287"/>
      <c r="TPF25" s="287"/>
      <c r="TPG25" s="287"/>
      <c r="TPH25" s="287"/>
      <c r="TPI25" s="287"/>
      <c r="TPJ25" s="287"/>
      <c r="TPK25" s="287"/>
      <c r="TPL25" s="287"/>
      <c r="TPM25" s="287"/>
      <c r="TPN25" s="287"/>
      <c r="TPO25" s="287"/>
      <c r="TPP25" s="287"/>
      <c r="TPQ25" s="632"/>
      <c r="TPR25" s="287"/>
      <c r="TPS25" s="633"/>
      <c r="TPT25" s="287"/>
      <c r="TPU25" s="287"/>
      <c r="TPV25" s="287"/>
      <c r="TPW25" s="287"/>
      <c r="TPX25" s="287"/>
      <c r="TPY25" s="287"/>
      <c r="TPZ25" s="287"/>
      <c r="TQA25" s="287"/>
      <c r="TQB25" s="287"/>
      <c r="TQC25" s="287"/>
      <c r="TQD25" s="287"/>
      <c r="TQE25" s="287"/>
      <c r="TQF25" s="287"/>
      <c r="TQG25" s="632"/>
      <c r="TQH25" s="287"/>
      <c r="TQI25" s="633"/>
      <c r="TQJ25" s="287"/>
      <c r="TQK25" s="287"/>
      <c r="TQL25" s="287"/>
      <c r="TQM25" s="287"/>
      <c r="TQN25" s="287"/>
      <c r="TQO25" s="287"/>
      <c r="TQP25" s="287"/>
      <c r="TQQ25" s="287"/>
      <c r="TQR25" s="287"/>
      <c r="TQS25" s="287"/>
      <c r="TQT25" s="287"/>
      <c r="TQU25" s="287"/>
      <c r="TQV25" s="287"/>
      <c r="TQW25" s="632"/>
      <c r="TQX25" s="287"/>
      <c r="TQY25" s="633"/>
      <c r="TQZ25" s="287"/>
      <c r="TRA25" s="287"/>
      <c r="TRB25" s="287"/>
      <c r="TRC25" s="287"/>
      <c r="TRD25" s="287"/>
      <c r="TRE25" s="287"/>
      <c r="TRF25" s="287"/>
      <c r="TRG25" s="287"/>
      <c r="TRH25" s="287"/>
      <c r="TRI25" s="287"/>
      <c r="TRJ25" s="287"/>
      <c r="TRK25" s="287"/>
      <c r="TRL25" s="287"/>
      <c r="TRM25" s="632"/>
      <c r="TRN25" s="287"/>
      <c r="TRO25" s="633"/>
      <c r="TRP25" s="287"/>
      <c r="TRQ25" s="287"/>
      <c r="TRR25" s="287"/>
      <c r="TRS25" s="287"/>
      <c r="TRT25" s="287"/>
      <c r="TRU25" s="287"/>
      <c r="TRV25" s="287"/>
      <c r="TRW25" s="287"/>
      <c r="TRX25" s="287"/>
      <c r="TRY25" s="287"/>
      <c r="TRZ25" s="287"/>
      <c r="TSA25" s="287"/>
      <c r="TSB25" s="287"/>
      <c r="TSC25" s="632"/>
      <c r="TSD25" s="287"/>
      <c r="TSE25" s="633"/>
      <c r="TSF25" s="287"/>
      <c r="TSG25" s="287"/>
      <c r="TSH25" s="287"/>
      <c r="TSI25" s="287"/>
      <c r="TSJ25" s="287"/>
      <c r="TSK25" s="287"/>
      <c r="TSL25" s="287"/>
      <c r="TSM25" s="287"/>
      <c r="TSN25" s="287"/>
      <c r="TSO25" s="287"/>
      <c r="TSP25" s="287"/>
      <c r="TSQ25" s="287"/>
      <c r="TSR25" s="287"/>
      <c r="TSS25" s="632"/>
      <c r="TST25" s="287"/>
      <c r="TSU25" s="633"/>
      <c r="TSV25" s="287"/>
      <c r="TSW25" s="287"/>
      <c r="TSX25" s="287"/>
      <c r="TSY25" s="287"/>
      <c r="TSZ25" s="287"/>
      <c r="TTA25" s="287"/>
      <c r="TTB25" s="287"/>
      <c r="TTC25" s="287"/>
      <c r="TTD25" s="287"/>
      <c r="TTE25" s="287"/>
      <c r="TTF25" s="287"/>
      <c r="TTG25" s="287"/>
      <c r="TTH25" s="287"/>
      <c r="TTI25" s="632"/>
      <c r="TTJ25" s="287"/>
      <c r="TTK25" s="633"/>
      <c r="TTL25" s="287"/>
      <c r="TTM25" s="287"/>
      <c r="TTN25" s="287"/>
      <c r="TTO25" s="287"/>
      <c r="TTP25" s="287"/>
      <c r="TTQ25" s="287"/>
      <c r="TTR25" s="287"/>
      <c r="TTS25" s="287"/>
      <c r="TTT25" s="287"/>
      <c r="TTU25" s="287"/>
      <c r="TTV25" s="287"/>
      <c r="TTW25" s="287"/>
      <c r="TTX25" s="287"/>
      <c r="TTY25" s="632"/>
      <c r="TTZ25" s="287"/>
      <c r="TUA25" s="633"/>
      <c r="TUB25" s="287"/>
      <c r="TUC25" s="287"/>
      <c r="TUD25" s="287"/>
      <c r="TUE25" s="287"/>
      <c r="TUF25" s="287"/>
      <c r="TUG25" s="287"/>
      <c r="TUH25" s="287"/>
      <c r="TUI25" s="287"/>
      <c r="TUJ25" s="287"/>
      <c r="TUK25" s="287"/>
      <c r="TUL25" s="287"/>
      <c r="TUM25" s="287"/>
      <c r="TUN25" s="287"/>
      <c r="TUO25" s="632"/>
      <c r="TUP25" s="287"/>
      <c r="TUQ25" s="633"/>
      <c r="TUR25" s="287"/>
      <c r="TUS25" s="287"/>
      <c r="TUT25" s="287"/>
      <c r="TUU25" s="287"/>
      <c r="TUV25" s="287"/>
      <c r="TUW25" s="287"/>
      <c r="TUX25" s="287"/>
      <c r="TUY25" s="287"/>
      <c r="TUZ25" s="287"/>
      <c r="TVA25" s="287"/>
      <c r="TVB25" s="287"/>
      <c r="TVC25" s="287"/>
      <c r="TVD25" s="287"/>
      <c r="TVE25" s="632"/>
      <c r="TVF25" s="287"/>
      <c r="TVG25" s="633"/>
      <c r="TVH25" s="287"/>
      <c r="TVI25" s="287"/>
      <c r="TVJ25" s="287"/>
      <c r="TVK25" s="287"/>
      <c r="TVL25" s="287"/>
      <c r="TVM25" s="287"/>
      <c r="TVN25" s="287"/>
      <c r="TVO25" s="287"/>
      <c r="TVP25" s="287"/>
      <c r="TVQ25" s="287"/>
      <c r="TVR25" s="287"/>
      <c r="TVS25" s="287"/>
      <c r="TVT25" s="287"/>
      <c r="TVU25" s="632"/>
      <c r="TVV25" s="287"/>
      <c r="TVW25" s="633"/>
      <c r="TVX25" s="287"/>
      <c r="TVY25" s="287"/>
      <c r="TVZ25" s="287"/>
      <c r="TWA25" s="287"/>
      <c r="TWB25" s="287"/>
      <c r="TWC25" s="287"/>
      <c r="TWD25" s="287"/>
      <c r="TWE25" s="287"/>
      <c r="TWF25" s="287"/>
      <c r="TWG25" s="287"/>
      <c r="TWH25" s="287"/>
      <c r="TWI25" s="287"/>
      <c r="TWJ25" s="287"/>
      <c r="TWK25" s="632"/>
      <c r="TWL25" s="287"/>
      <c r="TWM25" s="633"/>
      <c r="TWN25" s="287"/>
      <c r="TWO25" s="287"/>
      <c r="TWP25" s="287"/>
      <c r="TWQ25" s="287"/>
      <c r="TWR25" s="287"/>
      <c r="TWS25" s="287"/>
      <c r="TWT25" s="287"/>
      <c r="TWU25" s="287"/>
      <c r="TWV25" s="287"/>
      <c r="TWW25" s="287"/>
      <c r="TWX25" s="287"/>
      <c r="TWY25" s="287"/>
      <c r="TWZ25" s="287"/>
      <c r="TXA25" s="632"/>
      <c r="TXB25" s="287"/>
      <c r="TXC25" s="633"/>
      <c r="TXD25" s="287"/>
      <c r="TXE25" s="287"/>
      <c r="TXF25" s="287"/>
      <c r="TXG25" s="287"/>
      <c r="TXH25" s="287"/>
      <c r="TXI25" s="287"/>
      <c r="TXJ25" s="287"/>
      <c r="TXK25" s="287"/>
      <c r="TXL25" s="287"/>
      <c r="TXM25" s="287"/>
      <c r="TXN25" s="287"/>
      <c r="TXO25" s="287"/>
      <c r="TXP25" s="287"/>
      <c r="TXQ25" s="632"/>
      <c r="TXR25" s="287"/>
      <c r="TXS25" s="633"/>
      <c r="TXT25" s="287"/>
      <c r="TXU25" s="287"/>
      <c r="TXV25" s="287"/>
      <c r="TXW25" s="287"/>
      <c r="TXX25" s="287"/>
      <c r="TXY25" s="287"/>
      <c r="TXZ25" s="287"/>
      <c r="TYA25" s="287"/>
      <c r="TYB25" s="287"/>
      <c r="TYC25" s="287"/>
      <c r="TYD25" s="287"/>
      <c r="TYE25" s="287"/>
      <c r="TYF25" s="287"/>
      <c r="TYG25" s="632"/>
      <c r="TYH25" s="287"/>
      <c r="TYI25" s="633"/>
      <c r="TYJ25" s="287"/>
      <c r="TYK25" s="287"/>
      <c r="TYL25" s="287"/>
      <c r="TYM25" s="287"/>
      <c r="TYN25" s="287"/>
      <c r="TYO25" s="287"/>
      <c r="TYP25" s="287"/>
      <c r="TYQ25" s="287"/>
      <c r="TYR25" s="287"/>
      <c r="TYS25" s="287"/>
      <c r="TYT25" s="287"/>
      <c r="TYU25" s="287"/>
      <c r="TYV25" s="287"/>
      <c r="TYW25" s="632"/>
      <c r="TYX25" s="287"/>
      <c r="TYY25" s="633"/>
      <c r="TYZ25" s="287"/>
      <c r="TZA25" s="287"/>
      <c r="TZB25" s="287"/>
      <c r="TZC25" s="287"/>
      <c r="TZD25" s="287"/>
      <c r="TZE25" s="287"/>
      <c r="TZF25" s="287"/>
      <c r="TZG25" s="287"/>
      <c r="TZH25" s="287"/>
      <c r="TZI25" s="287"/>
      <c r="TZJ25" s="287"/>
      <c r="TZK25" s="287"/>
      <c r="TZL25" s="287"/>
      <c r="TZM25" s="632"/>
      <c r="TZN25" s="287"/>
      <c r="TZO25" s="633"/>
      <c r="TZP25" s="287"/>
      <c r="TZQ25" s="287"/>
      <c r="TZR25" s="287"/>
      <c r="TZS25" s="287"/>
      <c r="TZT25" s="287"/>
      <c r="TZU25" s="287"/>
      <c r="TZV25" s="287"/>
      <c r="TZW25" s="287"/>
      <c r="TZX25" s="287"/>
      <c r="TZY25" s="287"/>
      <c r="TZZ25" s="287"/>
      <c r="UAA25" s="287"/>
      <c r="UAB25" s="287"/>
      <c r="UAC25" s="632"/>
      <c r="UAD25" s="287"/>
      <c r="UAE25" s="633"/>
      <c r="UAF25" s="287"/>
      <c r="UAG25" s="287"/>
      <c r="UAH25" s="287"/>
      <c r="UAI25" s="287"/>
      <c r="UAJ25" s="287"/>
      <c r="UAK25" s="287"/>
      <c r="UAL25" s="287"/>
      <c r="UAM25" s="287"/>
      <c r="UAN25" s="287"/>
      <c r="UAO25" s="287"/>
      <c r="UAP25" s="287"/>
      <c r="UAQ25" s="287"/>
      <c r="UAR25" s="287"/>
      <c r="UAS25" s="632"/>
      <c r="UAT25" s="287"/>
      <c r="UAU25" s="633"/>
      <c r="UAV25" s="287"/>
      <c r="UAW25" s="287"/>
      <c r="UAX25" s="287"/>
      <c r="UAY25" s="287"/>
      <c r="UAZ25" s="287"/>
      <c r="UBA25" s="287"/>
      <c r="UBB25" s="287"/>
      <c r="UBC25" s="287"/>
      <c r="UBD25" s="287"/>
      <c r="UBE25" s="287"/>
      <c r="UBF25" s="287"/>
      <c r="UBG25" s="287"/>
      <c r="UBH25" s="287"/>
      <c r="UBI25" s="632"/>
      <c r="UBJ25" s="287"/>
      <c r="UBK25" s="633"/>
      <c r="UBL25" s="287"/>
      <c r="UBM25" s="287"/>
      <c r="UBN25" s="287"/>
      <c r="UBO25" s="287"/>
      <c r="UBP25" s="287"/>
      <c r="UBQ25" s="287"/>
      <c r="UBR25" s="287"/>
      <c r="UBS25" s="287"/>
      <c r="UBT25" s="287"/>
      <c r="UBU25" s="287"/>
      <c r="UBV25" s="287"/>
      <c r="UBW25" s="287"/>
      <c r="UBX25" s="287"/>
      <c r="UBY25" s="632"/>
      <c r="UBZ25" s="287"/>
      <c r="UCA25" s="633"/>
      <c r="UCB25" s="287"/>
      <c r="UCC25" s="287"/>
      <c r="UCD25" s="287"/>
      <c r="UCE25" s="287"/>
      <c r="UCF25" s="287"/>
      <c r="UCG25" s="287"/>
      <c r="UCH25" s="287"/>
      <c r="UCI25" s="287"/>
      <c r="UCJ25" s="287"/>
      <c r="UCK25" s="287"/>
      <c r="UCL25" s="287"/>
      <c r="UCM25" s="287"/>
      <c r="UCN25" s="287"/>
      <c r="UCO25" s="632"/>
      <c r="UCP25" s="287"/>
      <c r="UCQ25" s="633"/>
      <c r="UCR25" s="287"/>
      <c r="UCS25" s="287"/>
      <c r="UCT25" s="287"/>
      <c r="UCU25" s="287"/>
      <c r="UCV25" s="287"/>
      <c r="UCW25" s="287"/>
      <c r="UCX25" s="287"/>
      <c r="UCY25" s="287"/>
      <c r="UCZ25" s="287"/>
      <c r="UDA25" s="287"/>
      <c r="UDB25" s="287"/>
      <c r="UDC25" s="287"/>
      <c r="UDD25" s="287"/>
      <c r="UDE25" s="632"/>
      <c r="UDF25" s="287"/>
      <c r="UDG25" s="633"/>
      <c r="UDH25" s="287"/>
      <c r="UDI25" s="287"/>
      <c r="UDJ25" s="287"/>
      <c r="UDK25" s="287"/>
      <c r="UDL25" s="287"/>
      <c r="UDM25" s="287"/>
      <c r="UDN25" s="287"/>
      <c r="UDO25" s="287"/>
      <c r="UDP25" s="287"/>
      <c r="UDQ25" s="287"/>
      <c r="UDR25" s="287"/>
      <c r="UDS25" s="287"/>
      <c r="UDT25" s="287"/>
      <c r="UDU25" s="632"/>
      <c r="UDV25" s="287"/>
      <c r="UDW25" s="633"/>
      <c r="UDX25" s="287"/>
      <c r="UDY25" s="287"/>
      <c r="UDZ25" s="287"/>
      <c r="UEA25" s="287"/>
      <c r="UEB25" s="287"/>
      <c r="UEC25" s="287"/>
      <c r="UED25" s="287"/>
      <c r="UEE25" s="287"/>
      <c r="UEF25" s="287"/>
      <c r="UEG25" s="287"/>
      <c r="UEH25" s="287"/>
      <c r="UEI25" s="287"/>
      <c r="UEJ25" s="287"/>
      <c r="UEK25" s="632"/>
      <c r="UEL25" s="287"/>
      <c r="UEM25" s="633"/>
      <c r="UEN25" s="287"/>
      <c r="UEO25" s="287"/>
      <c r="UEP25" s="287"/>
      <c r="UEQ25" s="287"/>
      <c r="UER25" s="287"/>
      <c r="UES25" s="287"/>
      <c r="UET25" s="287"/>
      <c r="UEU25" s="287"/>
      <c r="UEV25" s="287"/>
      <c r="UEW25" s="287"/>
      <c r="UEX25" s="287"/>
      <c r="UEY25" s="287"/>
      <c r="UEZ25" s="287"/>
      <c r="UFA25" s="632"/>
      <c r="UFB25" s="287"/>
      <c r="UFC25" s="633"/>
      <c r="UFD25" s="287"/>
      <c r="UFE25" s="287"/>
      <c r="UFF25" s="287"/>
      <c r="UFG25" s="287"/>
      <c r="UFH25" s="287"/>
      <c r="UFI25" s="287"/>
      <c r="UFJ25" s="287"/>
      <c r="UFK25" s="287"/>
      <c r="UFL25" s="287"/>
      <c r="UFM25" s="287"/>
      <c r="UFN25" s="287"/>
      <c r="UFO25" s="287"/>
      <c r="UFP25" s="287"/>
      <c r="UFQ25" s="632"/>
      <c r="UFR25" s="287"/>
      <c r="UFS25" s="633"/>
      <c r="UFT25" s="287"/>
      <c r="UFU25" s="287"/>
      <c r="UFV25" s="287"/>
      <c r="UFW25" s="287"/>
      <c r="UFX25" s="287"/>
      <c r="UFY25" s="287"/>
      <c r="UFZ25" s="287"/>
      <c r="UGA25" s="287"/>
      <c r="UGB25" s="287"/>
      <c r="UGC25" s="287"/>
      <c r="UGD25" s="287"/>
      <c r="UGE25" s="287"/>
      <c r="UGF25" s="287"/>
      <c r="UGG25" s="632"/>
      <c r="UGH25" s="287"/>
      <c r="UGI25" s="633"/>
      <c r="UGJ25" s="287"/>
      <c r="UGK25" s="287"/>
      <c r="UGL25" s="287"/>
      <c r="UGM25" s="287"/>
      <c r="UGN25" s="287"/>
      <c r="UGO25" s="287"/>
      <c r="UGP25" s="287"/>
      <c r="UGQ25" s="287"/>
      <c r="UGR25" s="287"/>
      <c r="UGS25" s="287"/>
      <c r="UGT25" s="287"/>
      <c r="UGU25" s="287"/>
      <c r="UGV25" s="287"/>
      <c r="UGW25" s="632"/>
      <c r="UGX25" s="287"/>
      <c r="UGY25" s="633"/>
      <c r="UGZ25" s="287"/>
      <c r="UHA25" s="287"/>
      <c r="UHB25" s="287"/>
      <c r="UHC25" s="287"/>
      <c r="UHD25" s="287"/>
      <c r="UHE25" s="287"/>
      <c r="UHF25" s="287"/>
      <c r="UHG25" s="287"/>
      <c r="UHH25" s="287"/>
      <c r="UHI25" s="287"/>
      <c r="UHJ25" s="287"/>
      <c r="UHK25" s="287"/>
      <c r="UHL25" s="287"/>
      <c r="UHM25" s="632"/>
      <c r="UHN25" s="287"/>
      <c r="UHO25" s="633"/>
      <c r="UHP25" s="287"/>
      <c r="UHQ25" s="287"/>
      <c r="UHR25" s="287"/>
      <c r="UHS25" s="287"/>
      <c r="UHT25" s="287"/>
      <c r="UHU25" s="287"/>
      <c r="UHV25" s="287"/>
      <c r="UHW25" s="287"/>
      <c r="UHX25" s="287"/>
      <c r="UHY25" s="287"/>
      <c r="UHZ25" s="287"/>
      <c r="UIA25" s="287"/>
      <c r="UIB25" s="287"/>
      <c r="UIC25" s="632"/>
      <c r="UID25" s="287"/>
      <c r="UIE25" s="633"/>
      <c r="UIF25" s="287"/>
      <c r="UIG25" s="287"/>
      <c r="UIH25" s="287"/>
      <c r="UII25" s="287"/>
      <c r="UIJ25" s="287"/>
      <c r="UIK25" s="287"/>
      <c r="UIL25" s="287"/>
      <c r="UIM25" s="287"/>
      <c r="UIN25" s="287"/>
      <c r="UIO25" s="287"/>
      <c r="UIP25" s="287"/>
      <c r="UIQ25" s="287"/>
      <c r="UIR25" s="287"/>
      <c r="UIS25" s="632"/>
      <c r="UIT25" s="287"/>
      <c r="UIU25" s="633"/>
      <c r="UIV25" s="287"/>
      <c r="UIW25" s="287"/>
      <c r="UIX25" s="287"/>
      <c r="UIY25" s="287"/>
      <c r="UIZ25" s="287"/>
      <c r="UJA25" s="287"/>
      <c r="UJB25" s="287"/>
      <c r="UJC25" s="287"/>
      <c r="UJD25" s="287"/>
      <c r="UJE25" s="287"/>
      <c r="UJF25" s="287"/>
      <c r="UJG25" s="287"/>
      <c r="UJH25" s="287"/>
      <c r="UJI25" s="632"/>
      <c r="UJJ25" s="287"/>
      <c r="UJK25" s="633"/>
      <c r="UJL25" s="287"/>
      <c r="UJM25" s="287"/>
      <c r="UJN25" s="287"/>
      <c r="UJO25" s="287"/>
      <c r="UJP25" s="287"/>
      <c r="UJQ25" s="287"/>
      <c r="UJR25" s="287"/>
      <c r="UJS25" s="287"/>
      <c r="UJT25" s="287"/>
      <c r="UJU25" s="287"/>
      <c r="UJV25" s="287"/>
      <c r="UJW25" s="287"/>
      <c r="UJX25" s="287"/>
      <c r="UJY25" s="632"/>
      <c r="UJZ25" s="287"/>
      <c r="UKA25" s="633"/>
      <c r="UKB25" s="287"/>
      <c r="UKC25" s="287"/>
      <c r="UKD25" s="287"/>
      <c r="UKE25" s="287"/>
      <c r="UKF25" s="287"/>
      <c r="UKG25" s="287"/>
      <c r="UKH25" s="287"/>
      <c r="UKI25" s="287"/>
      <c r="UKJ25" s="287"/>
      <c r="UKK25" s="287"/>
      <c r="UKL25" s="287"/>
      <c r="UKM25" s="287"/>
      <c r="UKN25" s="287"/>
      <c r="UKO25" s="632"/>
      <c r="UKP25" s="287"/>
      <c r="UKQ25" s="633"/>
      <c r="UKR25" s="287"/>
      <c r="UKS25" s="287"/>
      <c r="UKT25" s="287"/>
      <c r="UKU25" s="287"/>
      <c r="UKV25" s="287"/>
      <c r="UKW25" s="287"/>
      <c r="UKX25" s="287"/>
      <c r="UKY25" s="287"/>
      <c r="UKZ25" s="287"/>
      <c r="ULA25" s="287"/>
      <c r="ULB25" s="287"/>
      <c r="ULC25" s="287"/>
      <c r="ULD25" s="287"/>
      <c r="ULE25" s="632"/>
      <c r="ULF25" s="287"/>
      <c r="ULG25" s="633"/>
      <c r="ULH25" s="287"/>
      <c r="ULI25" s="287"/>
      <c r="ULJ25" s="287"/>
      <c r="ULK25" s="287"/>
      <c r="ULL25" s="287"/>
      <c r="ULM25" s="287"/>
      <c r="ULN25" s="287"/>
      <c r="ULO25" s="287"/>
      <c r="ULP25" s="287"/>
      <c r="ULQ25" s="287"/>
      <c r="ULR25" s="287"/>
      <c r="ULS25" s="287"/>
      <c r="ULT25" s="287"/>
      <c r="ULU25" s="632"/>
      <c r="ULV25" s="287"/>
      <c r="ULW25" s="633"/>
      <c r="ULX25" s="287"/>
      <c r="ULY25" s="287"/>
      <c r="ULZ25" s="287"/>
      <c r="UMA25" s="287"/>
      <c r="UMB25" s="287"/>
      <c r="UMC25" s="287"/>
      <c r="UMD25" s="287"/>
      <c r="UME25" s="287"/>
      <c r="UMF25" s="287"/>
      <c r="UMG25" s="287"/>
      <c r="UMH25" s="287"/>
      <c r="UMI25" s="287"/>
      <c r="UMJ25" s="287"/>
      <c r="UMK25" s="632"/>
      <c r="UML25" s="287"/>
      <c r="UMM25" s="633"/>
      <c r="UMN25" s="287"/>
      <c r="UMO25" s="287"/>
      <c r="UMP25" s="287"/>
      <c r="UMQ25" s="287"/>
      <c r="UMR25" s="287"/>
      <c r="UMS25" s="287"/>
      <c r="UMT25" s="287"/>
      <c r="UMU25" s="287"/>
      <c r="UMV25" s="287"/>
      <c r="UMW25" s="287"/>
      <c r="UMX25" s="287"/>
      <c r="UMY25" s="287"/>
      <c r="UMZ25" s="287"/>
      <c r="UNA25" s="632"/>
      <c r="UNB25" s="287"/>
      <c r="UNC25" s="633"/>
      <c r="UND25" s="287"/>
      <c r="UNE25" s="287"/>
      <c r="UNF25" s="287"/>
      <c r="UNG25" s="287"/>
      <c r="UNH25" s="287"/>
      <c r="UNI25" s="287"/>
      <c r="UNJ25" s="287"/>
      <c r="UNK25" s="287"/>
      <c r="UNL25" s="287"/>
      <c r="UNM25" s="287"/>
      <c r="UNN25" s="287"/>
      <c r="UNO25" s="287"/>
      <c r="UNP25" s="287"/>
      <c r="UNQ25" s="632"/>
      <c r="UNR25" s="287"/>
      <c r="UNS25" s="633"/>
      <c r="UNT25" s="287"/>
      <c r="UNU25" s="287"/>
      <c r="UNV25" s="287"/>
      <c r="UNW25" s="287"/>
      <c r="UNX25" s="287"/>
      <c r="UNY25" s="287"/>
      <c r="UNZ25" s="287"/>
      <c r="UOA25" s="287"/>
      <c r="UOB25" s="287"/>
      <c r="UOC25" s="287"/>
      <c r="UOD25" s="287"/>
      <c r="UOE25" s="287"/>
      <c r="UOF25" s="287"/>
      <c r="UOG25" s="632"/>
      <c r="UOH25" s="287"/>
      <c r="UOI25" s="633"/>
      <c r="UOJ25" s="287"/>
      <c r="UOK25" s="287"/>
      <c r="UOL25" s="287"/>
      <c r="UOM25" s="287"/>
      <c r="UON25" s="287"/>
      <c r="UOO25" s="287"/>
      <c r="UOP25" s="287"/>
      <c r="UOQ25" s="287"/>
      <c r="UOR25" s="287"/>
      <c r="UOS25" s="287"/>
      <c r="UOT25" s="287"/>
      <c r="UOU25" s="287"/>
      <c r="UOV25" s="287"/>
      <c r="UOW25" s="632"/>
      <c r="UOX25" s="287"/>
      <c r="UOY25" s="633"/>
      <c r="UOZ25" s="287"/>
      <c r="UPA25" s="287"/>
      <c r="UPB25" s="287"/>
      <c r="UPC25" s="287"/>
      <c r="UPD25" s="287"/>
      <c r="UPE25" s="287"/>
      <c r="UPF25" s="287"/>
      <c r="UPG25" s="287"/>
      <c r="UPH25" s="287"/>
      <c r="UPI25" s="287"/>
      <c r="UPJ25" s="287"/>
      <c r="UPK25" s="287"/>
      <c r="UPL25" s="287"/>
      <c r="UPM25" s="632"/>
      <c r="UPN25" s="287"/>
      <c r="UPO25" s="633"/>
      <c r="UPP25" s="287"/>
      <c r="UPQ25" s="287"/>
      <c r="UPR25" s="287"/>
      <c r="UPS25" s="287"/>
      <c r="UPT25" s="287"/>
      <c r="UPU25" s="287"/>
      <c r="UPV25" s="287"/>
      <c r="UPW25" s="287"/>
      <c r="UPX25" s="287"/>
      <c r="UPY25" s="287"/>
      <c r="UPZ25" s="287"/>
      <c r="UQA25" s="287"/>
      <c r="UQB25" s="287"/>
      <c r="UQC25" s="632"/>
      <c r="UQD25" s="287"/>
      <c r="UQE25" s="633"/>
      <c r="UQF25" s="287"/>
      <c r="UQG25" s="287"/>
      <c r="UQH25" s="287"/>
      <c r="UQI25" s="287"/>
      <c r="UQJ25" s="287"/>
      <c r="UQK25" s="287"/>
      <c r="UQL25" s="287"/>
      <c r="UQM25" s="287"/>
      <c r="UQN25" s="287"/>
      <c r="UQO25" s="287"/>
      <c r="UQP25" s="287"/>
      <c r="UQQ25" s="287"/>
      <c r="UQR25" s="287"/>
      <c r="UQS25" s="632"/>
      <c r="UQT25" s="287"/>
      <c r="UQU25" s="633"/>
      <c r="UQV25" s="287"/>
      <c r="UQW25" s="287"/>
      <c r="UQX25" s="287"/>
      <c r="UQY25" s="287"/>
      <c r="UQZ25" s="287"/>
      <c r="URA25" s="287"/>
      <c r="URB25" s="287"/>
      <c r="URC25" s="287"/>
      <c r="URD25" s="287"/>
      <c r="URE25" s="287"/>
      <c r="URF25" s="287"/>
      <c r="URG25" s="287"/>
      <c r="URH25" s="287"/>
      <c r="URI25" s="632"/>
      <c r="URJ25" s="287"/>
      <c r="URK25" s="633"/>
      <c r="URL25" s="287"/>
      <c r="URM25" s="287"/>
      <c r="URN25" s="287"/>
      <c r="URO25" s="287"/>
      <c r="URP25" s="287"/>
      <c r="URQ25" s="287"/>
      <c r="URR25" s="287"/>
      <c r="URS25" s="287"/>
      <c r="URT25" s="287"/>
      <c r="URU25" s="287"/>
      <c r="URV25" s="287"/>
      <c r="URW25" s="287"/>
      <c r="URX25" s="287"/>
      <c r="URY25" s="632"/>
      <c r="URZ25" s="287"/>
      <c r="USA25" s="633"/>
      <c r="USB25" s="287"/>
      <c r="USC25" s="287"/>
      <c r="USD25" s="287"/>
      <c r="USE25" s="287"/>
      <c r="USF25" s="287"/>
      <c r="USG25" s="287"/>
      <c r="USH25" s="287"/>
      <c r="USI25" s="287"/>
      <c r="USJ25" s="287"/>
      <c r="USK25" s="287"/>
      <c r="USL25" s="287"/>
      <c r="USM25" s="287"/>
      <c r="USN25" s="287"/>
      <c r="USO25" s="632"/>
      <c r="USP25" s="287"/>
      <c r="USQ25" s="633"/>
      <c r="USR25" s="287"/>
      <c r="USS25" s="287"/>
      <c r="UST25" s="287"/>
      <c r="USU25" s="287"/>
      <c r="USV25" s="287"/>
      <c r="USW25" s="287"/>
      <c r="USX25" s="287"/>
      <c r="USY25" s="287"/>
      <c r="USZ25" s="287"/>
      <c r="UTA25" s="287"/>
      <c r="UTB25" s="287"/>
      <c r="UTC25" s="287"/>
      <c r="UTD25" s="287"/>
      <c r="UTE25" s="632"/>
      <c r="UTF25" s="287"/>
      <c r="UTG25" s="633"/>
      <c r="UTH25" s="287"/>
      <c r="UTI25" s="287"/>
      <c r="UTJ25" s="287"/>
      <c r="UTK25" s="287"/>
      <c r="UTL25" s="287"/>
      <c r="UTM25" s="287"/>
      <c r="UTN25" s="287"/>
      <c r="UTO25" s="287"/>
      <c r="UTP25" s="287"/>
      <c r="UTQ25" s="287"/>
      <c r="UTR25" s="287"/>
      <c r="UTS25" s="287"/>
      <c r="UTT25" s="287"/>
      <c r="UTU25" s="632"/>
      <c r="UTV25" s="287"/>
      <c r="UTW25" s="633"/>
      <c r="UTX25" s="287"/>
      <c r="UTY25" s="287"/>
      <c r="UTZ25" s="287"/>
      <c r="UUA25" s="287"/>
      <c r="UUB25" s="287"/>
      <c r="UUC25" s="287"/>
      <c r="UUD25" s="287"/>
      <c r="UUE25" s="287"/>
      <c r="UUF25" s="287"/>
      <c r="UUG25" s="287"/>
      <c r="UUH25" s="287"/>
      <c r="UUI25" s="287"/>
      <c r="UUJ25" s="287"/>
      <c r="UUK25" s="632"/>
      <c r="UUL25" s="287"/>
      <c r="UUM25" s="633"/>
      <c r="UUN25" s="287"/>
      <c r="UUO25" s="287"/>
      <c r="UUP25" s="287"/>
      <c r="UUQ25" s="287"/>
      <c r="UUR25" s="287"/>
      <c r="UUS25" s="287"/>
      <c r="UUT25" s="287"/>
      <c r="UUU25" s="287"/>
      <c r="UUV25" s="287"/>
      <c r="UUW25" s="287"/>
      <c r="UUX25" s="287"/>
      <c r="UUY25" s="287"/>
      <c r="UUZ25" s="287"/>
      <c r="UVA25" s="632"/>
      <c r="UVB25" s="287"/>
      <c r="UVC25" s="633"/>
      <c r="UVD25" s="287"/>
      <c r="UVE25" s="287"/>
      <c r="UVF25" s="287"/>
      <c r="UVG25" s="287"/>
      <c r="UVH25" s="287"/>
      <c r="UVI25" s="287"/>
      <c r="UVJ25" s="287"/>
      <c r="UVK25" s="287"/>
      <c r="UVL25" s="287"/>
      <c r="UVM25" s="287"/>
      <c r="UVN25" s="287"/>
      <c r="UVO25" s="287"/>
      <c r="UVP25" s="287"/>
      <c r="UVQ25" s="632"/>
      <c r="UVR25" s="287"/>
      <c r="UVS25" s="633"/>
      <c r="UVT25" s="287"/>
      <c r="UVU25" s="287"/>
      <c r="UVV25" s="287"/>
      <c r="UVW25" s="287"/>
      <c r="UVX25" s="287"/>
      <c r="UVY25" s="287"/>
      <c r="UVZ25" s="287"/>
      <c r="UWA25" s="287"/>
      <c r="UWB25" s="287"/>
      <c r="UWC25" s="287"/>
      <c r="UWD25" s="287"/>
      <c r="UWE25" s="287"/>
      <c r="UWF25" s="287"/>
      <c r="UWG25" s="632"/>
      <c r="UWH25" s="287"/>
      <c r="UWI25" s="633"/>
      <c r="UWJ25" s="287"/>
      <c r="UWK25" s="287"/>
      <c r="UWL25" s="287"/>
      <c r="UWM25" s="287"/>
      <c r="UWN25" s="287"/>
      <c r="UWO25" s="287"/>
      <c r="UWP25" s="287"/>
      <c r="UWQ25" s="287"/>
      <c r="UWR25" s="287"/>
      <c r="UWS25" s="287"/>
      <c r="UWT25" s="287"/>
      <c r="UWU25" s="287"/>
      <c r="UWV25" s="287"/>
      <c r="UWW25" s="632"/>
      <c r="UWX25" s="287"/>
      <c r="UWY25" s="633"/>
      <c r="UWZ25" s="287"/>
      <c r="UXA25" s="287"/>
      <c r="UXB25" s="287"/>
      <c r="UXC25" s="287"/>
      <c r="UXD25" s="287"/>
      <c r="UXE25" s="287"/>
      <c r="UXF25" s="287"/>
      <c r="UXG25" s="287"/>
      <c r="UXH25" s="287"/>
      <c r="UXI25" s="287"/>
      <c r="UXJ25" s="287"/>
      <c r="UXK25" s="287"/>
      <c r="UXL25" s="287"/>
      <c r="UXM25" s="632"/>
      <c r="UXN25" s="287"/>
      <c r="UXO25" s="633"/>
      <c r="UXP25" s="287"/>
      <c r="UXQ25" s="287"/>
      <c r="UXR25" s="287"/>
      <c r="UXS25" s="287"/>
      <c r="UXT25" s="287"/>
      <c r="UXU25" s="287"/>
      <c r="UXV25" s="287"/>
      <c r="UXW25" s="287"/>
      <c r="UXX25" s="287"/>
      <c r="UXY25" s="287"/>
      <c r="UXZ25" s="287"/>
      <c r="UYA25" s="287"/>
      <c r="UYB25" s="287"/>
      <c r="UYC25" s="632"/>
      <c r="UYD25" s="287"/>
      <c r="UYE25" s="633"/>
      <c r="UYF25" s="287"/>
      <c r="UYG25" s="287"/>
      <c r="UYH25" s="287"/>
      <c r="UYI25" s="287"/>
      <c r="UYJ25" s="287"/>
      <c r="UYK25" s="287"/>
      <c r="UYL25" s="287"/>
      <c r="UYM25" s="287"/>
      <c r="UYN25" s="287"/>
      <c r="UYO25" s="287"/>
      <c r="UYP25" s="287"/>
      <c r="UYQ25" s="287"/>
      <c r="UYR25" s="287"/>
      <c r="UYS25" s="632"/>
      <c r="UYT25" s="287"/>
      <c r="UYU25" s="633"/>
      <c r="UYV25" s="287"/>
      <c r="UYW25" s="287"/>
      <c r="UYX25" s="287"/>
      <c r="UYY25" s="287"/>
      <c r="UYZ25" s="287"/>
      <c r="UZA25" s="287"/>
      <c r="UZB25" s="287"/>
      <c r="UZC25" s="287"/>
      <c r="UZD25" s="287"/>
      <c r="UZE25" s="287"/>
      <c r="UZF25" s="287"/>
      <c r="UZG25" s="287"/>
      <c r="UZH25" s="287"/>
      <c r="UZI25" s="632"/>
      <c r="UZJ25" s="287"/>
      <c r="UZK25" s="633"/>
      <c r="UZL25" s="287"/>
      <c r="UZM25" s="287"/>
      <c r="UZN25" s="287"/>
      <c r="UZO25" s="287"/>
      <c r="UZP25" s="287"/>
      <c r="UZQ25" s="287"/>
      <c r="UZR25" s="287"/>
      <c r="UZS25" s="287"/>
      <c r="UZT25" s="287"/>
      <c r="UZU25" s="287"/>
      <c r="UZV25" s="287"/>
      <c r="UZW25" s="287"/>
      <c r="UZX25" s="287"/>
      <c r="UZY25" s="632"/>
      <c r="UZZ25" s="287"/>
      <c r="VAA25" s="633"/>
      <c r="VAB25" s="287"/>
      <c r="VAC25" s="287"/>
      <c r="VAD25" s="287"/>
      <c r="VAE25" s="287"/>
      <c r="VAF25" s="287"/>
      <c r="VAG25" s="287"/>
      <c r="VAH25" s="287"/>
      <c r="VAI25" s="287"/>
      <c r="VAJ25" s="287"/>
      <c r="VAK25" s="287"/>
      <c r="VAL25" s="287"/>
      <c r="VAM25" s="287"/>
      <c r="VAN25" s="287"/>
      <c r="VAO25" s="632"/>
      <c r="VAP25" s="287"/>
      <c r="VAQ25" s="633"/>
      <c r="VAR25" s="287"/>
      <c r="VAS25" s="287"/>
      <c r="VAT25" s="287"/>
      <c r="VAU25" s="287"/>
      <c r="VAV25" s="287"/>
      <c r="VAW25" s="287"/>
      <c r="VAX25" s="287"/>
      <c r="VAY25" s="287"/>
      <c r="VAZ25" s="287"/>
      <c r="VBA25" s="287"/>
      <c r="VBB25" s="287"/>
      <c r="VBC25" s="287"/>
      <c r="VBD25" s="287"/>
      <c r="VBE25" s="632"/>
      <c r="VBF25" s="287"/>
      <c r="VBG25" s="633"/>
      <c r="VBH25" s="287"/>
      <c r="VBI25" s="287"/>
      <c r="VBJ25" s="287"/>
      <c r="VBK25" s="287"/>
      <c r="VBL25" s="287"/>
      <c r="VBM25" s="287"/>
      <c r="VBN25" s="287"/>
      <c r="VBO25" s="287"/>
      <c r="VBP25" s="287"/>
      <c r="VBQ25" s="287"/>
      <c r="VBR25" s="287"/>
      <c r="VBS25" s="287"/>
      <c r="VBT25" s="287"/>
      <c r="VBU25" s="632"/>
      <c r="VBV25" s="287"/>
      <c r="VBW25" s="633"/>
      <c r="VBX25" s="287"/>
      <c r="VBY25" s="287"/>
      <c r="VBZ25" s="287"/>
      <c r="VCA25" s="287"/>
      <c r="VCB25" s="287"/>
      <c r="VCC25" s="287"/>
      <c r="VCD25" s="287"/>
      <c r="VCE25" s="287"/>
      <c r="VCF25" s="287"/>
      <c r="VCG25" s="287"/>
      <c r="VCH25" s="287"/>
      <c r="VCI25" s="287"/>
      <c r="VCJ25" s="287"/>
      <c r="VCK25" s="632"/>
      <c r="VCL25" s="287"/>
      <c r="VCM25" s="633"/>
      <c r="VCN25" s="287"/>
      <c r="VCO25" s="287"/>
      <c r="VCP25" s="287"/>
      <c r="VCQ25" s="287"/>
      <c r="VCR25" s="287"/>
      <c r="VCS25" s="287"/>
      <c r="VCT25" s="287"/>
      <c r="VCU25" s="287"/>
      <c r="VCV25" s="287"/>
      <c r="VCW25" s="287"/>
      <c r="VCX25" s="287"/>
      <c r="VCY25" s="287"/>
      <c r="VCZ25" s="287"/>
      <c r="VDA25" s="632"/>
      <c r="VDB25" s="287"/>
      <c r="VDC25" s="633"/>
      <c r="VDD25" s="287"/>
      <c r="VDE25" s="287"/>
      <c r="VDF25" s="287"/>
      <c r="VDG25" s="287"/>
      <c r="VDH25" s="287"/>
      <c r="VDI25" s="287"/>
      <c r="VDJ25" s="287"/>
      <c r="VDK25" s="287"/>
      <c r="VDL25" s="287"/>
      <c r="VDM25" s="287"/>
      <c r="VDN25" s="287"/>
      <c r="VDO25" s="287"/>
      <c r="VDP25" s="287"/>
      <c r="VDQ25" s="632"/>
      <c r="VDR25" s="287"/>
      <c r="VDS25" s="633"/>
      <c r="VDT25" s="287"/>
      <c r="VDU25" s="287"/>
      <c r="VDV25" s="287"/>
      <c r="VDW25" s="287"/>
      <c r="VDX25" s="287"/>
      <c r="VDY25" s="287"/>
      <c r="VDZ25" s="287"/>
      <c r="VEA25" s="287"/>
      <c r="VEB25" s="287"/>
      <c r="VEC25" s="287"/>
      <c r="VED25" s="287"/>
      <c r="VEE25" s="287"/>
      <c r="VEF25" s="287"/>
      <c r="VEG25" s="632"/>
      <c r="VEH25" s="287"/>
      <c r="VEI25" s="633"/>
      <c r="VEJ25" s="287"/>
      <c r="VEK25" s="287"/>
      <c r="VEL25" s="287"/>
      <c r="VEM25" s="287"/>
      <c r="VEN25" s="287"/>
      <c r="VEO25" s="287"/>
      <c r="VEP25" s="287"/>
      <c r="VEQ25" s="287"/>
      <c r="VER25" s="287"/>
      <c r="VES25" s="287"/>
      <c r="VET25" s="287"/>
      <c r="VEU25" s="287"/>
      <c r="VEV25" s="287"/>
      <c r="VEW25" s="632"/>
      <c r="VEX25" s="287"/>
      <c r="VEY25" s="633"/>
      <c r="VEZ25" s="287"/>
      <c r="VFA25" s="287"/>
      <c r="VFB25" s="287"/>
      <c r="VFC25" s="287"/>
      <c r="VFD25" s="287"/>
      <c r="VFE25" s="287"/>
      <c r="VFF25" s="287"/>
      <c r="VFG25" s="287"/>
      <c r="VFH25" s="287"/>
      <c r="VFI25" s="287"/>
      <c r="VFJ25" s="287"/>
      <c r="VFK25" s="287"/>
      <c r="VFL25" s="287"/>
      <c r="VFM25" s="632"/>
      <c r="VFN25" s="287"/>
      <c r="VFO25" s="633"/>
      <c r="VFP25" s="287"/>
      <c r="VFQ25" s="287"/>
      <c r="VFR25" s="287"/>
      <c r="VFS25" s="287"/>
      <c r="VFT25" s="287"/>
      <c r="VFU25" s="287"/>
      <c r="VFV25" s="287"/>
      <c r="VFW25" s="287"/>
      <c r="VFX25" s="287"/>
      <c r="VFY25" s="287"/>
      <c r="VFZ25" s="287"/>
      <c r="VGA25" s="287"/>
      <c r="VGB25" s="287"/>
      <c r="VGC25" s="632"/>
      <c r="VGD25" s="287"/>
      <c r="VGE25" s="633"/>
      <c r="VGF25" s="287"/>
      <c r="VGG25" s="287"/>
      <c r="VGH25" s="287"/>
      <c r="VGI25" s="287"/>
      <c r="VGJ25" s="287"/>
      <c r="VGK25" s="287"/>
      <c r="VGL25" s="287"/>
      <c r="VGM25" s="287"/>
      <c r="VGN25" s="287"/>
      <c r="VGO25" s="287"/>
      <c r="VGP25" s="287"/>
      <c r="VGQ25" s="287"/>
      <c r="VGR25" s="287"/>
      <c r="VGS25" s="632"/>
      <c r="VGT25" s="287"/>
      <c r="VGU25" s="633"/>
      <c r="VGV25" s="287"/>
      <c r="VGW25" s="287"/>
      <c r="VGX25" s="287"/>
      <c r="VGY25" s="287"/>
      <c r="VGZ25" s="287"/>
      <c r="VHA25" s="287"/>
      <c r="VHB25" s="287"/>
      <c r="VHC25" s="287"/>
      <c r="VHD25" s="287"/>
      <c r="VHE25" s="287"/>
      <c r="VHF25" s="287"/>
      <c r="VHG25" s="287"/>
      <c r="VHH25" s="287"/>
      <c r="VHI25" s="632"/>
      <c r="VHJ25" s="287"/>
      <c r="VHK25" s="633"/>
      <c r="VHL25" s="287"/>
      <c r="VHM25" s="287"/>
      <c r="VHN25" s="287"/>
      <c r="VHO25" s="287"/>
      <c r="VHP25" s="287"/>
      <c r="VHQ25" s="287"/>
      <c r="VHR25" s="287"/>
      <c r="VHS25" s="287"/>
      <c r="VHT25" s="287"/>
      <c r="VHU25" s="287"/>
      <c r="VHV25" s="287"/>
      <c r="VHW25" s="287"/>
      <c r="VHX25" s="287"/>
      <c r="VHY25" s="632"/>
      <c r="VHZ25" s="287"/>
      <c r="VIA25" s="633"/>
      <c r="VIB25" s="287"/>
      <c r="VIC25" s="287"/>
      <c r="VID25" s="287"/>
      <c r="VIE25" s="287"/>
      <c r="VIF25" s="287"/>
      <c r="VIG25" s="287"/>
      <c r="VIH25" s="287"/>
      <c r="VII25" s="287"/>
      <c r="VIJ25" s="287"/>
      <c r="VIK25" s="287"/>
      <c r="VIL25" s="287"/>
      <c r="VIM25" s="287"/>
      <c r="VIN25" s="287"/>
      <c r="VIO25" s="632"/>
      <c r="VIP25" s="287"/>
      <c r="VIQ25" s="633"/>
      <c r="VIR25" s="287"/>
      <c r="VIS25" s="287"/>
      <c r="VIT25" s="287"/>
      <c r="VIU25" s="287"/>
      <c r="VIV25" s="287"/>
      <c r="VIW25" s="287"/>
      <c r="VIX25" s="287"/>
      <c r="VIY25" s="287"/>
      <c r="VIZ25" s="287"/>
      <c r="VJA25" s="287"/>
      <c r="VJB25" s="287"/>
      <c r="VJC25" s="287"/>
      <c r="VJD25" s="287"/>
      <c r="VJE25" s="632"/>
      <c r="VJF25" s="287"/>
      <c r="VJG25" s="633"/>
      <c r="VJH25" s="287"/>
      <c r="VJI25" s="287"/>
      <c r="VJJ25" s="287"/>
      <c r="VJK25" s="287"/>
      <c r="VJL25" s="287"/>
      <c r="VJM25" s="287"/>
      <c r="VJN25" s="287"/>
      <c r="VJO25" s="287"/>
      <c r="VJP25" s="287"/>
      <c r="VJQ25" s="287"/>
      <c r="VJR25" s="287"/>
      <c r="VJS25" s="287"/>
      <c r="VJT25" s="287"/>
      <c r="VJU25" s="632"/>
      <c r="VJV25" s="287"/>
      <c r="VJW25" s="633"/>
      <c r="VJX25" s="287"/>
      <c r="VJY25" s="287"/>
      <c r="VJZ25" s="287"/>
      <c r="VKA25" s="287"/>
      <c r="VKB25" s="287"/>
      <c r="VKC25" s="287"/>
      <c r="VKD25" s="287"/>
      <c r="VKE25" s="287"/>
      <c r="VKF25" s="287"/>
      <c r="VKG25" s="287"/>
      <c r="VKH25" s="287"/>
      <c r="VKI25" s="287"/>
      <c r="VKJ25" s="287"/>
      <c r="VKK25" s="632"/>
      <c r="VKL25" s="287"/>
      <c r="VKM25" s="633"/>
      <c r="VKN25" s="287"/>
      <c r="VKO25" s="287"/>
      <c r="VKP25" s="287"/>
      <c r="VKQ25" s="287"/>
      <c r="VKR25" s="287"/>
      <c r="VKS25" s="287"/>
      <c r="VKT25" s="287"/>
      <c r="VKU25" s="287"/>
      <c r="VKV25" s="287"/>
      <c r="VKW25" s="287"/>
      <c r="VKX25" s="287"/>
      <c r="VKY25" s="287"/>
      <c r="VKZ25" s="287"/>
      <c r="VLA25" s="632"/>
      <c r="VLB25" s="287"/>
      <c r="VLC25" s="633"/>
      <c r="VLD25" s="287"/>
      <c r="VLE25" s="287"/>
      <c r="VLF25" s="287"/>
      <c r="VLG25" s="287"/>
      <c r="VLH25" s="287"/>
      <c r="VLI25" s="287"/>
      <c r="VLJ25" s="287"/>
      <c r="VLK25" s="287"/>
      <c r="VLL25" s="287"/>
      <c r="VLM25" s="287"/>
      <c r="VLN25" s="287"/>
      <c r="VLO25" s="287"/>
      <c r="VLP25" s="287"/>
      <c r="VLQ25" s="632"/>
      <c r="VLR25" s="287"/>
      <c r="VLS25" s="633"/>
      <c r="VLT25" s="287"/>
      <c r="VLU25" s="287"/>
      <c r="VLV25" s="287"/>
      <c r="VLW25" s="287"/>
      <c r="VLX25" s="287"/>
      <c r="VLY25" s="287"/>
      <c r="VLZ25" s="287"/>
      <c r="VMA25" s="287"/>
      <c r="VMB25" s="287"/>
      <c r="VMC25" s="287"/>
      <c r="VMD25" s="287"/>
      <c r="VME25" s="287"/>
      <c r="VMF25" s="287"/>
      <c r="VMG25" s="632"/>
      <c r="VMH25" s="287"/>
      <c r="VMI25" s="633"/>
      <c r="VMJ25" s="287"/>
      <c r="VMK25" s="287"/>
      <c r="VML25" s="287"/>
      <c r="VMM25" s="287"/>
      <c r="VMN25" s="287"/>
      <c r="VMO25" s="287"/>
      <c r="VMP25" s="287"/>
      <c r="VMQ25" s="287"/>
      <c r="VMR25" s="287"/>
      <c r="VMS25" s="287"/>
      <c r="VMT25" s="287"/>
      <c r="VMU25" s="287"/>
      <c r="VMV25" s="287"/>
      <c r="VMW25" s="632"/>
      <c r="VMX25" s="287"/>
      <c r="VMY25" s="633"/>
      <c r="VMZ25" s="287"/>
      <c r="VNA25" s="287"/>
      <c r="VNB25" s="287"/>
      <c r="VNC25" s="287"/>
      <c r="VND25" s="287"/>
      <c r="VNE25" s="287"/>
      <c r="VNF25" s="287"/>
      <c r="VNG25" s="287"/>
      <c r="VNH25" s="287"/>
      <c r="VNI25" s="287"/>
      <c r="VNJ25" s="287"/>
      <c r="VNK25" s="287"/>
      <c r="VNL25" s="287"/>
      <c r="VNM25" s="632"/>
      <c r="VNN25" s="287"/>
      <c r="VNO25" s="633"/>
      <c r="VNP25" s="287"/>
      <c r="VNQ25" s="287"/>
      <c r="VNR25" s="287"/>
      <c r="VNS25" s="287"/>
      <c r="VNT25" s="287"/>
      <c r="VNU25" s="287"/>
      <c r="VNV25" s="287"/>
      <c r="VNW25" s="287"/>
      <c r="VNX25" s="287"/>
      <c r="VNY25" s="287"/>
      <c r="VNZ25" s="287"/>
      <c r="VOA25" s="287"/>
      <c r="VOB25" s="287"/>
      <c r="VOC25" s="632"/>
      <c r="VOD25" s="287"/>
      <c r="VOE25" s="633"/>
      <c r="VOF25" s="287"/>
      <c r="VOG25" s="287"/>
      <c r="VOH25" s="287"/>
      <c r="VOI25" s="287"/>
      <c r="VOJ25" s="287"/>
      <c r="VOK25" s="287"/>
      <c r="VOL25" s="287"/>
      <c r="VOM25" s="287"/>
      <c r="VON25" s="287"/>
      <c r="VOO25" s="287"/>
      <c r="VOP25" s="287"/>
      <c r="VOQ25" s="287"/>
      <c r="VOR25" s="287"/>
      <c r="VOS25" s="632"/>
      <c r="VOT25" s="287"/>
      <c r="VOU25" s="633"/>
      <c r="VOV25" s="287"/>
      <c r="VOW25" s="287"/>
      <c r="VOX25" s="287"/>
      <c r="VOY25" s="287"/>
      <c r="VOZ25" s="287"/>
      <c r="VPA25" s="287"/>
      <c r="VPB25" s="287"/>
      <c r="VPC25" s="287"/>
      <c r="VPD25" s="287"/>
      <c r="VPE25" s="287"/>
      <c r="VPF25" s="287"/>
      <c r="VPG25" s="287"/>
      <c r="VPH25" s="287"/>
      <c r="VPI25" s="632"/>
      <c r="VPJ25" s="287"/>
      <c r="VPK25" s="633"/>
      <c r="VPL25" s="287"/>
      <c r="VPM25" s="287"/>
      <c r="VPN25" s="287"/>
      <c r="VPO25" s="287"/>
      <c r="VPP25" s="287"/>
      <c r="VPQ25" s="287"/>
      <c r="VPR25" s="287"/>
      <c r="VPS25" s="287"/>
      <c r="VPT25" s="287"/>
      <c r="VPU25" s="287"/>
      <c r="VPV25" s="287"/>
      <c r="VPW25" s="287"/>
      <c r="VPX25" s="287"/>
      <c r="VPY25" s="632"/>
      <c r="VPZ25" s="287"/>
      <c r="VQA25" s="633"/>
      <c r="VQB25" s="287"/>
      <c r="VQC25" s="287"/>
      <c r="VQD25" s="287"/>
      <c r="VQE25" s="287"/>
      <c r="VQF25" s="287"/>
      <c r="VQG25" s="287"/>
      <c r="VQH25" s="287"/>
      <c r="VQI25" s="287"/>
      <c r="VQJ25" s="287"/>
      <c r="VQK25" s="287"/>
      <c r="VQL25" s="287"/>
      <c r="VQM25" s="287"/>
      <c r="VQN25" s="287"/>
      <c r="VQO25" s="632"/>
      <c r="VQP25" s="287"/>
      <c r="VQQ25" s="633"/>
      <c r="VQR25" s="287"/>
      <c r="VQS25" s="287"/>
      <c r="VQT25" s="287"/>
      <c r="VQU25" s="287"/>
      <c r="VQV25" s="287"/>
      <c r="VQW25" s="287"/>
      <c r="VQX25" s="287"/>
      <c r="VQY25" s="287"/>
      <c r="VQZ25" s="287"/>
      <c r="VRA25" s="287"/>
      <c r="VRB25" s="287"/>
      <c r="VRC25" s="287"/>
      <c r="VRD25" s="287"/>
      <c r="VRE25" s="632"/>
      <c r="VRF25" s="287"/>
      <c r="VRG25" s="633"/>
      <c r="VRH25" s="287"/>
      <c r="VRI25" s="287"/>
      <c r="VRJ25" s="287"/>
      <c r="VRK25" s="287"/>
      <c r="VRL25" s="287"/>
      <c r="VRM25" s="287"/>
      <c r="VRN25" s="287"/>
      <c r="VRO25" s="287"/>
      <c r="VRP25" s="287"/>
      <c r="VRQ25" s="287"/>
      <c r="VRR25" s="287"/>
      <c r="VRS25" s="287"/>
      <c r="VRT25" s="287"/>
      <c r="VRU25" s="632"/>
      <c r="VRV25" s="287"/>
      <c r="VRW25" s="633"/>
      <c r="VRX25" s="287"/>
      <c r="VRY25" s="287"/>
      <c r="VRZ25" s="287"/>
      <c r="VSA25" s="287"/>
      <c r="VSB25" s="287"/>
      <c r="VSC25" s="287"/>
      <c r="VSD25" s="287"/>
      <c r="VSE25" s="287"/>
      <c r="VSF25" s="287"/>
      <c r="VSG25" s="287"/>
      <c r="VSH25" s="287"/>
      <c r="VSI25" s="287"/>
      <c r="VSJ25" s="287"/>
      <c r="VSK25" s="632"/>
      <c r="VSL25" s="287"/>
      <c r="VSM25" s="633"/>
      <c r="VSN25" s="287"/>
      <c r="VSO25" s="287"/>
      <c r="VSP25" s="287"/>
      <c r="VSQ25" s="287"/>
      <c r="VSR25" s="287"/>
      <c r="VSS25" s="287"/>
      <c r="VST25" s="287"/>
      <c r="VSU25" s="287"/>
      <c r="VSV25" s="287"/>
      <c r="VSW25" s="287"/>
      <c r="VSX25" s="287"/>
      <c r="VSY25" s="287"/>
      <c r="VSZ25" s="287"/>
      <c r="VTA25" s="632"/>
      <c r="VTB25" s="287"/>
      <c r="VTC25" s="633"/>
      <c r="VTD25" s="287"/>
      <c r="VTE25" s="287"/>
      <c r="VTF25" s="287"/>
      <c r="VTG25" s="287"/>
      <c r="VTH25" s="287"/>
      <c r="VTI25" s="287"/>
      <c r="VTJ25" s="287"/>
      <c r="VTK25" s="287"/>
      <c r="VTL25" s="287"/>
      <c r="VTM25" s="287"/>
      <c r="VTN25" s="287"/>
      <c r="VTO25" s="287"/>
      <c r="VTP25" s="287"/>
      <c r="VTQ25" s="632"/>
      <c r="VTR25" s="287"/>
      <c r="VTS25" s="633"/>
      <c r="VTT25" s="287"/>
      <c r="VTU25" s="287"/>
      <c r="VTV25" s="287"/>
      <c r="VTW25" s="287"/>
      <c r="VTX25" s="287"/>
      <c r="VTY25" s="287"/>
      <c r="VTZ25" s="287"/>
      <c r="VUA25" s="287"/>
      <c r="VUB25" s="287"/>
      <c r="VUC25" s="287"/>
      <c r="VUD25" s="287"/>
      <c r="VUE25" s="287"/>
      <c r="VUF25" s="287"/>
      <c r="VUG25" s="632"/>
      <c r="VUH25" s="287"/>
      <c r="VUI25" s="633"/>
      <c r="VUJ25" s="287"/>
      <c r="VUK25" s="287"/>
      <c r="VUL25" s="287"/>
      <c r="VUM25" s="287"/>
      <c r="VUN25" s="287"/>
      <c r="VUO25" s="287"/>
      <c r="VUP25" s="287"/>
      <c r="VUQ25" s="287"/>
      <c r="VUR25" s="287"/>
      <c r="VUS25" s="287"/>
      <c r="VUT25" s="287"/>
      <c r="VUU25" s="287"/>
      <c r="VUV25" s="287"/>
      <c r="VUW25" s="632"/>
      <c r="VUX25" s="287"/>
      <c r="VUY25" s="633"/>
      <c r="VUZ25" s="287"/>
      <c r="VVA25" s="287"/>
      <c r="VVB25" s="287"/>
      <c r="VVC25" s="287"/>
      <c r="VVD25" s="287"/>
      <c r="VVE25" s="287"/>
      <c r="VVF25" s="287"/>
      <c r="VVG25" s="287"/>
      <c r="VVH25" s="287"/>
      <c r="VVI25" s="287"/>
      <c r="VVJ25" s="287"/>
      <c r="VVK25" s="287"/>
      <c r="VVL25" s="287"/>
      <c r="VVM25" s="632"/>
      <c r="VVN25" s="287"/>
      <c r="VVO25" s="633"/>
      <c r="VVP25" s="287"/>
      <c r="VVQ25" s="287"/>
      <c r="VVR25" s="287"/>
      <c r="VVS25" s="287"/>
      <c r="VVT25" s="287"/>
      <c r="VVU25" s="287"/>
      <c r="VVV25" s="287"/>
      <c r="VVW25" s="287"/>
      <c r="VVX25" s="287"/>
      <c r="VVY25" s="287"/>
      <c r="VVZ25" s="287"/>
      <c r="VWA25" s="287"/>
      <c r="VWB25" s="287"/>
      <c r="VWC25" s="632"/>
      <c r="VWD25" s="287"/>
      <c r="VWE25" s="633"/>
      <c r="VWF25" s="287"/>
      <c r="VWG25" s="287"/>
      <c r="VWH25" s="287"/>
      <c r="VWI25" s="287"/>
      <c r="VWJ25" s="287"/>
      <c r="VWK25" s="287"/>
      <c r="VWL25" s="287"/>
      <c r="VWM25" s="287"/>
      <c r="VWN25" s="287"/>
      <c r="VWO25" s="287"/>
      <c r="VWP25" s="287"/>
      <c r="VWQ25" s="287"/>
      <c r="VWR25" s="287"/>
      <c r="VWS25" s="632"/>
      <c r="VWT25" s="287"/>
      <c r="VWU25" s="633"/>
      <c r="VWV25" s="287"/>
      <c r="VWW25" s="287"/>
      <c r="VWX25" s="287"/>
      <c r="VWY25" s="287"/>
      <c r="VWZ25" s="287"/>
      <c r="VXA25" s="287"/>
      <c r="VXB25" s="287"/>
      <c r="VXC25" s="287"/>
      <c r="VXD25" s="287"/>
      <c r="VXE25" s="287"/>
      <c r="VXF25" s="287"/>
      <c r="VXG25" s="287"/>
      <c r="VXH25" s="287"/>
      <c r="VXI25" s="632"/>
      <c r="VXJ25" s="287"/>
      <c r="VXK25" s="633"/>
      <c r="VXL25" s="287"/>
      <c r="VXM25" s="287"/>
      <c r="VXN25" s="287"/>
      <c r="VXO25" s="287"/>
      <c r="VXP25" s="287"/>
      <c r="VXQ25" s="287"/>
      <c r="VXR25" s="287"/>
      <c r="VXS25" s="287"/>
      <c r="VXT25" s="287"/>
      <c r="VXU25" s="287"/>
      <c r="VXV25" s="287"/>
      <c r="VXW25" s="287"/>
      <c r="VXX25" s="287"/>
      <c r="VXY25" s="632"/>
      <c r="VXZ25" s="287"/>
      <c r="VYA25" s="633"/>
      <c r="VYB25" s="287"/>
      <c r="VYC25" s="287"/>
      <c r="VYD25" s="287"/>
      <c r="VYE25" s="287"/>
      <c r="VYF25" s="287"/>
      <c r="VYG25" s="287"/>
      <c r="VYH25" s="287"/>
      <c r="VYI25" s="287"/>
      <c r="VYJ25" s="287"/>
      <c r="VYK25" s="287"/>
      <c r="VYL25" s="287"/>
      <c r="VYM25" s="287"/>
      <c r="VYN25" s="287"/>
      <c r="VYO25" s="632"/>
      <c r="VYP25" s="287"/>
      <c r="VYQ25" s="633"/>
      <c r="VYR25" s="287"/>
      <c r="VYS25" s="287"/>
      <c r="VYT25" s="287"/>
      <c r="VYU25" s="287"/>
      <c r="VYV25" s="287"/>
      <c r="VYW25" s="287"/>
      <c r="VYX25" s="287"/>
      <c r="VYY25" s="287"/>
      <c r="VYZ25" s="287"/>
      <c r="VZA25" s="287"/>
      <c r="VZB25" s="287"/>
      <c r="VZC25" s="287"/>
      <c r="VZD25" s="287"/>
      <c r="VZE25" s="632"/>
      <c r="VZF25" s="287"/>
      <c r="VZG25" s="633"/>
      <c r="VZH25" s="287"/>
      <c r="VZI25" s="287"/>
      <c r="VZJ25" s="287"/>
      <c r="VZK25" s="287"/>
      <c r="VZL25" s="287"/>
      <c r="VZM25" s="287"/>
      <c r="VZN25" s="287"/>
      <c r="VZO25" s="287"/>
      <c r="VZP25" s="287"/>
      <c r="VZQ25" s="287"/>
      <c r="VZR25" s="287"/>
      <c r="VZS25" s="287"/>
      <c r="VZT25" s="287"/>
      <c r="VZU25" s="632"/>
      <c r="VZV25" s="287"/>
      <c r="VZW25" s="633"/>
      <c r="VZX25" s="287"/>
      <c r="VZY25" s="287"/>
      <c r="VZZ25" s="287"/>
      <c r="WAA25" s="287"/>
      <c r="WAB25" s="287"/>
      <c r="WAC25" s="287"/>
      <c r="WAD25" s="287"/>
      <c r="WAE25" s="287"/>
      <c r="WAF25" s="287"/>
      <c r="WAG25" s="287"/>
      <c r="WAH25" s="287"/>
      <c r="WAI25" s="287"/>
      <c r="WAJ25" s="287"/>
      <c r="WAK25" s="632"/>
      <c r="WAL25" s="287"/>
      <c r="WAM25" s="633"/>
      <c r="WAN25" s="287"/>
      <c r="WAO25" s="287"/>
      <c r="WAP25" s="287"/>
      <c r="WAQ25" s="287"/>
      <c r="WAR25" s="287"/>
      <c r="WAS25" s="287"/>
      <c r="WAT25" s="287"/>
      <c r="WAU25" s="287"/>
      <c r="WAV25" s="287"/>
      <c r="WAW25" s="287"/>
      <c r="WAX25" s="287"/>
      <c r="WAY25" s="287"/>
      <c r="WAZ25" s="287"/>
      <c r="WBA25" s="632"/>
      <c r="WBB25" s="287"/>
      <c r="WBC25" s="633"/>
      <c r="WBD25" s="287"/>
      <c r="WBE25" s="287"/>
      <c r="WBF25" s="287"/>
      <c r="WBG25" s="287"/>
      <c r="WBH25" s="287"/>
      <c r="WBI25" s="287"/>
      <c r="WBJ25" s="287"/>
      <c r="WBK25" s="287"/>
      <c r="WBL25" s="287"/>
      <c r="WBM25" s="287"/>
      <c r="WBN25" s="287"/>
      <c r="WBO25" s="287"/>
      <c r="WBP25" s="287"/>
      <c r="WBQ25" s="632"/>
      <c r="WBR25" s="287"/>
      <c r="WBS25" s="633"/>
      <c r="WBT25" s="287"/>
      <c r="WBU25" s="287"/>
      <c r="WBV25" s="287"/>
      <c r="WBW25" s="287"/>
      <c r="WBX25" s="287"/>
      <c r="WBY25" s="287"/>
      <c r="WBZ25" s="287"/>
      <c r="WCA25" s="287"/>
      <c r="WCB25" s="287"/>
      <c r="WCC25" s="287"/>
      <c r="WCD25" s="287"/>
      <c r="WCE25" s="287"/>
      <c r="WCF25" s="287"/>
      <c r="WCG25" s="632"/>
      <c r="WCH25" s="287"/>
      <c r="WCI25" s="633"/>
      <c r="WCJ25" s="287"/>
      <c r="WCK25" s="287"/>
      <c r="WCL25" s="287"/>
      <c r="WCM25" s="287"/>
      <c r="WCN25" s="287"/>
      <c r="WCO25" s="287"/>
      <c r="WCP25" s="287"/>
      <c r="WCQ25" s="287"/>
      <c r="WCR25" s="287"/>
      <c r="WCS25" s="287"/>
      <c r="WCT25" s="287"/>
      <c r="WCU25" s="287"/>
      <c r="WCV25" s="287"/>
      <c r="WCW25" s="632"/>
      <c r="WCX25" s="287"/>
      <c r="WCY25" s="633"/>
      <c r="WCZ25" s="287"/>
      <c r="WDA25" s="287"/>
      <c r="WDB25" s="287"/>
      <c r="WDC25" s="287"/>
      <c r="WDD25" s="287"/>
      <c r="WDE25" s="287"/>
      <c r="WDF25" s="287"/>
      <c r="WDG25" s="287"/>
      <c r="WDH25" s="287"/>
      <c r="WDI25" s="287"/>
      <c r="WDJ25" s="287"/>
      <c r="WDK25" s="287"/>
      <c r="WDL25" s="287"/>
      <c r="WDM25" s="632"/>
      <c r="WDN25" s="287"/>
      <c r="WDO25" s="633"/>
      <c r="WDP25" s="287"/>
      <c r="WDQ25" s="287"/>
      <c r="WDR25" s="287"/>
      <c r="WDS25" s="287"/>
      <c r="WDT25" s="287"/>
      <c r="WDU25" s="287"/>
      <c r="WDV25" s="287"/>
      <c r="WDW25" s="287"/>
      <c r="WDX25" s="287"/>
      <c r="WDY25" s="287"/>
      <c r="WDZ25" s="287"/>
      <c r="WEA25" s="287"/>
      <c r="WEB25" s="287"/>
      <c r="WEC25" s="632"/>
      <c r="WED25" s="287"/>
      <c r="WEE25" s="633"/>
      <c r="WEF25" s="287"/>
      <c r="WEG25" s="287"/>
      <c r="WEH25" s="287"/>
      <c r="WEI25" s="287"/>
      <c r="WEJ25" s="287"/>
      <c r="WEK25" s="287"/>
      <c r="WEL25" s="287"/>
      <c r="WEM25" s="287"/>
      <c r="WEN25" s="287"/>
      <c r="WEO25" s="287"/>
      <c r="WEP25" s="287"/>
      <c r="WEQ25" s="287"/>
      <c r="WER25" s="287"/>
      <c r="WES25" s="632"/>
      <c r="WET25" s="287"/>
      <c r="WEU25" s="633"/>
      <c r="WEV25" s="287"/>
      <c r="WEW25" s="287"/>
      <c r="WEX25" s="287"/>
      <c r="WEY25" s="287"/>
      <c r="WEZ25" s="287"/>
      <c r="WFA25" s="287"/>
      <c r="WFB25" s="287"/>
      <c r="WFC25" s="287"/>
      <c r="WFD25" s="287"/>
      <c r="WFE25" s="287"/>
      <c r="WFF25" s="287"/>
      <c r="WFG25" s="287"/>
      <c r="WFH25" s="287"/>
      <c r="WFI25" s="632"/>
      <c r="WFJ25" s="287"/>
      <c r="WFK25" s="633"/>
      <c r="WFL25" s="287"/>
      <c r="WFM25" s="287"/>
      <c r="WFN25" s="287"/>
      <c r="WFO25" s="287"/>
      <c r="WFP25" s="287"/>
      <c r="WFQ25" s="287"/>
      <c r="WFR25" s="287"/>
      <c r="WFS25" s="287"/>
      <c r="WFT25" s="287"/>
      <c r="WFU25" s="287"/>
      <c r="WFV25" s="287"/>
      <c r="WFW25" s="287"/>
      <c r="WFX25" s="287"/>
      <c r="WFY25" s="632"/>
      <c r="WFZ25" s="287"/>
      <c r="WGA25" s="633"/>
      <c r="WGB25" s="287"/>
      <c r="WGC25" s="287"/>
      <c r="WGD25" s="287"/>
      <c r="WGE25" s="287"/>
      <c r="WGF25" s="287"/>
      <c r="WGG25" s="287"/>
      <c r="WGH25" s="287"/>
      <c r="WGI25" s="287"/>
      <c r="WGJ25" s="287"/>
      <c r="WGK25" s="287"/>
      <c r="WGL25" s="287"/>
      <c r="WGM25" s="287"/>
      <c r="WGN25" s="287"/>
      <c r="WGO25" s="632"/>
      <c r="WGP25" s="287"/>
      <c r="WGQ25" s="633"/>
      <c r="WGR25" s="287"/>
      <c r="WGS25" s="287"/>
      <c r="WGT25" s="287"/>
      <c r="WGU25" s="287"/>
      <c r="WGV25" s="287"/>
      <c r="WGW25" s="287"/>
      <c r="WGX25" s="287"/>
      <c r="WGY25" s="287"/>
      <c r="WGZ25" s="287"/>
      <c r="WHA25" s="287"/>
      <c r="WHB25" s="287"/>
      <c r="WHC25" s="287"/>
      <c r="WHD25" s="287"/>
      <c r="WHE25" s="632"/>
      <c r="WHF25" s="287"/>
      <c r="WHG25" s="633"/>
      <c r="WHH25" s="287"/>
      <c r="WHI25" s="287"/>
      <c r="WHJ25" s="287"/>
      <c r="WHK25" s="287"/>
      <c r="WHL25" s="287"/>
      <c r="WHM25" s="287"/>
      <c r="WHN25" s="287"/>
      <c r="WHO25" s="287"/>
      <c r="WHP25" s="287"/>
      <c r="WHQ25" s="287"/>
      <c r="WHR25" s="287"/>
      <c r="WHS25" s="287"/>
      <c r="WHT25" s="287"/>
      <c r="WHU25" s="632"/>
      <c r="WHV25" s="287"/>
      <c r="WHW25" s="633"/>
      <c r="WHX25" s="287"/>
      <c r="WHY25" s="287"/>
      <c r="WHZ25" s="287"/>
      <c r="WIA25" s="287"/>
      <c r="WIB25" s="287"/>
      <c r="WIC25" s="287"/>
      <c r="WID25" s="287"/>
      <c r="WIE25" s="287"/>
      <c r="WIF25" s="287"/>
      <c r="WIG25" s="287"/>
      <c r="WIH25" s="287"/>
      <c r="WII25" s="287"/>
      <c r="WIJ25" s="287"/>
      <c r="WIK25" s="632"/>
      <c r="WIL25" s="287"/>
      <c r="WIM25" s="633"/>
      <c r="WIN25" s="287"/>
      <c r="WIO25" s="287"/>
      <c r="WIP25" s="287"/>
      <c r="WIQ25" s="287"/>
      <c r="WIR25" s="287"/>
      <c r="WIS25" s="287"/>
      <c r="WIT25" s="287"/>
      <c r="WIU25" s="287"/>
      <c r="WIV25" s="287"/>
      <c r="WIW25" s="287"/>
      <c r="WIX25" s="287"/>
      <c r="WIY25" s="287"/>
      <c r="WIZ25" s="287"/>
      <c r="WJA25" s="632"/>
      <c r="WJB25" s="287"/>
      <c r="WJC25" s="633"/>
      <c r="WJD25" s="287"/>
      <c r="WJE25" s="287"/>
      <c r="WJF25" s="287"/>
      <c r="WJG25" s="287"/>
      <c r="WJH25" s="287"/>
      <c r="WJI25" s="287"/>
      <c r="WJJ25" s="287"/>
      <c r="WJK25" s="287"/>
      <c r="WJL25" s="287"/>
      <c r="WJM25" s="287"/>
      <c r="WJN25" s="287"/>
      <c r="WJO25" s="287"/>
      <c r="WJP25" s="287"/>
      <c r="WJQ25" s="632"/>
      <c r="WJR25" s="287"/>
      <c r="WJS25" s="633"/>
      <c r="WJT25" s="287"/>
      <c r="WJU25" s="287"/>
      <c r="WJV25" s="287"/>
      <c r="WJW25" s="287"/>
      <c r="WJX25" s="287"/>
      <c r="WJY25" s="287"/>
      <c r="WJZ25" s="287"/>
      <c r="WKA25" s="287"/>
      <c r="WKB25" s="287"/>
      <c r="WKC25" s="287"/>
      <c r="WKD25" s="287"/>
      <c r="WKE25" s="287"/>
      <c r="WKF25" s="287"/>
      <c r="WKG25" s="632"/>
      <c r="WKH25" s="287"/>
      <c r="WKI25" s="633"/>
      <c r="WKJ25" s="287"/>
      <c r="WKK25" s="287"/>
      <c r="WKL25" s="287"/>
      <c r="WKM25" s="287"/>
      <c r="WKN25" s="287"/>
      <c r="WKO25" s="287"/>
      <c r="WKP25" s="287"/>
      <c r="WKQ25" s="287"/>
      <c r="WKR25" s="287"/>
      <c r="WKS25" s="287"/>
      <c r="WKT25" s="287"/>
      <c r="WKU25" s="287"/>
      <c r="WKV25" s="287"/>
      <c r="WKW25" s="632"/>
      <c r="WKX25" s="287"/>
      <c r="WKY25" s="633"/>
      <c r="WKZ25" s="287"/>
      <c r="WLA25" s="287"/>
      <c r="WLB25" s="287"/>
      <c r="WLC25" s="287"/>
      <c r="WLD25" s="287"/>
      <c r="WLE25" s="287"/>
      <c r="WLF25" s="287"/>
      <c r="WLG25" s="287"/>
      <c r="WLH25" s="287"/>
      <c r="WLI25" s="287"/>
      <c r="WLJ25" s="287"/>
      <c r="WLK25" s="287"/>
      <c r="WLL25" s="287"/>
      <c r="WLM25" s="632"/>
      <c r="WLN25" s="287"/>
      <c r="WLO25" s="633"/>
      <c r="WLP25" s="287"/>
      <c r="WLQ25" s="287"/>
      <c r="WLR25" s="287"/>
      <c r="WLS25" s="287"/>
      <c r="WLT25" s="287"/>
      <c r="WLU25" s="287"/>
      <c r="WLV25" s="287"/>
      <c r="WLW25" s="287"/>
      <c r="WLX25" s="287"/>
      <c r="WLY25" s="287"/>
      <c r="WLZ25" s="287"/>
      <c r="WMA25" s="287"/>
      <c r="WMB25" s="287"/>
      <c r="WMC25" s="632"/>
      <c r="WMD25" s="287"/>
      <c r="WME25" s="633"/>
      <c r="WMF25" s="287"/>
      <c r="WMG25" s="287"/>
      <c r="WMH25" s="287"/>
      <c r="WMI25" s="287"/>
      <c r="WMJ25" s="287"/>
      <c r="WMK25" s="287"/>
      <c r="WML25" s="287"/>
      <c r="WMM25" s="287"/>
      <c r="WMN25" s="287"/>
      <c r="WMO25" s="287"/>
      <c r="WMP25" s="287"/>
      <c r="WMQ25" s="287"/>
      <c r="WMR25" s="287"/>
      <c r="WMS25" s="632"/>
      <c r="WMT25" s="287"/>
      <c r="WMU25" s="633"/>
      <c r="WMV25" s="287"/>
      <c r="WMW25" s="287"/>
      <c r="WMX25" s="287"/>
      <c r="WMY25" s="287"/>
      <c r="WMZ25" s="287"/>
      <c r="WNA25" s="287"/>
      <c r="WNB25" s="287"/>
      <c r="WNC25" s="287"/>
      <c r="WND25" s="287"/>
      <c r="WNE25" s="287"/>
      <c r="WNF25" s="287"/>
      <c r="WNG25" s="287"/>
      <c r="WNH25" s="287"/>
      <c r="WNI25" s="632"/>
      <c r="WNJ25" s="287"/>
      <c r="WNK25" s="633"/>
      <c r="WNL25" s="287"/>
      <c r="WNM25" s="287"/>
      <c r="WNN25" s="287"/>
      <c r="WNO25" s="287"/>
      <c r="WNP25" s="287"/>
      <c r="WNQ25" s="287"/>
      <c r="WNR25" s="287"/>
      <c r="WNS25" s="287"/>
      <c r="WNT25" s="287"/>
      <c r="WNU25" s="287"/>
      <c r="WNV25" s="287"/>
      <c r="WNW25" s="287"/>
      <c r="WNX25" s="287"/>
      <c r="WNY25" s="632"/>
      <c r="WNZ25" s="287"/>
      <c r="WOA25" s="633"/>
      <c r="WOB25" s="287"/>
      <c r="WOC25" s="287"/>
      <c r="WOD25" s="287"/>
      <c r="WOE25" s="287"/>
      <c r="WOF25" s="287"/>
      <c r="WOG25" s="287"/>
      <c r="WOH25" s="287"/>
      <c r="WOI25" s="287"/>
      <c r="WOJ25" s="287"/>
      <c r="WOK25" s="287"/>
      <c r="WOL25" s="287"/>
      <c r="WOM25" s="287"/>
      <c r="WON25" s="287"/>
      <c r="WOO25" s="632"/>
      <c r="WOP25" s="287"/>
      <c r="WOQ25" s="633"/>
      <c r="WOR25" s="287"/>
      <c r="WOS25" s="287"/>
      <c r="WOT25" s="287"/>
      <c r="WOU25" s="287"/>
      <c r="WOV25" s="287"/>
      <c r="WOW25" s="287"/>
      <c r="WOX25" s="287"/>
      <c r="WOY25" s="287"/>
      <c r="WOZ25" s="287"/>
      <c r="WPA25" s="287"/>
      <c r="WPB25" s="287"/>
      <c r="WPC25" s="287"/>
      <c r="WPD25" s="287"/>
      <c r="WPE25" s="632"/>
      <c r="WPF25" s="287"/>
      <c r="WPG25" s="633"/>
      <c r="WPH25" s="287"/>
      <c r="WPI25" s="287"/>
      <c r="WPJ25" s="287"/>
      <c r="WPK25" s="287"/>
      <c r="WPL25" s="287"/>
      <c r="WPM25" s="287"/>
      <c r="WPN25" s="287"/>
      <c r="WPO25" s="287"/>
      <c r="WPP25" s="287"/>
      <c r="WPQ25" s="287"/>
      <c r="WPR25" s="287"/>
      <c r="WPS25" s="287"/>
      <c r="WPT25" s="287"/>
      <c r="WPU25" s="632"/>
      <c r="WPV25" s="287"/>
      <c r="WPW25" s="633"/>
      <c r="WPX25" s="287"/>
      <c r="WPY25" s="287"/>
      <c r="WPZ25" s="287"/>
      <c r="WQA25" s="287"/>
      <c r="WQB25" s="287"/>
      <c r="WQC25" s="287"/>
      <c r="WQD25" s="287"/>
      <c r="WQE25" s="287"/>
      <c r="WQF25" s="287"/>
      <c r="WQG25" s="287"/>
      <c r="WQH25" s="287"/>
      <c r="WQI25" s="287"/>
      <c r="WQJ25" s="287"/>
      <c r="WQK25" s="632"/>
      <c r="WQL25" s="287"/>
      <c r="WQM25" s="633"/>
      <c r="WQN25" s="287"/>
      <c r="WQO25" s="287"/>
      <c r="WQP25" s="287"/>
      <c r="WQQ25" s="287"/>
      <c r="WQR25" s="287"/>
      <c r="WQS25" s="287"/>
      <c r="WQT25" s="287"/>
      <c r="WQU25" s="287"/>
      <c r="WQV25" s="287"/>
      <c r="WQW25" s="287"/>
      <c r="WQX25" s="287"/>
      <c r="WQY25" s="287"/>
      <c r="WQZ25" s="287"/>
      <c r="WRA25" s="632"/>
      <c r="WRB25" s="287"/>
      <c r="WRC25" s="633"/>
      <c r="WRD25" s="287"/>
      <c r="WRE25" s="287"/>
      <c r="WRF25" s="287"/>
      <c r="WRG25" s="287"/>
      <c r="WRH25" s="287"/>
      <c r="WRI25" s="287"/>
      <c r="WRJ25" s="287"/>
      <c r="WRK25" s="287"/>
      <c r="WRL25" s="287"/>
      <c r="WRM25" s="287"/>
      <c r="WRN25" s="287"/>
      <c r="WRO25" s="287"/>
      <c r="WRP25" s="287"/>
      <c r="WRQ25" s="632"/>
      <c r="WRR25" s="287"/>
      <c r="WRS25" s="633"/>
      <c r="WRT25" s="287"/>
      <c r="WRU25" s="287"/>
      <c r="WRV25" s="287"/>
      <c r="WRW25" s="287"/>
      <c r="WRX25" s="287"/>
      <c r="WRY25" s="287"/>
      <c r="WRZ25" s="287"/>
      <c r="WSA25" s="287"/>
      <c r="WSB25" s="287"/>
      <c r="WSC25" s="287"/>
      <c r="WSD25" s="287"/>
      <c r="WSE25" s="287"/>
      <c r="WSF25" s="287"/>
      <c r="WSG25" s="632"/>
      <c r="WSH25" s="287"/>
      <c r="WSI25" s="633"/>
      <c r="WSJ25" s="287"/>
      <c r="WSK25" s="287"/>
      <c r="WSL25" s="287"/>
      <c r="WSM25" s="287"/>
      <c r="WSN25" s="287"/>
      <c r="WSO25" s="287"/>
      <c r="WSP25" s="287"/>
      <c r="WSQ25" s="287"/>
      <c r="WSR25" s="287"/>
      <c r="WSS25" s="287"/>
      <c r="WST25" s="287"/>
      <c r="WSU25" s="287"/>
      <c r="WSV25" s="287"/>
      <c r="WSW25" s="632"/>
      <c r="WSX25" s="287"/>
      <c r="WSY25" s="633"/>
      <c r="WSZ25" s="287"/>
      <c r="WTA25" s="287"/>
      <c r="WTB25" s="287"/>
      <c r="WTC25" s="287"/>
      <c r="WTD25" s="287"/>
      <c r="WTE25" s="287"/>
      <c r="WTF25" s="287"/>
      <c r="WTG25" s="287"/>
      <c r="WTH25" s="287"/>
      <c r="WTI25" s="287"/>
      <c r="WTJ25" s="287"/>
      <c r="WTK25" s="287"/>
      <c r="WTL25" s="287"/>
      <c r="WTM25" s="632"/>
      <c r="WTN25" s="287"/>
      <c r="WTO25" s="633"/>
      <c r="WTP25" s="287"/>
      <c r="WTQ25" s="287"/>
      <c r="WTR25" s="287"/>
      <c r="WTS25" s="287"/>
      <c r="WTT25" s="287"/>
      <c r="WTU25" s="287"/>
      <c r="WTV25" s="287"/>
      <c r="WTW25" s="287"/>
      <c r="WTX25" s="287"/>
      <c r="WTY25" s="287"/>
      <c r="WTZ25" s="287"/>
      <c r="WUA25" s="287"/>
      <c r="WUB25" s="287"/>
      <c r="WUC25" s="632"/>
      <c r="WUD25" s="287"/>
      <c r="WUE25" s="633"/>
      <c r="WUF25" s="287"/>
      <c r="WUG25" s="287"/>
      <c r="WUH25" s="287"/>
      <c r="WUI25" s="287"/>
      <c r="WUJ25" s="287"/>
      <c r="WUK25" s="287"/>
      <c r="WUL25" s="287"/>
      <c r="WUM25" s="287"/>
      <c r="WUN25" s="287"/>
      <c r="WUO25" s="287"/>
      <c r="WUP25" s="287"/>
      <c r="WUQ25" s="287"/>
      <c r="WUR25" s="287"/>
      <c r="WUS25" s="632"/>
      <c r="WUT25" s="287"/>
      <c r="WUU25" s="633"/>
      <c r="WUV25" s="287"/>
      <c r="WUW25" s="287"/>
      <c r="WUX25" s="287"/>
      <c r="WUY25" s="287"/>
      <c r="WUZ25" s="287"/>
      <c r="WVA25" s="287"/>
      <c r="WVB25" s="287"/>
      <c r="WVC25" s="287"/>
      <c r="WVD25" s="287"/>
      <c r="WVE25" s="287"/>
      <c r="WVF25" s="287"/>
      <c r="WVG25" s="287"/>
      <c r="WVH25" s="287"/>
      <c r="WVI25" s="632"/>
      <c r="WVJ25" s="287"/>
      <c r="WVK25" s="633"/>
      <c r="WVL25" s="287"/>
      <c r="WVM25" s="287"/>
      <c r="WVN25" s="287"/>
      <c r="WVO25" s="287"/>
      <c r="WVP25" s="287"/>
      <c r="WVQ25" s="287"/>
      <c r="WVR25" s="287"/>
      <c r="WVS25" s="287"/>
      <c r="WVT25" s="287"/>
      <c r="WVU25" s="287"/>
      <c r="WVV25" s="287"/>
      <c r="WVW25" s="287"/>
      <c r="WVX25" s="287"/>
      <c r="WVY25" s="632"/>
      <c r="WVZ25" s="287"/>
      <c r="WWA25" s="633"/>
      <c r="WWB25" s="287"/>
      <c r="WWC25" s="287"/>
      <c r="WWD25" s="287"/>
      <c r="WWE25" s="287"/>
      <c r="WWF25" s="287"/>
      <c r="WWG25" s="287"/>
      <c r="WWH25" s="287"/>
      <c r="WWI25" s="287"/>
      <c r="WWJ25" s="287"/>
      <c r="WWK25" s="287"/>
      <c r="WWL25" s="287"/>
      <c r="WWM25" s="287"/>
      <c r="WWN25" s="287"/>
      <c r="WWO25" s="632"/>
      <c r="WWP25" s="287"/>
      <c r="WWQ25" s="633"/>
      <c r="WWR25" s="287"/>
      <c r="WWS25" s="287"/>
      <c r="WWT25" s="287"/>
      <c r="WWU25" s="287"/>
      <c r="WWV25" s="287"/>
      <c r="WWW25" s="287"/>
      <c r="WWX25" s="287"/>
      <c r="WWY25" s="287"/>
      <c r="WWZ25" s="287"/>
      <c r="WXA25" s="287"/>
      <c r="WXB25" s="287"/>
      <c r="WXC25" s="287"/>
      <c r="WXD25" s="287"/>
      <c r="WXE25" s="632"/>
      <c r="WXF25" s="287"/>
      <c r="WXG25" s="633"/>
      <c r="WXH25" s="287"/>
      <c r="WXI25" s="287"/>
      <c r="WXJ25" s="287"/>
      <c r="WXK25" s="287"/>
      <c r="WXL25" s="287"/>
      <c r="WXM25" s="287"/>
      <c r="WXN25" s="287"/>
      <c r="WXO25" s="287"/>
      <c r="WXP25" s="287"/>
      <c r="WXQ25" s="287"/>
      <c r="WXR25" s="287"/>
      <c r="WXS25" s="287"/>
      <c r="WXT25" s="287"/>
      <c r="WXU25" s="632"/>
      <c r="WXV25" s="287"/>
      <c r="WXW25" s="633"/>
      <c r="WXX25" s="287"/>
      <c r="WXY25" s="287"/>
      <c r="WXZ25" s="287"/>
      <c r="WYA25" s="287"/>
      <c r="WYB25" s="287"/>
      <c r="WYC25" s="287"/>
      <c r="WYD25" s="287"/>
      <c r="WYE25" s="287"/>
      <c r="WYF25" s="287"/>
      <c r="WYG25" s="287"/>
      <c r="WYH25" s="287"/>
      <c r="WYI25" s="287"/>
      <c r="WYJ25" s="287"/>
      <c r="WYK25" s="632"/>
      <c r="WYL25" s="287"/>
      <c r="WYM25" s="633"/>
      <c r="WYN25" s="287"/>
      <c r="WYO25" s="287"/>
      <c r="WYP25" s="287"/>
      <c r="WYQ25" s="287"/>
      <c r="WYR25" s="287"/>
      <c r="WYS25" s="287"/>
      <c r="WYT25" s="287"/>
      <c r="WYU25" s="287"/>
      <c r="WYV25" s="287"/>
      <c r="WYW25" s="287"/>
      <c r="WYX25" s="287"/>
      <c r="WYY25" s="287"/>
      <c r="WYZ25" s="287"/>
      <c r="WZA25" s="632"/>
      <c r="WZB25" s="287"/>
      <c r="WZC25" s="633"/>
      <c r="WZD25" s="287"/>
      <c r="WZE25" s="287"/>
      <c r="WZF25" s="287"/>
      <c r="WZG25" s="287"/>
      <c r="WZH25" s="287"/>
      <c r="WZI25" s="287"/>
      <c r="WZJ25" s="287"/>
      <c r="WZK25" s="287"/>
      <c r="WZL25" s="287"/>
      <c r="WZM25" s="287"/>
      <c r="WZN25" s="287"/>
      <c r="WZO25" s="287"/>
      <c r="WZP25" s="287"/>
      <c r="WZQ25" s="632"/>
      <c r="WZR25" s="287"/>
      <c r="WZS25" s="633"/>
      <c r="WZT25" s="287"/>
      <c r="WZU25" s="287"/>
      <c r="WZV25" s="287"/>
      <c r="WZW25" s="287"/>
      <c r="WZX25" s="287"/>
      <c r="WZY25" s="287"/>
      <c r="WZZ25" s="287"/>
      <c r="XAA25" s="287"/>
      <c r="XAB25" s="287"/>
      <c r="XAC25" s="287"/>
      <c r="XAD25" s="287"/>
      <c r="XAE25" s="287"/>
      <c r="XAF25" s="287"/>
      <c r="XAG25" s="632"/>
      <c r="XAH25" s="287"/>
      <c r="XAI25" s="633"/>
      <c r="XAJ25" s="287"/>
      <c r="XAK25" s="287"/>
      <c r="XAL25" s="287"/>
      <c r="XAM25" s="287"/>
      <c r="XAN25" s="287"/>
      <c r="XAO25" s="287"/>
      <c r="XAP25" s="287"/>
      <c r="XAQ25" s="287"/>
      <c r="XAR25" s="287"/>
      <c r="XAS25" s="287"/>
      <c r="XAT25" s="287"/>
      <c r="XAU25" s="287"/>
      <c r="XAV25" s="287"/>
      <c r="XAW25" s="632"/>
      <c r="XAX25" s="287"/>
      <c r="XAY25" s="633"/>
      <c r="XAZ25" s="287"/>
      <c r="XBA25" s="287"/>
      <c r="XBB25" s="287"/>
      <c r="XBC25" s="287"/>
      <c r="XBD25" s="287"/>
      <c r="XBE25" s="287"/>
      <c r="XBF25" s="287"/>
      <c r="XBG25" s="287"/>
      <c r="XBH25" s="287"/>
      <c r="XBI25" s="287"/>
      <c r="XBJ25" s="287"/>
      <c r="XBK25" s="287"/>
      <c r="XBL25" s="287"/>
      <c r="XBM25" s="632"/>
      <c r="XBN25" s="287"/>
      <c r="XBO25" s="633"/>
      <c r="XBP25" s="287"/>
      <c r="XBQ25" s="287"/>
      <c r="XBR25" s="287"/>
      <c r="XBS25" s="287"/>
      <c r="XBT25" s="287"/>
      <c r="XBU25" s="287"/>
      <c r="XBV25" s="287"/>
      <c r="XBW25" s="287"/>
      <c r="XBX25" s="287"/>
      <c r="XBY25" s="287"/>
      <c r="XBZ25" s="287"/>
      <c r="XCA25" s="287"/>
      <c r="XCB25" s="287"/>
      <c r="XCC25" s="632"/>
      <c r="XCD25" s="287"/>
      <c r="XCE25" s="633"/>
      <c r="XCF25" s="287"/>
      <c r="XCG25" s="287"/>
      <c r="XCH25" s="287"/>
      <c r="XCI25" s="287"/>
      <c r="XCJ25" s="287"/>
      <c r="XCK25" s="287"/>
      <c r="XCL25" s="287"/>
      <c r="XCM25" s="287"/>
      <c r="XCN25" s="287"/>
      <c r="XCO25" s="287"/>
      <c r="XCP25" s="287"/>
      <c r="XCQ25" s="287"/>
      <c r="XCR25" s="287"/>
      <c r="XCS25" s="632"/>
      <c r="XCT25" s="287"/>
      <c r="XCU25" s="633"/>
      <c r="XCV25" s="287"/>
      <c r="XCW25" s="287"/>
      <c r="XCX25" s="287"/>
      <c r="XCY25" s="287"/>
      <c r="XCZ25" s="287"/>
      <c r="XDA25" s="287"/>
      <c r="XDB25" s="287"/>
      <c r="XDC25" s="287"/>
      <c r="XDD25" s="287"/>
      <c r="XDE25" s="287"/>
      <c r="XDF25" s="287"/>
      <c r="XDG25" s="287"/>
      <c r="XDH25" s="287"/>
      <c r="XDI25" s="632"/>
      <c r="XDJ25" s="287"/>
      <c r="XDK25" s="633"/>
      <c r="XDL25" s="287"/>
      <c r="XDM25" s="287"/>
      <c r="XDN25" s="287"/>
      <c r="XDO25" s="287"/>
      <c r="XDP25" s="287"/>
      <c r="XDQ25" s="287"/>
      <c r="XDR25" s="287"/>
      <c r="XDS25" s="287"/>
      <c r="XDT25" s="287"/>
      <c r="XDU25" s="287"/>
      <c r="XDV25" s="287"/>
      <c r="XDW25" s="287"/>
      <c r="XDX25" s="287"/>
      <c r="XDY25" s="632"/>
      <c r="XDZ25" s="287"/>
      <c r="XEA25" s="633"/>
      <c r="XEB25" s="287"/>
      <c r="XEC25" s="287"/>
      <c r="XED25" s="287"/>
      <c r="XEE25" s="287"/>
      <c r="XEF25" s="287"/>
      <c r="XEG25" s="287"/>
      <c r="XEH25" s="287"/>
      <c r="XEI25" s="287"/>
      <c r="XEJ25" s="287"/>
      <c r="XEK25" s="287"/>
      <c r="XEL25" s="287"/>
      <c r="XEM25" s="287"/>
      <c r="XEN25" s="287"/>
      <c r="XEO25" s="632"/>
      <c r="XEP25" s="287"/>
      <c r="XEQ25" s="633"/>
      <c r="XER25" s="287"/>
      <c r="XES25" s="287"/>
      <c r="XET25" s="287"/>
      <c r="XEU25" s="287"/>
      <c r="XEV25" s="287"/>
      <c r="XEW25" s="287"/>
      <c r="XEX25" s="287"/>
      <c r="XEY25" s="287"/>
      <c r="XEZ25" s="287"/>
      <c r="XFA25" s="287"/>
      <c r="XFB25" s="287"/>
      <c r="XFC25" s="287"/>
      <c r="XFD25" s="287"/>
    </row>
    <row r="26" spans="1:16384" s="68" customFormat="1" ht="24.6" customHeight="1" x14ac:dyDescent="0.4">
      <c r="A26" s="287"/>
      <c r="B26" s="690"/>
      <c r="C26" s="906" t="s">
        <v>183</v>
      </c>
      <c r="D26" s="906"/>
      <c r="E26" s="906"/>
      <c r="F26" s="906"/>
      <c r="G26" s="906"/>
      <c r="H26" s="906"/>
      <c r="I26" s="906"/>
      <c r="J26" s="538"/>
      <c r="K26" s="687"/>
      <c r="L26" s="919"/>
      <c r="M26" s="920"/>
      <c r="N26" s="920"/>
      <c r="O26" s="920"/>
      <c r="P26" s="920"/>
      <c r="Q26" s="918"/>
    </row>
    <row r="27" spans="1:16384" s="68" customFormat="1" ht="24.6" customHeight="1" x14ac:dyDescent="0.3">
      <c r="A27" s="416"/>
      <c r="B27" s="914" t="s">
        <v>184</v>
      </c>
      <c r="C27" s="907"/>
      <c r="D27" s="907"/>
      <c r="E27" s="907"/>
      <c r="F27" s="907"/>
      <c r="G27" s="907"/>
      <c r="H27" s="907"/>
      <c r="I27" s="907"/>
      <c r="J27" s="907"/>
      <c r="K27" s="907"/>
      <c r="L27" s="919"/>
      <c r="M27" s="920"/>
      <c r="N27" s="920"/>
      <c r="O27" s="920"/>
      <c r="P27" s="920"/>
      <c r="Q27" s="918"/>
    </row>
    <row r="28" spans="1:16384" s="68" customFormat="1" ht="24.6" customHeight="1" x14ac:dyDescent="0.3">
      <c r="A28" s="416"/>
      <c r="B28" s="890" t="s">
        <v>221</v>
      </c>
      <c r="C28" s="891"/>
      <c r="D28" s="891"/>
      <c r="E28" s="891"/>
      <c r="F28" s="891"/>
      <c r="G28" s="891"/>
      <c r="H28" s="891"/>
      <c r="I28" s="891"/>
      <c r="J28" s="891"/>
      <c r="K28" s="892"/>
      <c r="L28" s="919"/>
      <c r="M28" s="920"/>
      <c r="N28" s="920"/>
      <c r="O28" s="920"/>
      <c r="P28" s="920"/>
      <c r="Q28" s="918"/>
    </row>
    <row r="29" spans="1:16384" ht="27" customHeight="1" x14ac:dyDescent="0.3">
      <c r="A29" s="416"/>
      <c r="B29" s="691" t="s">
        <v>186</v>
      </c>
      <c r="C29" s="400" t="s">
        <v>135</v>
      </c>
      <c r="D29" s="400" t="s">
        <v>136</v>
      </c>
      <c r="E29" s="503" t="s">
        <v>8</v>
      </c>
      <c r="F29" s="503" t="s">
        <v>9</v>
      </c>
      <c r="G29" s="503" t="s">
        <v>9</v>
      </c>
      <c r="H29" s="503" t="s">
        <v>10</v>
      </c>
      <c r="I29" s="503" t="s">
        <v>11</v>
      </c>
      <c r="J29" s="503" t="s">
        <v>12</v>
      </c>
      <c r="K29" s="695" t="s">
        <v>187</v>
      </c>
      <c r="L29" s="919"/>
      <c r="M29" s="920"/>
      <c r="N29" s="920"/>
      <c r="O29" s="920"/>
      <c r="P29" s="920"/>
      <c r="Q29" s="918"/>
    </row>
    <row r="30" spans="1:16384" ht="26.25" customHeight="1" x14ac:dyDescent="0.3">
      <c r="A30" s="416">
        <v>1</v>
      </c>
      <c r="B30" s="508">
        <v>147</v>
      </c>
      <c r="C30" s="394" t="s">
        <v>123</v>
      </c>
      <c r="D30" s="558" t="s">
        <v>140</v>
      </c>
      <c r="E30" s="354" t="s">
        <v>18</v>
      </c>
      <c r="F30" s="354" t="s">
        <v>18</v>
      </c>
      <c r="G30" s="354" t="s">
        <v>18</v>
      </c>
      <c r="H30" s="354" t="s">
        <v>18</v>
      </c>
      <c r="I30" s="354" t="s">
        <v>18</v>
      </c>
      <c r="J30" s="354" t="s">
        <v>18</v>
      </c>
      <c r="K30" s="683"/>
      <c r="L30" s="699"/>
      <c r="M30" s="542"/>
      <c r="N30" s="542"/>
      <c r="O30" s="542"/>
      <c r="P30" s="542"/>
      <c r="Q30" s="692"/>
    </row>
    <row r="31" spans="1:16384" ht="15" customHeight="1" x14ac:dyDescent="0.3">
      <c r="A31" s="416">
        <v>2</v>
      </c>
      <c r="B31" s="507">
        <v>132</v>
      </c>
      <c r="C31" s="394" t="s">
        <v>264</v>
      </c>
      <c r="D31" s="355" t="s">
        <v>265</v>
      </c>
      <c r="E31" s="354" t="s">
        <v>246</v>
      </c>
      <c r="F31" s="354" t="s">
        <v>246</v>
      </c>
      <c r="G31" s="354" t="s">
        <v>246</v>
      </c>
      <c r="H31" s="354" t="s">
        <v>246</v>
      </c>
      <c r="I31" s="354" t="s">
        <v>246</v>
      </c>
      <c r="J31" s="354"/>
      <c r="K31" s="683"/>
      <c r="L31" s="699"/>
      <c r="M31" s="542"/>
      <c r="N31" s="542"/>
      <c r="O31" s="542"/>
      <c r="P31" s="542"/>
      <c r="Q31" s="692"/>
    </row>
    <row r="32" spans="1:16384" ht="15" customHeight="1" x14ac:dyDescent="0.3">
      <c r="A32" s="416">
        <v>3</v>
      </c>
      <c r="B32" s="508">
        <v>208</v>
      </c>
      <c r="C32" s="394" t="s">
        <v>278</v>
      </c>
      <c r="D32" s="433" t="s">
        <v>189</v>
      </c>
      <c r="E32" s="354" t="s">
        <v>246</v>
      </c>
      <c r="F32" s="354" t="s">
        <v>246</v>
      </c>
      <c r="G32" s="354" t="s">
        <v>246</v>
      </c>
      <c r="H32" s="354" t="s">
        <v>246</v>
      </c>
      <c r="I32" s="354" t="s">
        <v>246</v>
      </c>
      <c r="J32" s="354"/>
      <c r="K32" s="683"/>
      <c r="L32" s="699"/>
      <c r="M32" s="542"/>
      <c r="N32" s="542"/>
      <c r="O32" s="542"/>
      <c r="P32" s="542"/>
      <c r="Q32" s="692"/>
    </row>
    <row r="33" spans="1:17" ht="15" customHeight="1" x14ac:dyDescent="0.3">
      <c r="A33" s="416">
        <v>4</v>
      </c>
      <c r="B33" s="508">
        <v>7</v>
      </c>
      <c r="C33" s="394" t="s">
        <v>43</v>
      </c>
      <c r="D33" s="433" t="s">
        <v>189</v>
      </c>
      <c r="E33" s="354" t="s">
        <v>246</v>
      </c>
      <c r="F33" s="354" t="s">
        <v>246</v>
      </c>
      <c r="G33" s="354" t="s">
        <v>246</v>
      </c>
      <c r="H33" s="354" t="s">
        <v>246</v>
      </c>
      <c r="I33" s="354" t="s">
        <v>246</v>
      </c>
      <c r="J33" s="354"/>
      <c r="K33" s="683"/>
      <c r="L33" s="700"/>
      <c r="M33" s="553"/>
      <c r="N33" s="553"/>
      <c r="O33" s="553"/>
      <c r="P33" s="553"/>
      <c r="Q33" s="693"/>
    </row>
    <row r="34" spans="1:17" x14ac:dyDescent="0.3">
      <c r="A34" s="416">
        <v>5</v>
      </c>
      <c r="B34" s="507">
        <v>225</v>
      </c>
      <c r="C34" s="394" t="s">
        <v>282</v>
      </c>
      <c r="D34" s="397" t="s">
        <v>265</v>
      </c>
      <c r="E34" s="354" t="s">
        <v>167</v>
      </c>
      <c r="F34" s="354" t="s">
        <v>167</v>
      </c>
      <c r="G34" s="354" t="s">
        <v>167</v>
      </c>
      <c r="H34" s="354" t="s">
        <v>167</v>
      </c>
      <c r="I34" s="354" t="s">
        <v>167</v>
      </c>
      <c r="J34" s="354"/>
      <c r="K34" s="683"/>
      <c r="L34" s="700"/>
      <c r="M34" s="553"/>
      <c r="N34" s="553"/>
      <c r="O34" s="553"/>
      <c r="P34" s="553"/>
      <c r="Q34" s="693"/>
    </row>
    <row r="35" spans="1:17" x14ac:dyDescent="0.3">
      <c r="A35" s="416">
        <v>6</v>
      </c>
      <c r="B35" s="508">
        <v>70</v>
      </c>
      <c r="C35" s="394" t="s">
        <v>261</v>
      </c>
      <c r="D35" s="598" t="s">
        <v>140</v>
      </c>
      <c r="E35" s="354" t="s">
        <v>471</v>
      </c>
      <c r="F35" s="354" t="s">
        <v>471</v>
      </c>
      <c r="G35" s="354" t="s">
        <v>246</v>
      </c>
      <c r="H35" s="354" t="s">
        <v>246</v>
      </c>
      <c r="I35" s="354" t="s">
        <v>246</v>
      </c>
      <c r="J35" s="354"/>
      <c r="K35" s="683"/>
      <c r="L35" s="700"/>
      <c r="M35" s="553"/>
      <c r="N35" s="553"/>
      <c r="O35" s="553"/>
      <c r="P35" s="553"/>
      <c r="Q35" s="693"/>
    </row>
    <row r="36" spans="1:17" s="417" customFormat="1" x14ac:dyDescent="0.3">
      <c r="A36" s="416">
        <v>7</v>
      </c>
      <c r="B36" s="507">
        <v>212</v>
      </c>
      <c r="C36" s="394" t="s">
        <v>270</v>
      </c>
      <c r="D36" s="397" t="s">
        <v>265</v>
      </c>
      <c r="E36" s="354" t="s">
        <v>246</v>
      </c>
      <c r="F36" s="354" t="s">
        <v>246</v>
      </c>
      <c r="G36" s="354" t="s">
        <v>246</v>
      </c>
      <c r="H36" s="354" t="s">
        <v>246</v>
      </c>
      <c r="I36" s="354" t="s">
        <v>246</v>
      </c>
      <c r="J36" s="354"/>
      <c r="K36" s="683"/>
      <c r="L36" s="700"/>
      <c r="M36" s="553"/>
      <c r="N36" s="553"/>
      <c r="O36" s="553"/>
      <c r="P36" s="553"/>
      <c r="Q36" s="693"/>
    </row>
    <row r="37" spans="1:17" x14ac:dyDescent="0.3">
      <c r="A37" s="416">
        <v>8</v>
      </c>
      <c r="B37" s="507">
        <v>181</v>
      </c>
      <c r="C37" s="394" t="s">
        <v>279</v>
      </c>
      <c r="D37" s="397" t="s">
        <v>265</v>
      </c>
      <c r="E37" s="354" t="s">
        <v>246</v>
      </c>
      <c r="F37" s="354" t="s">
        <v>246</v>
      </c>
      <c r="G37" s="354" t="s">
        <v>246</v>
      </c>
      <c r="H37" s="354" t="s">
        <v>246</v>
      </c>
      <c r="I37" s="354" t="s">
        <v>246</v>
      </c>
      <c r="J37" s="354"/>
      <c r="K37" s="683"/>
      <c r="L37" s="700"/>
      <c r="M37" s="553"/>
      <c r="N37" s="553"/>
      <c r="O37" s="553"/>
      <c r="P37" s="553"/>
      <c r="Q37" s="693"/>
    </row>
    <row r="38" spans="1:17" x14ac:dyDescent="0.3">
      <c r="A38" s="416">
        <v>9</v>
      </c>
      <c r="B38" s="507">
        <v>223</v>
      </c>
      <c r="C38" s="394" t="s">
        <v>280</v>
      </c>
      <c r="D38" s="397" t="s">
        <v>286</v>
      </c>
      <c r="E38" s="354" t="s">
        <v>471</v>
      </c>
      <c r="F38" s="354" t="s">
        <v>471</v>
      </c>
      <c r="G38" s="354" t="s">
        <v>246</v>
      </c>
      <c r="H38" s="354" t="s">
        <v>246</v>
      </c>
      <c r="I38" s="354" t="s">
        <v>246</v>
      </c>
      <c r="J38" s="354"/>
      <c r="K38" s="683"/>
      <c r="L38" s="700"/>
      <c r="M38" s="553"/>
      <c r="N38" s="553"/>
      <c r="O38" s="553"/>
      <c r="P38" s="553"/>
      <c r="Q38" s="693"/>
    </row>
    <row r="39" spans="1:17" x14ac:dyDescent="0.3">
      <c r="A39" s="416">
        <v>10</v>
      </c>
      <c r="B39" s="507">
        <v>204</v>
      </c>
      <c r="C39" s="394" t="s">
        <v>260</v>
      </c>
      <c r="D39" s="432" t="s">
        <v>263</v>
      </c>
      <c r="E39" s="354" t="s">
        <v>167</v>
      </c>
      <c r="F39" s="354" t="s">
        <v>167</v>
      </c>
      <c r="G39" s="354" t="s">
        <v>167</v>
      </c>
      <c r="H39" s="354" t="s">
        <v>167</v>
      </c>
      <c r="I39" s="354" t="s">
        <v>167</v>
      </c>
      <c r="J39" s="354"/>
      <c r="K39" s="683"/>
      <c r="L39" s="700"/>
      <c r="M39" s="553"/>
      <c r="N39" s="553"/>
      <c r="O39" s="553"/>
      <c r="P39" s="553"/>
      <c r="Q39" s="693"/>
    </row>
    <row r="40" spans="1:17" x14ac:dyDescent="0.3">
      <c r="A40" s="416">
        <v>11</v>
      </c>
      <c r="B40" s="507">
        <v>205</v>
      </c>
      <c r="C40" s="394" t="s">
        <v>262</v>
      </c>
      <c r="D40" s="432" t="s">
        <v>263</v>
      </c>
      <c r="E40" s="354" t="s">
        <v>246</v>
      </c>
      <c r="F40" s="354" t="s">
        <v>246</v>
      </c>
      <c r="G40" s="354" t="s">
        <v>246</v>
      </c>
      <c r="H40" s="354" t="s">
        <v>246</v>
      </c>
      <c r="I40" s="354" t="s">
        <v>129</v>
      </c>
      <c r="J40" s="354"/>
      <c r="K40" s="683"/>
      <c r="L40" s="698"/>
      <c r="M40" s="395"/>
      <c r="N40" s="395"/>
      <c r="O40" s="395"/>
      <c r="P40" s="395"/>
      <c r="Q40" s="202"/>
    </row>
    <row r="41" spans="1:17" s="68" customFormat="1" x14ac:dyDescent="0.3">
      <c r="A41" s="416">
        <v>12</v>
      </c>
      <c r="B41" s="507">
        <v>169</v>
      </c>
      <c r="C41" s="394" t="s">
        <v>148</v>
      </c>
      <c r="D41" s="355" t="s">
        <v>191</v>
      </c>
      <c r="E41" s="354" t="s">
        <v>246</v>
      </c>
      <c r="F41" s="354" t="s">
        <v>246</v>
      </c>
      <c r="G41" s="354" t="s">
        <v>246</v>
      </c>
      <c r="H41" s="354" t="s">
        <v>246</v>
      </c>
      <c r="I41" s="354" t="s">
        <v>246</v>
      </c>
      <c r="J41" s="354"/>
      <c r="K41" s="704"/>
      <c r="L41" s="656"/>
      <c r="M41" s="392"/>
      <c r="N41" s="392"/>
      <c r="O41" s="392"/>
      <c r="P41" s="392"/>
      <c r="Q41" s="702"/>
    </row>
    <row r="42" spans="1:17" ht="13.5" customHeight="1" x14ac:dyDescent="0.3">
      <c r="A42" s="416">
        <v>13</v>
      </c>
      <c r="B42" s="610">
        <v>207</v>
      </c>
      <c r="C42" s="394" t="s">
        <v>266</v>
      </c>
      <c r="D42" s="397" t="s">
        <v>245</v>
      </c>
      <c r="E42" s="354" t="s">
        <v>246</v>
      </c>
      <c r="F42" s="354" t="s">
        <v>246</v>
      </c>
      <c r="G42" s="354" t="s">
        <v>246</v>
      </c>
      <c r="H42" s="354" t="s">
        <v>246</v>
      </c>
      <c r="I42" s="354" t="s">
        <v>246</v>
      </c>
      <c r="J42" s="354"/>
      <c r="K42" s="704"/>
      <c r="L42" s="656"/>
      <c r="M42" s="392"/>
      <c r="N42" s="392"/>
      <c r="O42" s="392"/>
      <c r="P42" s="392"/>
      <c r="Q42" s="702"/>
    </row>
    <row r="43" spans="1:17" ht="16.5" customHeight="1" thickBot="1" x14ac:dyDescent="0.35">
      <c r="A43" s="416">
        <v>14</v>
      </c>
      <c r="B43" s="509">
        <v>228</v>
      </c>
      <c r="C43" s="485" t="s">
        <v>285</v>
      </c>
      <c r="D43" s="669" t="s">
        <v>286</v>
      </c>
      <c r="E43" s="354" t="s">
        <v>246</v>
      </c>
      <c r="F43" s="354" t="s">
        <v>246</v>
      </c>
      <c r="G43" s="354" t="s">
        <v>246</v>
      </c>
      <c r="H43" s="354" t="s">
        <v>246</v>
      </c>
      <c r="I43" s="354" t="s">
        <v>471</v>
      </c>
      <c r="J43" s="354"/>
      <c r="K43" s="705"/>
      <c r="L43" s="706"/>
      <c r="M43" s="615"/>
      <c r="N43" s="615"/>
      <c r="O43" s="615"/>
      <c r="P43" s="615"/>
      <c r="Q43" s="703"/>
    </row>
    <row r="44" spans="1:17" ht="27" customHeight="1" x14ac:dyDescent="0.3">
      <c r="A44" s="416"/>
      <c r="B44" s="632"/>
      <c r="C44" s="398"/>
      <c r="D44" s="633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</row>
    <row r="45" spans="1:17" ht="15" customHeight="1" x14ac:dyDescent="0.3">
      <c r="A45" s="416"/>
      <c r="B45" s="632"/>
      <c r="C45" s="398"/>
      <c r="D45" s="633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</row>
    <row r="46" spans="1:17" ht="15" customHeight="1" x14ac:dyDescent="0.3">
      <c r="A46"/>
      <c r="B46"/>
      <c r="M46" s="68"/>
      <c r="N46" s="68"/>
      <c r="O46" s="68"/>
      <c r="P46" s="68"/>
      <c r="Q46" s="68"/>
    </row>
    <row r="47" spans="1:17" ht="15" customHeight="1" x14ac:dyDescent="0.4">
      <c r="B47" s="906" t="str">
        <f>+B2</f>
        <v>SEMANA DEL 02 AL 08 DIC DEL 2024</v>
      </c>
      <c r="C47" s="906"/>
      <c r="D47" s="906"/>
      <c r="E47" s="906"/>
      <c r="F47" s="906"/>
      <c r="G47" s="906"/>
      <c r="H47" s="906"/>
      <c r="I47" s="906"/>
      <c r="J47" s="906"/>
      <c r="K47" s="906"/>
      <c r="L47" s="900" t="s">
        <v>227</v>
      </c>
      <c r="M47" s="900"/>
      <c r="N47" s="900"/>
      <c r="O47" s="900"/>
      <c r="P47" s="900"/>
      <c r="Q47" s="900"/>
    </row>
    <row r="48" spans="1:17" ht="24.6" customHeight="1" x14ac:dyDescent="0.4">
      <c r="B48" s="906" t="s">
        <v>183</v>
      </c>
      <c r="C48" s="906"/>
      <c r="D48" s="906"/>
      <c r="E48" s="906"/>
      <c r="F48" s="906"/>
      <c r="G48" s="906"/>
      <c r="H48" s="906"/>
      <c r="I48" s="906"/>
      <c r="J48" s="906"/>
      <c r="K48" s="906"/>
      <c r="L48" s="901" t="s">
        <v>228</v>
      </c>
      <c r="M48" s="901" t="s">
        <v>229</v>
      </c>
      <c r="N48" s="901" t="s">
        <v>230</v>
      </c>
      <c r="O48" s="901" t="s">
        <v>231</v>
      </c>
      <c r="P48" s="901" t="s">
        <v>232</v>
      </c>
      <c r="Q48" s="901" t="s">
        <v>178</v>
      </c>
    </row>
    <row r="49" spans="1:17" ht="15" customHeight="1" x14ac:dyDescent="0.3">
      <c r="A49" s="416"/>
      <c r="B49" s="907" t="s">
        <v>193</v>
      </c>
      <c r="C49" s="907"/>
      <c r="D49" s="907"/>
      <c r="E49" s="907"/>
      <c r="F49" s="907"/>
      <c r="G49" s="907"/>
      <c r="H49" s="907"/>
      <c r="I49" s="907"/>
      <c r="J49" s="907"/>
      <c r="K49" s="907"/>
      <c r="L49" s="902"/>
      <c r="M49" s="902"/>
      <c r="N49" s="902"/>
      <c r="O49" s="902"/>
      <c r="P49" s="902"/>
      <c r="Q49" s="902"/>
    </row>
    <row r="50" spans="1:17" ht="24.6" customHeight="1" x14ac:dyDescent="0.3">
      <c r="A50" s="416"/>
      <c r="B50" s="911" t="s">
        <v>222</v>
      </c>
      <c r="C50" s="911"/>
      <c r="D50" s="911"/>
      <c r="E50" s="911"/>
      <c r="F50" s="911"/>
      <c r="G50" s="911"/>
      <c r="H50" s="911"/>
      <c r="I50" s="911"/>
      <c r="J50" s="911"/>
      <c r="K50" s="911"/>
      <c r="L50" s="902"/>
      <c r="M50" s="902"/>
      <c r="N50" s="902"/>
      <c r="O50" s="902"/>
      <c r="P50" s="902"/>
      <c r="Q50" s="902"/>
    </row>
    <row r="51" spans="1:17" ht="24.6" customHeight="1" x14ac:dyDescent="0.3">
      <c r="A51" s="416"/>
      <c r="B51" s="400" t="s">
        <v>186</v>
      </c>
      <c r="C51" s="400" t="s">
        <v>135</v>
      </c>
      <c r="D51" s="400" t="s">
        <v>136</v>
      </c>
      <c r="E51" s="401" t="s">
        <v>8</v>
      </c>
      <c r="F51" s="401" t="s">
        <v>9</v>
      </c>
      <c r="G51" s="401" t="s">
        <v>9</v>
      </c>
      <c r="H51" s="401" t="s">
        <v>10</v>
      </c>
      <c r="I51" s="401" t="s">
        <v>11</v>
      </c>
      <c r="J51" s="401" t="s">
        <v>12</v>
      </c>
      <c r="K51" s="401" t="s">
        <v>187</v>
      </c>
      <c r="L51" s="903"/>
      <c r="M51" s="903"/>
      <c r="N51" s="903"/>
      <c r="O51" s="903"/>
      <c r="P51" s="903"/>
      <c r="Q51" s="903"/>
    </row>
    <row r="52" spans="1:17" x14ac:dyDescent="0.3">
      <c r="A52" s="416">
        <v>1</v>
      </c>
      <c r="B52" s="508">
        <v>209</v>
      </c>
      <c r="C52" s="394" t="s">
        <v>268</v>
      </c>
      <c r="D52" s="433" t="s">
        <v>189</v>
      </c>
      <c r="E52" s="401" t="s">
        <v>167</v>
      </c>
      <c r="F52" s="401" t="s">
        <v>167</v>
      </c>
      <c r="G52" s="401" t="s">
        <v>167</v>
      </c>
      <c r="H52" s="401" t="s">
        <v>167</v>
      </c>
      <c r="I52" s="401" t="s">
        <v>167</v>
      </c>
      <c r="J52" s="401"/>
      <c r="K52" s="401"/>
      <c r="L52" s="395"/>
      <c r="M52" s="395"/>
      <c r="N52" s="395"/>
      <c r="O52" s="395"/>
      <c r="P52" s="395"/>
      <c r="Q52" s="395"/>
    </row>
    <row r="53" spans="1:17" x14ac:dyDescent="0.3">
      <c r="A53" s="416">
        <v>2</v>
      </c>
      <c r="B53" s="507">
        <v>9</v>
      </c>
      <c r="C53" s="418" t="s">
        <v>36</v>
      </c>
      <c r="D53" s="433" t="s">
        <v>189</v>
      </c>
      <c r="E53" s="401" t="s">
        <v>537</v>
      </c>
      <c r="F53" s="401" t="s">
        <v>246</v>
      </c>
      <c r="G53" s="401" t="s">
        <v>246</v>
      </c>
      <c r="H53" s="401" t="s">
        <v>246</v>
      </c>
      <c r="I53" s="401" t="s">
        <v>246</v>
      </c>
      <c r="J53" s="401"/>
      <c r="K53" s="401"/>
      <c r="L53" s="534"/>
      <c r="M53" s="534"/>
      <c r="N53" s="534"/>
      <c r="O53" s="534"/>
      <c r="P53" s="534"/>
      <c r="Q53" s="534"/>
    </row>
    <row r="54" spans="1:17" x14ac:dyDescent="0.3">
      <c r="A54" s="416">
        <v>3</v>
      </c>
      <c r="B54" s="507">
        <v>158</v>
      </c>
      <c r="C54" s="396" t="s">
        <v>138</v>
      </c>
      <c r="D54" s="545" t="s">
        <v>189</v>
      </c>
      <c r="E54" s="401" t="s">
        <v>246</v>
      </c>
      <c r="F54" s="401" t="s">
        <v>246</v>
      </c>
      <c r="G54" s="401" t="s">
        <v>246</v>
      </c>
      <c r="H54" s="401" t="s">
        <v>246</v>
      </c>
      <c r="I54" s="401" t="s">
        <v>246</v>
      </c>
      <c r="J54" s="401"/>
      <c r="K54" s="401"/>
      <c r="L54" s="395"/>
      <c r="M54" s="395"/>
      <c r="N54" s="395"/>
      <c r="O54" s="395"/>
      <c r="P54" s="395"/>
      <c r="Q54" s="395"/>
    </row>
    <row r="55" spans="1:17" x14ac:dyDescent="0.3">
      <c r="A55" s="416">
        <v>4</v>
      </c>
      <c r="B55" s="507">
        <v>14</v>
      </c>
      <c r="C55" s="396" t="s">
        <v>57</v>
      </c>
      <c r="D55" s="646" t="s">
        <v>265</v>
      </c>
      <c r="E55" s="401" t="s">
        <v>246</v>
      </c>
      <c r="F55" s="401" t="s">
        <v>246</v>
      </c>
      <c r="G55" s="401" t="s">
        <v>246</v>
      </c>
      <c r="H55" s="401" t="s">
        <v>246</v>
      </c>
      <c r="I55" s="401" t="s">
        <v>246</v>
      </c>
      <c r="J55" s="401"/>
      <c r="K55" s="401"/>
      <c r="L55" s="395"/>
      <c r="M55" s="395"/>
      <c r="N55" s="395"/>
      <c r="O55" s="395"/>
      <c r="P55" s="395"/>
      <c r="Q55" s="395"/>
    </row>
    <row r="56" spans="1:17" ht="26.25" customHeight="1" x14ac:dyDescent="0.3">
      <c r="A56" s="416">
        <v>5</v>
      </c>
      <c r="B56" s="507">
        <v>214</v>
      </c>
      <c r="C56" s="394" t="s">
        <v>271</v>
      </c>
      <c r="D56" s="397" t="s">
        <v>240</v>
      </c>
      <c r="E56" s="401" t="s">
        <v>246</v>
      </c>
      <c r="F56" s="401" t="s">
        <v>246</v>
      </c>
      <c r="G56" s="401" t="s">
        <v>246</v>
      </c>
      <c r="H56" s="401" t="s">
        <v>246</v>
      </c>
      <c r="I56" s="401" t="s">
        <v>246</v>
      </c>
      <c r="J56" s="401"/>
      <c r="K56" s="401"/>
      <c r="L56" s="395"/>
      <c r="M56" s="395"/>
      <c r="N56" s="395"/>
      <c r="O56" s="395"/>
      <c r="P56" s="395"/>
      <c r="Q56" s="395"/>
    </row>
    <row r="57" spans="1:17" ht="25.5" customHeight="1" x14ac:dyDescent="0.3">
      <c r="A57" s="416">
        <v>6</v>
      </c>
      <c r="B57" s="507">
        <v>215</v>
      </c>
      <c r="C57" s="394" t="s">
        <v>272</v>
      </c>
      <c r="D57" s="397" t="s">
        <v>240</v>
      </c>
      <c r="E57" s="401" t="s">
        <v>246</v>
      </c>
      <c r="F57" s="401" t="s">
        <v>246</v>
      </c>
      <c r="G57" s="401" t="s">
        <v>129</v>
      </c>
      <c r="H57" s="401" t="s">
        <v>132</v>
      </c>
      <c r="I57" s="401" t="s">
        <v>246</v>
      </c>
      <c r="J57" s="401"/>
      <c r="K57" s="401"/>
      <c r="L57" s="395"/>
      <c r="M57" s="395"/>
      <c r="N57" s="395"/>
      <c r="O57" s="395"/>
      <c r="P57" s="395"/>
      <c r="Q57" s="395"/>
    </row>
    <row r="58" spans="1:17" ht="18" customHeight="1" x14ac:dyDescent="0.3">
      <c r="A58" s="416">
        <v>7</v>
      </c>
      <c r="B58" s="507">
        <v>91</v>
      </c>
      <c r="C58" s="394" t="s">
        <v>94</v>
      </c>
      <c r="D58" s="397" t="s">
        <v>240</v>
      </c>
      <c r="E58" s="401" t="s">
        <v>246</v>
      </c>
      <c r="F58" s="401" t="s">
        <v>246</v>
      </c>
      <c r="G58" s="401" t="s">
        <v>246</v>
      </c>
      <c r="H58" s="401" t="s">
        <v>129</v>
      </c>
      <c r="I58" s="401" t="s">
        <v>246</v>
      </c>
      <c r="J58" s="401"/>
      <c r="K58" s="354"/>
      <c r="L58" s="395"/>
      <c r="M58" s="395"/>
      <c r="N58" s="395"/>
      <c r="O58" s="395"/>
      <c r="P58" s="395"/>
      <c r="Q58" s="395"/>
    </row>
    <row r="59" spans="1:17" ht="15" customHeight="1" x14ac:dyDescent="0.3">
      <c r="A59" s="416">
        <v>8</v>
      </c>
      <c r="B59" s="507">
        <v>27</v>
      </c>
      <c r="C59" s="394" t="s">
        <v>39</v>
      </c>
      <c r="D59" s="402" t="s">
        <v>190</v>
      </c>
      <c r="E59" s="401" t="s">
        <v>246</v>
      </c>
      <c r="F59" s="401" t="s">
        <v>246</v>
      </c>
      <c r="G59" s="401" t="s">
        <v>246</v>
      </c>
      <c r="H59" s="401" t="s">
        <v>246</v>
      </c>
      <c r="I59" s="401" t="s">
        <v>246</v>
      </c>
      <c r="J59" s="401"/>
      <c r="K59" s="354"/>
      <c r="L59" s="395"/>
      <c r="M59" s="395"/>
      <c r="N59" s="395"/>
      <c r="O59" s="395"/>
      <c r="P59" s="395"/>
      <c r="Q59" s="395"/>
    </row>
    <row r="60" spans="1:17" ht="13.2" customHeight="1" x14ac:dyDescent="0.3">
      <c r="A60" s="416">
        <v>9</v>
      </c>
      <c r="B60" s="507">
        <v>210</v>
      </c>
      <c r="C60" s="394" t="s">
        <v>269</v>
      </c>
      <c r="D60" s="432" t="s">
        <v>263</v>
      </c>
      <c r="E60" s="401" t="s">
        <v>246</v>
      </c>
      <c r="F60" s="401" t="s">
        <v>246</v>
      </c>
      <c r="G60" s="401" t="s">
        <v>246</v>
      </c>
      <c r="H60" s="401" t="s">
        <v>246</v>
      </c>
      <c r="I60" s="401" t="s">
        <v>246</v>
      </c>
      <c r="J60" s="401"/>
      <c r="K60" s="354"/>
      <c r="L60" s="395"/>
      <c r="M60" s="395"/>
      <c r="N60" s="395"/>
      <c r="O60" s="395"/>
      <c r="P60" s="395"/>
      <c r="Q60" s="395"/>
    </row>
    <row r="61" spans="1:17" ht="13.2" customHeight="1" x14ac:dyDescent="0.3">
      <c r="A61" s="416">
        <v>10</v>
      </c>
      <c r="B61" s="507">
        <v>159</v>
      </c>
      <c r="C61" s="394" t="s">
        <v>139</v>
      </c>
      <c r="D61" s="433" t="s">
        <v>189</v>
      </c>
      <c r="E61" s="401" t="s">
        <v>246</v>
      </c>
      <c r="F61" s="401" t="s">
        <v>246</v>
      </c>
      <c r="G61" s="401" t="s">
        <v>246</v>
      </c>
      <c r="H61" s="401" t="s">
        <v>246</v>
      </c>
      <c r="I61" s="401" t="s">
        <v>246</v>
      </c>
      <c r="J61" s="401"/>
      <c r="K61" s="354"/>
      <c r="L61" s="395"/>
      <c r="M61" s="395"/>
      <c r="N61" s="395"/>
      <c r="O61" s="395"/>
      <c r="P61" s="395"/>
      <c r="Q61" s="395"/>
    </row>
    <row r="62" spans="1:17" ht="24.6" customHeight="1" x14ac:dyDescent="0.3">
      <c r="A62" s="416">
        <v>11</v>
      </c>
      <c r="B62" s="507">
        <v>33</v>
      </c>
      <c r="C62" s="394" t="s">
        <v>41</v>
      </c>
      <c r="D62" s="397" t="s">
        <v>191</v>
      </c>
      <c r="E62" s="401" t="s">
        <v>246</v>
      </c>
      <c r="F62" s="401" t="s">
        <v>246</v>
      </c>
      <c r="G62" s="401" t="s">
        <v>246</v>
      </c>
      <c r="H62" s="401" t="s">
        <v>246</v>
      </c>
      <c r="I62" s="401" t="s">
        <v>246</v>
      </c>
      <c r="J62" s="401"/>
      <c r="K62" s="354"/>
      <c r="L62" s="395"/>
      <c r="M62" s="395"/>
      <c r="N62" s="395"/>
      <c r="O62" s="395"/>
      <c r="P62" s="395"/>
      <c r="Q62" s="395"/>
    </row>
    <row r="63" spans="1:17" x14ac:dyDescent="0.3">
      <c r="A63" s="416">
        <v>12</v>
      </c>
      <c r="B63" s="507">
        <v>237</v>
      </c>
      <c r="C63" s="394" t="s">
        <v>293</v>
      </c>
      <c r="D63" s="397" t="s">
        <v>233</v>
      </c>
      <c r="E63" s="401" t="s">
        <v>246</v>
      </c>
      <c r="F63" s="401" t="s">
        <v>246</v>
      </c>
      <c r="G63" s="401" t="s">
        <v>246</v>
      </c>
      <c r="H63" s="401" t="s">
        <v>246</v>
      </c>
      <c r="I63" s="401" t="s">
        <v>246</v>
      </c>
      <c r="J63" s="401"/>
      <c r="K63" s="354"/>
      <c r="L63" s="395"/>
      <c r="M63" s="395"/>
      <c r="N63" s="395"/>
      <c r="O63" s="395"/>
      <c r="P63" s="395"/>
      <c r="Q63" s="395"/>
    </row>
    <row r="64" spans="1:17" ht="27" customHeight="1" x14ac:dyDescent="0.3">
      <c r="A64" s="416">
        <v>15</v>
      </c>
      <c r="B64" s="610">
        <v>231</v>
      </c>
      <c r="C64" s="394" t="s">
        <v>287</v>
      </c>
      <c r="D64" s="397" t="s">
        <v>233</v>
      </c>
      <c r="E64" s="401" t="s">
        <v>246</v>
      </c>
      <c r="F64" s="401" t="s">
        <v>246</v>
      </c>
      <c r="G64" s="401" t="s">
        <v>246</v>
      </c>
      <c r="H64" s="401" t="s">
        <v>246</v>
      </c>
      <c r="I64" s="401" t="s">
        <v>246</v>
      </c>
      <c r="J64" s="401"/>
      <c r="K64" s="660"/>
      <c r="L64" s="644"/>
      <c r="M64" s="644"/>
      <c r="N64" s="644"/>
      <c r="O64" s="644"/>
      <c r="P64" s="644"/>
      <c r="Q64" s="644"/>
    </row>
    <row r="65" spans="1:17" ht="15" customHeight="1" thickBot="1" x14ac:dyDescent="0.35">
      <c r="A65" s="416">
        <v>16</v>
      </c>
      <c r="B65" s="675">
        <v>242</v>
      </c>
      <c r="C65" s="485" t="s">
        <v>301</v>
      </c>
      <c r="D65" s="545" t="s">
        <v>189</v>
      </c>
      <c r="E65" s="401" t="s">
        <v>246</v>
      </c>
      <c r="F65" s="401" t="s">
        <v>246</v>
      </c>
      <c r="G65" s="401" t="s">
        <v>246</v>
      </c>
      <c r="H65" s="401" t="s">
        <v>246</v>
      </c>
      <c r="I65" s="401" t="s">
        <v>246</v>
      </c>
      <c r="J65" s="401"/>
      <c r="K65" s="354"/>
      <c r="L65" s="395"/>
      <c r="M65" s="395"/>
      <c r="N65" s="395"/>
      <c r="O65" s="395"/>
      <c r="P65" s="395"/>
      <c r="Q65" s="395"/>
    </row>
    <row r="66" spans="1:17" ht="15" customHeight="1" x14ac:dyDescent="0.3">
      <c r="A66" s="416"/>
      <c r="B66" s="398"/>
      <c r="C66" s="398"/>
      <c r="D66" s="633"/>
      <c r="E66" s="662"/>
      <c r="F66" s="662"/>
      <c r="G66" s="662"/>
      <c r="H66" s="662"/>
      <c r="I66" s="662"/>
      <c r="J66" s="662"/>
      <c r="K66" s="399"/>
      <c r="L66" s="68"/>
      <c r="M66" s="68"/>
      <c r="N66" s="68"/>
      <c r="O66" s="68"/>
      <c r="P66" s="68"/>
      <c r="Q66" s="68"/>
    </row>
    <row r="67" spans="1:17" x14ac:dyDescent="0.3">
      <c r="A67" s="416"/>
      <c r="B67" s="398"/>
      <c r="C67" s="398"/>
      <c r="D67" s="633"/>
      <c r="E67" s="662"/>
      <c r="F67" s="662"/>
      <c r="G67" s="662"/>
      <c r="H67" s="662"/>
      <c r="I67" s="662"/>
      <c r="J67" s="662"/>
      <c r="K67" s="399"/>
      <c r="L67" s="68"/>
      <c r="M67" s="68"/>
      <c r="N67" s="68"/>
      <c r="O67" s="68"/>
      <c r="P67" s="68"/>
      <c r="Q67" s="68"/>
    </row>
    <row r="68" spans="1:17" ht="24.6" customHeight="1" x14ac:dyDescent="0.3">
      <c r="A68" s="416"/>
      <c r="B68" s="398"/>
      <c r="C68" s="398"/>
      <c r="D68" s="633"/>
      <c r="E68" s="662"/>
      <c r="F68" s="662"/>
      <c r="G68" s="662"/>
      <c r="H68" s="662"/>
      <c r="I68" s="662"/>
      <c r="J68" s="662"/>
      <c r="K68" s="399"/>
      <c r="L68" s="68"/>
      <c r="M68" s="68"/>
      <c r="N68" s="68"/>
      <c r="O68" s="68"/>
      <c r="P68" s="68"/>
      <c r="Q68" s="68"/>
    </row>
    <row r="69" spans="1:17" ht="14.4" customHeight="1" x14ac:dyDescent="0.3">
      <c r="A69" s="416"/>
      <c r="B69" s="632"/>
      <c r="C69" s="398"/>
      <c r="D69" s="633"/>
      <c r="E69" s="399"/>
      <c r="F69" s="399"/>
      <c r="G69" s="399"/>
      <c r="H69" s="399"/>
      <c r="I69" s="399"/>
      <c r="J69" s="399"/>
      <c r="K69" s="399"/>
      <c r="L69" s="68"/>
      <c r="M69" s="68"/>
      <c r="N69" s="68"/>
      <c r="O69" s="68"/>
      <c r="P69" s="68"/>
      <c r="Q69" s="68"/>
    </row>
    <row r="70" spans="1:17" x14ac:dyDescent="0.3">
      <c r="A70" s="416"/>
      <c r="B70" s="632"/>
      <c r="C70" s="398"/>
      <c r="D70" s="633"/>
      <c r="E70" s="399"/>
      <c r="F70" s="399"/>
      <c r="G70" s="399"/>
      <c r="H70" s="399"/>
      <c r="I70" s="399"/>
      <c r="J70" s="399"/>
      <c r="K70" s="399"/>
      <c r="L70" s="68"/>
      <c r="M70" s="68"/>
      <c r="N70" s="68"/>
      <c r="O70" s="68"/>
      <c r="P70" s="68"/>
      <c r="Q70" s="68"/>
    </row>
    <row r="71" spans="1:17" ht="24.6" x14ac:dyDescent="0.4">
      <c r="B71" s="906" t="str">
        <f>+B2</f>
        <v>SEMANA DEL 02 AL 08 DIC DEL 2024</v>
      </c>
      <c r="C71" s="906"/>
      <c r="D71" s="906"/>
      <c r="E71" s="906"/>
      <c r="F71" s="906"/>
      <c r="G71" s="906"/>
      <c r="H71" s="906"/>
      <c r="I71" s="906"/>
      <c r="J71" s="906"/>
      <c r="K71" s="906"/>
      <c r="L71" s="909" t="s">
        <v>227</v>
      </c>
      <c r="M71" s="909"/>
      <c r="N71" s="909"/>
      <c r="O71" s="909"/>
      <c r="P71" s="909"/>
      <c r="Q71" s="909"/>
    </row>
    <row r="72" spans="1:17" ht="8.4" hidden="1" customHeight="1" x14ac:dyDescent="0.4">
      <c r="A72" s="416"/>
      <c r="B72" s="908" t="s">
        <v>194</v>
      </c>
      <c r="C72" s="908"/>
      <c r="D72" s="908"/>
      <c r="E72" s="908"/>
      <c r="F72" s="908"/>
      <c r="G72" s="908"/>
      <c r="H72" s="908"/>
      <c r="I72" s="908"/>
      <c r="J72" s="908"/>
      <c r="K72" s="908"/>
      <c r="L72" s="901" t="s">
        <v>228</v>
      </c>
      <c r="M72" s="901" t="s">
        <v>229</v>
      </c>
      <c r="N72" s="901" t="s">
        <v>230</v>
      </c>
      <c r="O72" s="901" t="s">
        <v>231</v>
      </c>
      <c r="P72" s="901" t="s">
        <v>232</v>
      </c>
      <c r="Q72" s="901" t="s">
        <v>178</v>
      </c>
    </row>
    <row r="73" spans="1:17" ht="30.6" customHeight="1" x14ac:dyDescent="0.3">
      <c r="A73" s="416"/>
      <c r="B73" s="907" t="s">
        <v>195</v>
      </c>
      <c r="C73" s="907"/>
      <c r="D73" s="907"/>
      <c r="E73" s="907"/>
      <c r="F73" s="907"/>
      <c r="G73" s="907"/>
      <c r="H73" s="907"/>
      <c r="I73" s="907"/>
      <c r="J73" s="907"/>
      <c r="K73" s="907"/>
      <c r="L73" s="902"/>
      <c r="M73" s="902"/>
      <c r="N73" s="902"/>
      <c r="O73" s="902"/>
      <c r="P73" s="902"/>
      <c r="Q73" s="902"/>
    </row>
    <row r="74" spans="1:17" ht="37.950000000000003" customHeight="1" x14ac:dyDescent="0.3">
      <c r="A74" s="416"/>
      <c r="B74" s="910" t="s">
        <v>223</v>
      </c>
      <c r="C74" s="910"/>
      <c r="D74" s="910"/>
      <c r="E74" s="910"/>
      <c r="F74" s="910"/>
      <c r="G74" s="910"/>
      <c r="H74" s="910"/>
      <c r="I74" s="910"/>
      <c r="J74" s="910"/>
      <c r="K74" s="910"/>
      <c r="L74" s="903"/>
      <c r="M74" s="903"/>
      <c r="N74" s="903"/>
      <c r="O74" s="903"/>
      <c r="P74" s="903"/>
      <c r="Q74" s="903"/>
    </row>
    <row r="75" spans="1:17" ht="27" customHeight="1" x14ac:dyDescent="0.3">
      <c r="A75" s="416"/>
      <c r="B75" s="400" t="s">
        <v>186</v>
      </c>
      <c r="C75" s="400" t="s">
        <v>135</v>
      </c>
      <c r="D75" s="400" t="s">
        <v>136</v>
      </c>
      <c r="E75" s="536" t="s">
        <v>8</v>
      </c>
      <c r="F75" s="536" t="s">
        <v>9</v>
      </c>
      <c r="G75" s="536" t="s">
        <v>9</v>
      </c>
      <c r="H75" s="536" t="s">
        <v>10</v>
      </c>
      <c r="I75" s="536" t="s">
        <v>11</v>
      </c>
      <c r="J75" s="536" t="s">
        <v>12</v>
      </c>
      <c r="K75" s="536" t="s">
        <v>187</v>
      </c>
      <c r="L75" s="395"/>
      <c r="M75" s="395"/>
      <c r="N75" s="395"/>
      <c r="O75" s="395"/>
      <c r="P75" s="395"/>
      <c r="Q75" s="395"/>
    </row>
    <row r="76" spans="1:17" ht="15" customHeight="1" x14ac:dyDescent="0.3">
      <c r="A76" s="416">
        <v>1</v>
      </c>
      <c r="B76" s="508">
        <v>166</v>
      </c>
      <c r="C76" s="394" t="s">
        <v>152</v>
      </c>
      <c r="D76" s="544" t="s">
        <v>234</v>
      </c>
      <c r="E76" s="354" t="s">
        <v>246</v>
      </c>
      <c r="F76" s="354" t="s">
        <v>246</v>
      </c>
      <c r="G76" s="354" t="s">
        <v>246</v>
      </c>
      <c r="H76" s="354" t="s">
        <v>246</v>
      </c>
      <c r="I76" s="354" t="s">
        <v>246</v>
      </c>
      <c r="J76" s="419"/>
      <c r="K76" s="354"/>
      <c r="L76" s="395"/>
      <c r="M76" s="395"/>
      <c r="N76" s="395"/>
      <c r="O76" s="395"/>
      <c r="P76" s="395"/>
      <c r="Q76" s="395"/>
    </row>
    <row r="77" spans="1:17" ht="15" customHeight="1" x14ac:dyDescent="0.3">
      <c r="A77" s="416">
        <v>2</v>
      </c>
      <c r="B77" s="508">
        <v>58</v>
      </c>
      <c r="C77" s="396" t="s">
        <v>81</v>
      </c>
      <c r="D77" s="433" t="s">
        <v>189</v>
      </c>
      <c r="E77" s="354" t="s">
        <v>246</v>
      </c>
      <c r="F77" s="354" t="s">
        <v>246</v>
      </c>
      <c r="G77" s="354" t="s">
        <v>246</v>
      </c>
      <c r="H77" s="354" t="s">
        <v>246</v>
      </c>
      <c r="I77" s="354" t="s">
        <v>246</v>
      </c>
      <c r="J77" s="419"/>
      <c r="K77" s="354"/>
      <c r="L77" s="392"/>
      <c r="M77" s="392"/>
      <c r="N77" s="392"/>
      <c r="O77" s="392"/>
      <c r="P77" s="392"/>
      <c r="Q77" s="392"/>
    </row>
    <row r="78" spans="1:17" ht="15" customHeight="1" x14ac:dyDescent="0.3">
      <c r="A78" s="416">
        <v>3</v>
      </c>
      <c r="B78" s="507">
        <v>19</v>
      </c>
      <c r="C78" s="394" t="s">
        <v>49</v>
      </c>
      <c r="D78" s="546" t="s">
        <v>189</v>
      </c>
      <c r="E78" s="354" t="s">
        <v>246</v>
      </c>
      <c r="F78" s="354" t="s">
        <v>246</v>
      </c>
      <c r="G78" s="354" t="s">
        <v>246</v>
      </c>
      <c r="H78" s="354" t="s">
        <v>246</v>
      </c>
      <c r="I78" s="354" t="s">
        <v>239</v>
      </c>
      <c r="J78" s="419"/>
      <c r="K78" s="354"/>
      <c r="L78" s="392"/>
      <c r="M78" s="392"/>
      <c r="N78" s="392"/>
      <c r="O78" s="392"/>
      <c r="P78" s="392"/>
      <c r="Q78" s="392"/>
    </row>
    <row r="79" spans="1:17" ht="24.6" customHeight="1" x14ac:dyDescent="0.3">
      <c r="A79" s="416">
        <v>4</v>
      </c>
      <c r="B79" s="508">
        <v>39</v>
      </c>
      <c r="C79" s="394" t="s">
        <v>50</v>
      </c>
      <c r="D79" s="547" t="s">
        <v>250</v>
      </c>
      <c r="E79" s="354" t="s">
        <v>246</v>
      </c>
      <c r="F79" s="354" t="s">
        <v>246</v>
      </c>
      <c r="G79" s="354" t="s">
        <v>246</v>
      </c>
      <c r="H79" s="354" t="s">
        <v>246</v>
      </c>
      <c r="I79" s="354" t="s">
        <v>246</v>
      </c>
      <c r="J79" s="419"/>
      <c r="K79" s="354"/>
      <c r="L79" s="395"/>
      <c r="M79" s="395"/>
      <c r="N79" s="395"/>
      <c r="O79" s="395"/>
      <c r="P79" s="395"/>
      <c r="Q79" s="395"/>
    </row>
    <row r="80" spans="1:17" ht="24.6" customHeight="1" x14ac:dyDescent="0.3">
      <c r="A80" s="416">
        <v>5</v>
      </c>
      <c r="B80" s="508">
        <v>64</v>
      </c>
      <c r="C80" s="394" t="s">
        <v>90</v>
      </c>
      <c r="D80" s="544" t="s">
        <v>235</v>
      </c>
      <c r="E80" s="354" t="s">
        <v>246</v>
      </c>
      <c r="F80" s="354" t="s">
        <v>246</v>
      </c>
      <c r="G80" s="354" t="s">
        <v>246</v>
      </c>
      <c r="H80" s="354" t="s">
        <v>239</v>
      </c>
      <c r="I80" s="354" t="s">
        <v>246</v>
      </c>
      <c r="J80" s="419"/>
      <c r="K80" s="354"/>
      <c r="L80" s="395"/>
      <c r="M80" s="395"/>
      <c r="N80" s="395"/>
      <c r="O80" s="395"/>
      <c r="P80" s="395"/>
      <c r="Q80" s="395"/>
    </row>
    <row r="81" spans="1:17" ht="15" thickBot="1" x14ac:dyDescent="0.35">
      <c r="A81" s="416">
        <v>6</v>
      </c>
      <c r="B81" s="509">
        <v>141</v>
      </c>
      <c r="C81" s="485" t="s">
        <v>120</v>
      </c>
      <c r="D81" s="595" t="s">
        <v>236</v>
      </c>
      <c r="E81" s="354" t="s">
        <v>246</v>
      </c>
      <c r="F81" s="354" t="s">
        <v>246</v>
      </c>
      <c r="G81" s="354" t="s">
        <v>246</v>
      </c>
      <c r="H81" s="354" t="s">
        <v>246</v>
      </c>
      <c r="I81" s="354" t="s">
        <v>246</v>
      </c>
      <c r="J81" s="354"/>
      <c r="K81" s="354"/>
      <c r="L81" s="395"/>
      <c r="M81" s="395"/>
      <c r="N81" s="395"/>
      <c r="O81" s="395"/>
      <c r="P81" s="395"/>
      <c r="Q81" s="395"/>
    </row>
    <row r="82" spans="1:17" ht="24.6" customHeight="1" x14ac:dyDescent="0.3">
      <c r="A82" s="416"/>
      <c r="B82" s="648"/>
      <c r="C82" s="398"/>
      <c r="D82" s="430"/>
      <c r="E82" s="425"/>
      <c r="F82" s="425"/>
      <c r="G82" s="425"/>
      <c r="H82" s="425"/>
      <c r="I82" s="425"/>
      <c r="J82" s="425"/>
      <c r="K82" s="399"/>
      <c r="L82" s="68"/>
      <c r="M82" s="68"/>
      <c r="N82" s="68"/>
      <c r="O82" s="68"/>
      <c r="P82" s="68"/>
      <c r="Q82" s="68"/>
    </row>
    <row r="83" spans="1:17" ht="24.6" customHeight="1" x14ac:dyDescent="0.3">
      <c r="A83" s="416"/>
      <c r="B83" s="648"/>
      <c r="C83" s="398"/>
      <c r="D83" s="430"/>
      <c r="E83" s="425"/>
      <c r="F83" s="425"/>
      <c r="G83" s="425"/>
      <c r="H83" s="425"/>
      <c r="I83" s="425"/>
      <c r="J83" s="425"/>
      <c r="K83" s="399"/>
      <c r="L83" s="68"/>
      <c r="M83" s="68"/>
      <c r="N83" s="68"/>
      <c r="O83" s="68"/>
      <c r="P83" s="68"/>
      <c r="Q83" s="68"/>
    </row>
    <row r="84" spans="1:17" ht="14.4" customHeight="1" x14ac:dyDescent="0.3">
      <c r="A84" s="416"/>
      <c r="B84" s="648"/>
      <c r="C84" s="398"/>
      <c r="D84" s="430"/>
      <c r="E84" s="425"/>
      <c r="F84" s="425"/>
      <c r="G84" s="425"/>
      <c r="H84" s="425"/>
      <c r="I84" s="425"/>
      <c r="J84" s="425"/>
      <c r="K84" s="399"/>
      <c r="L84" s="68"/>
      <c r="M84" s="68"/>
      <c r="N84" s="68"/>
      <c r="O84" s="68"/>
      <c r="P84" s="68"/>
      <c r="Q84" s="68"/>
    </row>
    <row r="85" spans="1:17" ht="14.4" customHeight="1" x14ac:dyDescent="0.3">
      <c r="A85" s="416"/>
      <c r="B85" s="403"/>
      <c r="C85" s="398"/>
      <c r="D85" s="404"/>
      <c r="E85" s="399"/>
      <c r="F85" s="399"/>
      <c r="G85" s="399"/>
      <c r="H85" s="399"/>
      <c r="I85" s="399"/>
      <c r="J85" s="399"/>
      <c r="K85" s="399"/>
      <c r="L85" s="68"/>
      <c r="M85" s="68"/>
      <c r="N85" s="68"/>
      <c r="O85" s="68"/>
      <c r="P85" s="68"/>
      <c r="Q85" s="68"/>
    </row>
    <row r="86" spans="1:17" ht="24.6" customHeight="1" x14ac:dyDescent="0.3">
      <c r="A86" s="416"/>
      <c r="B86" s="403"/>
      <c r="C86" s="398"/>
      <c r="D86" s="404"/>
      <c r="E86" s="399"/>
      <c r="F86" s="399"/>
      <c r="G86" s="399"/>
      <c r="H86" s="399"/>
      <c r="I86" s="399"/>
      <c r="J86" s="399"/>
      <c r="K86" s="399"/>
      <c r="L86" s="68"/>
      <c r="M86" s="68"/>
      <c r="N86" s="68"/>
      <c r="O86" s="68"/>
      <c r="P86" s="68"/>
      <c r="Q86" s="68"/>
    </row>
    <row r="87" spans="1:17" ht="24.6" customHeight="1" x14ac:dyDescent="0.4">
      <c r="B87" s="906" t="str">
        <f>+B71</f>
        <v>SEMANA DEL 02 AL 08 DIC DEL 2024</v>
      </c>
      <c r="C87" s="906"/>
      <c r="D87" s="906"/>
      <c r="E87" s="906"/>
      <c r="F87" s="906"/>
      <c r="G87" s="906"/>
      <c r="H87" s="906"/>
      <c r="I87" s="906"/>
      <c r="J87" s="906"/>
      <c r="K87" s="906"/>
      <c r="L87" s="909" t="s">
        <v>227</v>
      </c>
      <c r="M87" s="909"/>
      <c r="N87" s="909"/>
      <c r="O87" s="909"/>
      <c r="P87" s="909"/>
      <c r="Q87" s="909"/>
    </row>
    <row r="88" spans="1:17" ht="24.6" x14ac:dyDescent="0.4">
      <c r="A88" s="416"/>
      <c r="B88" s="908" t="s">
        <v>194</v>
      </c>
      <c r="C88" s="908"/>
      <c r="D88" s="908"/>
      <c r="E88" s="908"/>
      <c r="F88" s="908"/>
      <c r="G88" s="908"/>
      <c r="H88" s="908"/>
      <c r="I88" s="908"/>
      <c r="J88" s="908"/>
      <c r="K88" s="908"/>
      <c r="L88" s="901" t="s">
        <v>228</v>
      </c>
      <c r="M88" s="901" t="s">
        <v>229</v>
      </c>
      <c r="N88" s="901" t="s">
        <v>230</v>
      </c>
      <c r="O88" s="901" t="s">
        <v>231</v>
      </c>
      <c r="P88" s="901" t="s">
        <v>232</v>
      </c>
      <c r="Q88" s="901" t="s">
        <v>178</v>
      </c>
    </row>
    <row r="89" spans="1:17" x14ac:dyDescent="0.3">
      <c r="A89" s="416"/>
      <c r="B89" s="907" t="s">
        <v>267</v>
      </c>
      <c r="C89" s="907"/>
      <c r="D89" s="907"/>
      <c r="E89" s="907"/>
      <c r="F89" s="907"/>
      <c r="G89" s="907"/>
      <c r="H89" s="907"/>
      <c r="I89" s="907"/>
      <c r="J89" s="907"/>
      <c r="K89" s="907"/>
      <c r="L89" s="902"/>
      <c r="M89" s="902"/>
      <c r="N89" s="902"/>
      <c r="O89" s="902"/>
      <c r="P89" s="902"/>
      <c r="Q89" s="902"/>
    </row>
    <row r="90" spans="1:17" ht="24.6" customHeight="1" x14ac:dyDescent="0.3">
      <c r="A90" s="416"/>
      <c r="B90" s="910" t="s">
        <v>223</v>
      </c>
      <c r="C90" s="910"/>
      <c r="D90" s="910"/>
      <c r="E90" s="910"/>
      <c r="F90" s="910"/>
      <c r="G90" s="910"/>
      <c r="H90" s="910"/>
      <c r="I90" s="910"/>
      <c r="J90" s="910"/>
      <c r="K90" s="910"/>
      <c r="L90" s="903"/>
      <c r="M90" s="903"/>
      <c r="N90" s="903"/>
      <c r="O90" s="903"/>
      <c r="P90" s="903"/>
      <c r="Q90" s="903"/>
    </row>
    <row r="91" spans="1:17" ht="14.4" customHeight="1" x14ac:dyDescent="0.3">
      <c r="A91" s="416"/>
      <c r="B91" s="400" t="s">
        <v>186</v>
      </c>
      <c r="C91" s="400" t="s">
        <v>135</v>
      </c>
      <c r="D91" s="400" t="s">
        <v>136</v>
      </c>
      <c r="E91" s="536" t="s">
        <v>8</v>
      </c>
      <c r="F91" s="536" t="s">
        <v>9</v>
      </c>
      <c r="G91" s="536" t="s">
        <v>9</v>
      </c>
      <c r="H91" s="536" t="s">
        <v>10</v>
      </c>
      <c r="I91" s="536" t="s">
        <v>11</v>
      </c>
      <c r="J91" s="536" t="s">
        <v>12</v>
      </c>
      <c r="K91" s="536" t="s">
        <v>187</v>
      </c>
      <c r="L91" s="395"/>
      <c r="M91" s="395"/>
      <c r="N91" s="395"/>
      <c r="O91" s="395"/>
      <c r="P91" s="395"/>
      <c r="Q91" s="395"/>
    </row>
    <row r="92" spans="1:17" x14ac:dyDescent="0.3">
      <c r="A92" s="416">
        <v>1</v>
      </c>
      <c r="B92" s="510">
        <v>30</v>
      </c>
      <c r="C92" s="396" t="s">
        <v>206</v>
      </c>
      <c r="D92" s="545" t="s">
        <v>189</v>
      </c>
      <c r="E92" s="354" t="s">
        <v>246</v>
      </c>
      <c r="F92" s="419" t="s">
        <v>246</v>
      </c>
      <c r="G92" s="354" t="s">
        <v>246</v>
      </c>
      <c r="H92" s="419" t="s">
        <v>246</v>
      </c>
      <c r="I92" s="419" t="s">
        <v>246</v>
      </c>
      <c r="J92" s="419" t="s">
        <v>246</v>
      </c>
      <c r="K92" s="354"/>
      <c r="L92" s="395"/>
      <c r="M92" s="395"/>
      <c r="N92" s="395"/>
      <c r="O92" s="395"/>
      <c r="P92" s="395"/>
      <c r="Q92" s="395"/>
    </row>
    <row r="93" spans="1:17" ht="15" thickBot="1" x14ac:dyDescent="0.35">
      <c r="A93" s="416">
        <v>2</v>
      </c>
      <c r="B93" s="635">
        <v>195</v>
      </c>
      <c r="C93" s="485" t="s">
        <v>281</v>
      </c>
      <c r="D93" s="658" t="s">
        <v>140</v>
      </c>
      <c r="E93" s="354" t="s">
        <v>246</v>
      </c>
      <c r="F93" s="354" t="s">
        <v>129</v>
      </c>
      <c r="G93" s="354" t="s">
        <v>246</v>
      </c>
      <c r="H93" s="354" t="s">
        <v>246</v>
      </c>
      <c r="I93" s="354" t="s">
        <v>246</v>
      </c>
      <c r="J93" s="354" t="s">
        <v>246</v>
      </c>
      <c r="K93" s="354"/>
      <c r="L93" s="392"/>
      <c r="M93" s="392"/>
      <c r="N93" s="392"/>
      <c r="O93" s="392"/>
      <c r="P93" s="392"/>
      <c r="Q93" s="392"/>
    </row>
    <row r="94" spans="1:17" x14ac:dyDescent="0.3">
      <c r="A94" s="416"/>
      <c r="B94" s="403"/>
      <c r="C94" s="398"/>
      <c r="D94" s="404"/>
      <c r="E94" s="399"/>
      <c r="F94" s="399"/>
      <c r="G94" s="399"/>
      <c r="H94" s="399"/>
      <c r="I94" s="399"/>
      <c r="J94" s="399"/>
      <c r="K94" s="399"/>
    </row>
    <row r="95" spans="1:17" ht="24.6" customHeight="1" x14ac:dyDescent="0.3">
      <c r="A95" s="416"/>
      <c r="B95" s="403"/>
      <c r="C95" s="398"/>
      <c r="D95" s="404"/>
      <c r="E95" s="399"/>
      <c r="F95" s="399"/>
      <c r="G95" s="399"/>
      <c r="H95" s="399"/>
      <c r="I95" s="399"/>
      <c r="J95" s="399"/>
      <c r="K95" s="399"/>
    </row>
    <row r="96" spans="1:17" ht="24.6" customHeight="1" x14ac:dyDescent="0.3">
      <c r="A96" s="416"/>
      <c r="B96" s="403"/>
      <c r="C96" s="398"/>
      <c r="D96" s="398"/>
      <c r="E96" s="405"/>
      <c r="F96" s="405"/>
      <c r="G96" s="405"/>
      <c r="H96" s="405"/>
      <c r="I96" s="405"/>
      <c r="J96" s="405"/>
      <c r="K96" s="405"/>
    </row>
    <row r="97" spans="1:17" ht="14.4" customHeight="1" x14ac:dyDescent="0.4">
      <c r="B97" s="906" t="str">
        <f>+B2</f>
        <v>SEMANA DEL 02 AL 08 DIC DEL 2024</v>
      </c>
      <c r="C97" s="906"/>
      <c r="D97" s="906"/>
      <c r="E97" s="906"/>
      <c r="F97" s="906"/>
      <c r="G97" s="906"/>
      <c r="H97" s="906"/>
      <c r="I97" s="906"/>
      <c r="J97" s="906"/>
      <c r="K97" s="906"/>
      <c r="L97" s="909" t="s">
        <v>227</v>
      </c>
      <c r="M97" s="909"/>
      <c r="N97" s="909"/>
      <c r="O97" s="909"/>
      <c r="P97" s="909"/>
      <c r="Q97" s="909"/>
    </row>
    <row r="98" spans="1:17" x14ac:dyDescent="0.3">
      <c r="A98" s="416"/>
      <c r="B98" s="907" t="s">
        <v>219</v>
      </c>
      <c r="C98" s="907"/>
      <c r="D98" s="907"/>
      <c r="E98" s="907"/>
      <c r="F98" s="907"/>
      <c r="G98" s="907"/>
      <c r="H98" s="907"/>
      <c r="I98" s="907"/>
      <c r="J98" s="907"/>
      <c r="K98" s="907"/>
      <c r="L98" s="901" t="s">
        <v>228</v>
      </c>
      <c r="M98" s="901" t="s">
        <v>229</v>
      </c>
      <c r="N98" s="901" t="s">
        <v>230</v>
      </c>
      <c r="O98" s="901" t="s">
        <v>231</v>
      </c>
      <c r="P98" s="901" t="s">
        <v>232</v>
      </c>
      <c r="Q98" s="901" t="s">
        <v>178</v>
      </c>
    </row>
    <row r="99" spans="1:17" x14ac:dyDescent="0.3">
      <c r="A99" s="416"/>
      <c r="B99" s="891" t="s">
        <v>224</v>
      </c>
      <c r="C99" s="891"/>
      <c r="D99" s="891"/>
      <c r="E99" s="891"/>
      <c r="F99" s="891"/>
      <c r="G99" s="891"/>
      <c r="H99" s="891"/>
      <c r="I99" s="891"/>
      <c r="J99" s="891"/>
      <c r="K99" s="892"/>
      <c r="L99" s="902"/>
      <c r="M99" s="902"/>
      <c r="N99" s="902"/>
      <c r="O99" s="902"/>
      <c r="P99" s="902"/>
      <c r="Q99" s="902"/>
    </row>
    <row r="100" spans="1:17" ht="24.6" customHeight="1" x14ac:dyDescent="0.3">
      <c r="A100" s="416"/>
      <c r="B100" s="400" t="s">
        <v>186</v>
      </c>
      <c r="C100" s="406" t="s">
        <v>135</v>
      </c>
      <c r="D100" s="406" t="s">
        <v>136</v>
      </c>
      <c r="E100" s="537" t="s">
        <v>8</v>
      </c>
      <c r="F100" s="537" t="s">
        <v>9</v>
      </c>
      <c r="G100" s="537" t="s">
        <v>9</v>
      </c>
      <c r="H100" s="537" t="s">
        <v>10</v>
      </c>
      <c r="I100" s="537" t="s">
        <v>11</v>
      </c>
      <c r="J100" s="537" t="s">
        <v>12</v>
      </c>
      <c r="K100" s="543" t="s">
        <v>187</v>
      </c>
      <c r="L100" s="903"/>
      <c r="M100" s="903"/>
      <c r="N100" s="903"/>
      <c r="O100" s="903"/>
      <c r="P100" s="903"/>
      <c r="Q100" s="903"/>
    </row>
    <row r="101" spans="1:17" x14ac:dyDescent="0.3">
      <c r="A101" s="549">
        <v>1</v>
      </c>
      <c r="B101" s="508">
        <v>75</v>
      </c>
      <c r="C101" s="394" t="s">
        <v>91</v>
      </c>
      <c r="D101" s="558" t="s">
        <v>240</v>
      </c>
      <c r="E101" s="354" t="s">
        <v>246</v>
      </c>
      <c r="F101" s="354" t="s">
        <v>246</v>
      </c>
      <c r="G101" s="354" t="s">
        <v>246</v>
      </c>
      <c r="H101" s="354" t="s">
        <v>246</v>
      </c>
      <c r="I101" s="354" t="s">
        <v>129</v>
      </c>
      <c r="J101" s="354"/>
      <c r="K101" s="551"/>
      <c r="L101" s="118"/>
      <c r="M101" s="118"/>
      <c r="N101" s="118"/>
      <c r="O101" s="118"/>
      <c r="P101" s="118"/>
      <c r="Q101" s="118"/>
    </row>
    <row r="102" spans="1:17" x14ac:dyDescent="0.3">
      <c r="A102" s="416">
        <v>2</v>
      </c>
      <c r="B102" s="510">
        <v>74</v>
      </c>
      <c r="C102" s="396" t="s">
        <v>85</v>
      </c>
      <c r="D102" s="558" t="s">
        <v>240</v>
      </c>
      <c r="E102" s="354" t="s">
        <v>246</v>
      </c>
      <c r="F102" s="354" t="s">
        <v>246</v>
      </c>
      <c r="G102" s="354" t="s">
        <v>246</v>
      </c>
      <c r="H102" s="354" t="s">
        <v>246</v>
      </c>
      <c r="I102" s="354" t="s">
        <v>246</v>
      </c>
      <c r="J102" s="551"/>
      <c r="K102" s="551"/>
      <c r="L102" s="118"/>
      <c r="M102" s="118"/>
      <c r="N102" s="118"/>
      <c r="O102" s="118"/>
      <c r="P102" s="118"/>
      <c r="Q102" s="118"/>
    </row>
    <row r="103" spans="1:17" x14ac:dyDescent="0.3">
      <c r="A103" s="549">
        <v>3</v>
      </c>
      <c r="B103" s="510">
        <v>29</v>
      </c>
      <c r="C103" s="396" t="s">
        <v>53</v>
      </c>
      <c r="D103" s="558" t="s">
        <v>240</v>
      </c>
      <c r="E103" s="354" t="s">
        <v>246</v>
      </c>
      <c r="F103" s="354" t="s">
        <v>246</v>
      </c>
      <c r="G103" s="354" t="s">
        <v>246</v>
      </c>
      <c r="H103" s="354" t="s">
        <v>246</v>
      </c>
      <c r="I103" s="354" t="s">
        <v>246</v>
      </c>
      <c r="J103" s="551"/>
      <c r="K103" s="551"/>
      <c r="L103" s="118"/>
      <c r="M103" s="118"/>
      <c r="N103" s="118"/>
      <c r="O103" s="118"/>
      <c r="P103" s="118"/>
      <c r="Q103" s="118"/>
    </row>
    <row r="104" spans="1:17" ht="24.6" customHeight="1" thickBot="1" x14ac:dyDescent="0.35">
      <c r="A104" s="416">
        <v>4</v>
      </c>
      <c r="B104" s="509">
        <v>37</v>
      </c>
      <c r="C104" s="485" t="s">
        <v>55</v>
      </c>
      <c r="D104" s="545" t="s">
        <v>189</v>
      </c>
      <c r="E104" s="354" t="s">
        <v>246</v>
      </c>
      <c r="F104" s="354" t="s">
        <v>246</v>
      </c>
      <c r="G104" s="354" t="s">
        <v>246</v>
      </c>
      <c r="H104" s="354" t="s">
        <v>246</v>
      </c>
      <c r="I104" s="354" t="s">
        <v>246</v>
      </c>
      <c r="J104" s="551"/>
      <c r="K104" s="551"/>
      <c r="L104" s="118"/>
      <c r="M104" s="118"/>
      <c r="N104" s="118"/>
      <c r="O104" s="118"/>
      <c r="P104" s="118"/>
      <c r="Q104" s="118"/>
    </row>
    <row r="105" spans="1:17" ht="14.4" customHeight="1" x14ac:dyDescent="0.3">
      <c r="A105" s="416"/>
      <c r="B105" s="530"/>
      <c r="C105" s="407"/>
      <c r="D105" s="408" t="s">
        <v>220</v>
      </c>
      <c r="E105" s="409"/>
      <c r="F105" s="409"/>
      <c r="G105" s="409"/>
      <c r="H105" s="409"/>
      <c r="I105" s="409"/>
      <c r="J105" s="409"/>
      <c r="K105" s="409"/>
    </row>
    <row r="106" spans="1:17" x14ac:dyDescent="0.3">
      <c r="A106" s="416"/>
      <c r="B106" s="530"/>
      <c r="C106" s="407"/>
      <c r="D106" s="408"/>
      <c r="E106" s="409"/>
      <c r="F106" s="409"/>
      <c r="G106" s="409"/>
      <c r="H106" s="409"/>
      <c r="I106" s="409"/>
      <c r="J106" s="409"/>
      <c r="K106" s="409"/>
    </row>
    <row r="107" spans="1:17" ht="24.6" customHeight="1" x14ac:dyDescent="0.3">
      <c r="A107" s="416"/>
      <c r="B107" s="530"/>
      <c r="C107" s="407"/>
      <c r="D107" s="408"/>
      <c r="E107" s="409"/>
      <c r="F107" s="409"/>
      <c r="G107" s="409"/>
      <c r="H107" s="409"/>
      <c r="I107" s="409"/>
      <c r="J107" s="409"/>
      <c r="K107" s="409"/>
    </row>
    <row r="108" spans="1:17" ht="24.6" customHeight="1" x14ac:dyDescent="0.4">
      <c r="B108" s="906" t="str">
        <f>+B2</f>
        <v>SEMANA DEL 02 AL 08 DIC DEL 2024</v>
      </c>
      <c r="C108" s="906"/>
      <c r="D108" s="906"/>
      <c r="E108" s="906"/>
      <c r="F108" s="906"/>
      <c r="G108" s="906"/>
      <c r="H108" s="906"/>
      <c r="I108" s="906"/>
      <c r="J108" s="906"/>
      <c r="K108" s="906"/>
      <c r="L108" s="909" t="s">
        <v>227</v>
      </c>
      <c r="M108" s="909"/>
      <c r="N108" s="909"/>
      <c r="O108" s="909"/>
      <c r="P108" s="909"/>
      <c r="Q108" s="909"/>
    </row>
    <row r="109" spans="1:17" ht="24.6" customHeight="1" x14ac:dyDescent="0.4">
      <c r="B109" s="904" t="s">
        <v>44</v>
      </c>
      <c r="C109" s="904"/>
      <c r="D109" s="904"/>
      <c r="E109" s="904"/>
      <c r="F109" s="904"/>
      <c r="G109" s="904"/>
      <c r="H109" s="904"/>
      <c r="I109" s="904"/>
      <c r="J109" s="904"/>
      <c r="K109" s="904"/>
      <c r="L109" s="901" t="s">
        <v>228</v>
      </c>
      <c r="M109" s="901" t="s">
        <v>229</v>
      </c>
      <c r="N109" s="901" t="s">
        <v>230</v>
      </c>
      <c r="O109" s="901" t="s">
        <v>231</v>
      </c>
      <c r="P109" s="901" t="s">
        <v>232</v>
      </c>
      <c r="Q109" s="901" t="s">
        <v>178</v>
      </c>
    </row>
    <row r="110" spans="1:17" ht="14.4" customHeight="1" x14ac:dyDescent="0.3">
      <c r="B110" s="905" t="s">
        <v>195</v>
      </c>
      <c r="C110" s="905"/>
      <c r="D110" s="905"/>
      <c r="E110" s="905"/>
      <c r="F110" s="905"/>
      <c r="G110" s="905"/>
      <c r="H110" s="905"/>
      <c r="I110" s="905"/>
      <c r="J110" s="905"/>
      <c r="K110" s="905"/>
      <c r="L110" s="902"/>
      <c r="M110" s="902"/>
      <c r="N110" s="902"/>
      <c r="O110" s="902"/>
      <c r="P110" s="902"/>
      <c r="Q110" s="902"/>
    </row>
    <row r="111" spans="1:17" x14ac:dyDescent="0.3">
      <c r="B111" s="891" t="s">
        <v>225</v>
      </c>
      <c r="C111" s="891"/>
      <c r="D111" s="891"/>
      <c r="E111" s="891"/>
      <c r="F111" s="891"/>
      <c r="G111" s="891"/>
      <c r="H111" s="891"/>
      <c r="I111" s="891"/>
      <c r="J111" s="891"/>
      <c r="K111" s="891"/>
      <c r="L111" s="902"/>
      <c r="M111" s="902"/>
      <c r="N111" s="902"/>
      <c r="O111" s="902"/>
      <c r="P111" s="902"/>
      <c r="Q111" s="902"/>
    </row>
    <row r="112" spans="1:17" x14ac:dyDescent="0.3">
      <c r="B112" s="400" t="s">
        <v>186</v>
      </c>
      <c r="C112" s="406" t="s">
        <v>135</v>
      </c>
      <c r="D112" s="406" t="s">
        <v>136</v>
      </c>
      <c r="E112" s="537" t="s">
        <v>8</v>
      </c>
      <c r="F112" s="537" t="s">
        <v>9</v>
      </c>
      <c r="G112" s="537" t="s">
        <v>9</v>
      </c>
      <c r="H112" s="537" t="s">
        <v>10</v>
      </c>
      <c r="I112" s="537" t="s">
        <v>11</v>
      </c>
      <c r="J112" s="537" t="s">
        <v>12</v>
      </c>
      <c r="K112" s="537" t="s">
        <v>187</v>
      </c>
      <c r="L112" s="903"/>
      <c r="M112" s="903"/>
      <c r="N112" s="903"/>
      <c r="O112" s="903"/>
      <c r="P112" s="903"/>
      <c r="Q112" s="903"/>
    </row>
    <row r="113" spans="1:17" x14ac:dyDescent="0.3">
      <c r="A113" s="287">
        <v>1</v>
      </c>
      <c r="B113" s="508">
        <v>63</v>
      </c>
      <c r="C113" s="394" t="s">
        <v>45</v>
      </c>
      <c r="D113" s="597" t="s">
        <v>141</v>
      </c>
      <c r="E113" s="354" t="s">
        <v>246</v>
      </c>
      <c r="F113" s="354" t="s">
        <v>246</v>
      </c>
      <c r="G113" s="354" t="s">
        <v>246</v>
      </c>
      <c r="H113" s="354" t="s">
        <v>246</v>
      </c>
      <c r="I113" s="354" t="s">
        <v>246</v>
      </c>
      <c r="J113" s="354" t="s">
        <v>246</v>
      </c>
      <c r="K113" s="354"/>
      <c r="L113" s="395"/>
      <c r="M113" s="395"/>
      <c r="N113" s="395"/>
      <c r="O113" s="395"/>
      <c r="P113" s="395"/>
      <c r="Q113" s="395"/>
    </row>
    <row r="114" spans="1:17" ht="24.6" customHeight="1" x14ac:dyDescent="0.3">
      <c r="A114" s="287">
        <v>2</v>
      </c>
      <c r="B114" s="507">
        <v>73</v>
      </c>
      <c r="C114" s="394" t="s">
        <v>102</v>
      </c>
      <c r="D114" s="432" t="s">
        <v>190</v>
      </c>
      <c r="E114" s="354" t="s">
        <v>246</v>
      </c>
      <c r="F114" s="354" t="s">
        <v>246</v>
      </c>
      <c r="G114" s="354" t="s">
        <v>246</v>
      </c>
      <c r="H114" s="354" t="s">
        <v>239</v>
      </c>
      <c r="I114" s="354" t="s">
        <v>246</v>
      </c>
      <c r="J114" s="354" t="s">
        <v>246</v>
      </c>
      <c r="K114" s="354"/>
      <c r="L114" s="395"/>
      <c r="M114" s="395"/>
      <c r="N114" s="395"/>
      <c r="O114" s="395"/>
      <c r="P114" s="395"/>
      <c r="Q114" s="395"/>
    </row>
    <row r="115" spans="1:17" x14ac:dyDescent="0.3">
      <c r="A115" s="287">
        <v>3</v>
      </c>
      <c r="B115" s="610">
        <v>230</v>
      </c>
      <c r="C115" s="394" t="s">
        <v>288</v>
      </c>
      <c r="D115" s="558" t="s">
        <v>240</v>
      </c>
      <c r="E115" s="354" t="s">
        <v>246</v>
      </c>
      <c r="F115" s="354" t="s">
        <v>246</v>
      </c>
      <c r="G115" s="354" t="s">
        <v>246</v>
      </c>
      <c r="H115" s="354" t="s">
        <v>246</v>
      </c>
      <c r="I115" s="354" t="s">
        <v>246</v>
      </c>
      <c r="J115" s="354" t="s">
        <v>246</v>
      </c>
      <c r="K115" s="354"/>
      <c r="L115" s="395"/>
      <c r="M115" s="395"/>
      <c r="N115" s="395"/>
      <c r="O115" s="395"/>
      <c r="P115" s="395"/>
      <c r="Q115" s="395"/>
    </row>
    <row r="116" spans="1:17" x14ac:dyDescent="0.3">
      <c r="A116" s="287">
        <v>4</v>
      </c>
      <c r="B116" s="663">
        <v>111</v>
      </c>
      <c r="C116" s="661" t="s">
        <v>106</v>
      </c>
      <c r="D116" s="664" t="s">
        <v>141</v>
      </c>
      <c r="E116" s="354" t="s">
        <v>246</v>
      </c>
      <c r="F116" s="354" t="s">
        <v>246</v>
      </c>
      <c r="G116" s="354" t="s">
        <v>246</v>
      </c>
      <c r="H116" s="354" t="s">
        <v>246</v>
      </c>
      <c r="I116" s="354" t="s">
        <v>246</v>
      </c>
      <c r="J116" s="354" t="s">
        <v>246</v>
      </c>
      <c r="K116" s="660"/>
      <c r="L116" s="644"/>
      <c r="M116" s="644"/>
      <c r="N116" s="644"/>
      <c r="O116" s="644"/>
      <c r="P116" s="644"/>
      <c r="Q116" s="644"/>
    </row>
    <row r="117" spans="1:17" x14ac:dyDescent="0.3">
      <c r="A117" s="287">
        <v>5</v>
      </c>
      <c r="B117" s="610">
        <v>241</v>
      </c>
      <c r="C117" s="394" t="s">
        <v>294</v>
      </c>
      <c r="D117" s="666" t="s">
        <v>140</v>
      </c>
      <c r="E117" s="354" t="s">
        <v>246</v>
      </c>
      <c r="F117" s="354" t="s">
        <v>246</v>
      </c>
      <c r="G117" s="354" t="s">
        <v>246</v>
      </c>
      <c r="H117" s="354" t="s">
        <v>246</v>
      </c>
      <c r="I117" s="354" t="s">
        <v>246</v>
      </c>
      <c r="J117" s="354" t="s">
        <v>246</v>
      </c>
      <c r="K117" s="354"/>
      <c r="L117" s="395"/>
      <c r="M117" s="395"/>
      <c r="N117" s="395"/>
      <c r="O117" s="395"/>
      <c r="P117" s="395"/>
      <c r="Q117" s="395"/>
    </row>
    <row r="118" spans="1:17" x14ac:dyDescent="0.3">
      <c r="A118" s="287">
        <v>6</v>
      </c>
      <c r="B118" s="665">
        <v>239</v>
      </c>
      <c r="C118" s="394" t="s">
        <v>295</v>
      </c>
      <c r="D118" s="666" t="s">
        <v>140</v>
      </c>
      <c r="E118" s="354" t="s">
        <v>246</v>
      </c>
      <c r="F118" s="354" t="s">
        <v>246</v>
      </c>
      <c r="G118" s="354" t="s">
        <v>246</v>
      </c>
      <c r="H118" s="354" t="s">
        <v>246</v>
      </c>
      <c r="I118" s="354" t="s">
        <v>246</v>
      </c>
      <c r="J118" s="354" t="s">
        <v>246</v>
      </c>
      <c r="K118" s="354"/>
      <c r="L118" s="395"/>
      <c r="M118" s="395"/>
      <c r="N118" s="395"/>
      <c r="O118" s="395"/>
      <c r="P118" s="395"/>
      <c r="Q118" s="395"/>
    </row>
    <row r="119" spans="1:17" ht="24.6" customHeight="1" x14ac:dyDescent="0.3">
      <c r="B119" s="403"/>
      <c r="C119" s="398"/>
      <c r="D119" s="410"/>
      <c r="E119" s="399"/>
      <c r="F119" s="399"/>
      <c r="G119" s="399"/>
      <c r="H119" s="399"/>
      <c r="I119" s="399"/>
      <c r="J119" s="399"/>
      <c r="K119" s="399"/>
    </row>
    <row r="120" spans="1:17" ht="24.6" customHeight="1" x14ac:dyDescent="0.4">
      <c r="B120" s="906" t="str">
        <f>+B108</f>
        <v>SEMANA DEL 02 AL 08 DIC DEL 2024</v>
      </c>
      <c r="C120" s="906"/>
      <c r="D120" s="906"/>
      <c r="E120" s="906"/>
      <c r="F120" s="906"/>
      <c r="G120" s="906"/>
      <c r="H120" s="906"/>
      <c r="I120" s="906"/>
      <c r="J120" s="906"/>
      <c r="K120" s="906"/>
      <c r="L120" s="909" t="s">
        <v>227</v>
      </c>
      <c r="M120" s="909"/>
      <c r="N120" s="909"/>
      <c r="O120" s="909"/>
      <c r="P120" s="909"/>
      <c r="Q120" s="909"/>
    </row>
    <row r="121" spans="1:17" ht="24.6" x14ac:dyDescent="0.4">
      <c r="B121" s="904" t="s">
        <v>44</v>
      </c>
      <c r="C121" s="904"/>
      <c r="D121" s="904"/>
      <c r="E121" s="904"/>
      <c r="F121" s="904"/>
      <c r="G121" s="904"/>
      <c r="H121" s="904"/>
      <c r="I121" s="904"/>
      <c r="J121" s="904"/>
      <c r="K121" s="904"/>
      <c r="L121" s="901" t="s">
        <v>228</v>
      </c>
      <c r="M121" s="901" t="s">
        <v>229</v>
      </c>
      <c r="N121" s="901" t="s">
        <v>230</v>
      </c>
      <c r="O121" s="901" t="s">
        <v>231</v>
      </c>
      <c r="P121" s="901" t="s">
        <v>232</v>
      </c>
      <c r="Q121" s="901" t="s">
        <v>178</v>
      </c>
    </row>
    <row r="122" spans="1:17" x14ac:dyDescent="0.3">
      <c r="B122" s="905" t="s">
        <v>195</v>
      </c>
      <c r="C122" s="905"/>
      <c r="D122" s="905"/>
      <c r="E122" s="905"/>
      <c r="F122" s="905"/>
      <c r="G122" s="905"/>
      <c r="H122" s="905"/>
      <c r="I122" s="905"/>
      <c r="J122" s="905"/>
      <c r="K122" s="905"/>
      <c r="L122" s="902"/>
      <c r="M122" s="902"/>
      <c r="N122" s="902"/>
      <c r="O122" s="902"/>
      <c r="P122" s="902"/>
      <c r="Q122" s="902"/>
    </row>
    <row r="123" spans="1:17" x14ac:dyDescent="0.3">
      <c r="B123" s="891" t="s">
        <v>225</v>
      </c>
      <c r="C123" s="891"/>
      <c r="D123" s="891"/>
      <c r="E123" s="891"/>
      <c r="F123" s="891"/>
      <c r="G123" s="891"/>
      <c r="H123" s="891"/>
      <c r="I123" s="891"/>
      <c r="J123" s="891"/>
      <c r="K123" s="891"/>
      <c r="L123" s="902"/>
      <c r="M123" s="902"/>
      <c r="N123" s="902"/>
      <c r="O123" s="902"/>
      <c r="P123" s="902"/>
      <c r="Q123" s="902"/>
    </row>
    <row r="124" spans="1:17" x14ac:dyDescent="0.3">
      <c r="B124" s="400" t="s">
        <v>186</v>
      </c>
      <c r="C124" s="406" t="s">
        <v>135</v>
      </c>
      <c r="D124" s="406" t="s">
        <v>136</v>
      </c>
      <c r="E124" s="537" t="s">
        <v>8</v>
      </c>
      <c r="F124" s="537" t="s">
        <v>9</v>
      </c>
      <c r="G124" s="537" t="s">
        <v>9</v>
      </c>
      <c r="H124" s="537" t="s">
        <v>10</v>
      </c>
      <c r="I124" s="537" t="s">
        <v>11</v>
      </c>
      <c r="J124" s="537" t="s">
        <v>12</v>
      </c>
      <c r="K124" s="537" t="s">
        <v>187</v>
      </c>
      <c r="L124" s="903"/>
      <c r="M124" s="903"/>
      <c r="N124" s="903"/>
      <c r="O124" s="903"/>
      <c r="P124" s="903"/>
      <c r="Q124" s="903"/>
    </row>
    <row r="125" spans="1:17" x14ac:dyDescent="0.3">
      <c r="A125" s="287">
        <v>1</v>
      </c>
      <c r="B125" s="653">
        <v>69</v>
      </c>
      <c r="C125" s="394" t="s">
        <v>88</v>
      </c>
      <c r="D125" s="598" t="s">
        <v>140</v>
      </c>
      <c r="E125" s="667" t="s">
        <v>246</v>
      </c>
      <c r="F125" s="667" t="s">
        <v>246</v>
      </c>
      <c r="G125" s="667" t="s">
        <v>246</v>
      </c>
      <c r="H125" s="667" t="s">
        <v>246</v>
      </c>
      <c r="I125" s="667" t="s">
        <v>246</v>
      </c>
      <c r="J125" s="667" t="s">
        <v>246</v>
      </c>
      <c r="K125" s="667"/>
      <c r="L125" s="674"/>
      <c r="M125" s="674"/>
      <c r="N125" s="674"/>
      <c r="O125" s="674"/>
      <c r="P125" s="674"/>
      <c r="Q125" s="674"/>
    </row>
    <row r="126" spans="1:17" x14ac:dyDescent="0.3">
      <c r="A126" s="287">
        <v>2</v>
      </c>
      <c r="B126" s="653">
        <v>107</v>
      </c>
      <c r="C126" s="394" t="s">
        <v>103</v>
      </c>
      <c r="D126" s="597" t="s">
        <v>141</v>
      </c>
      <c r="E126" s="667" t="s">
        <v>246</v>
      </c>
      <c r="F126" s="667" t="s">
        <v>246</v>
      </c>
      <c r="G126" s="667" t="s">
        <v>246</v>
      </c>
      <c r="H126" s="667" t="s">
        <v>246</v>
      </c>
      <c r="I126" s="667" t="s">
        <v>246</v>
      </c>
      <c r="J126" s="667" t="s">
        <v>246</v>
      </c>
      <c r="K126" s="667"/>
      <c r="L126" s="674"/>
      <c r="M126" s="674"/>
      <c r="N126" s="674"/>
      <c r="O126" s="674"/>
      <c r="P126" s="674"/>
      <c r="Q126" s="674"/>
    </row>
    <row r="127" spans="1:17" x14ac:dyDescent="0.3">
      <c r="A127" s="287">
        <v>3</v>
      </c>
      <c r="B127" s="654">
        <v>232</v>
      </c>
      <c r="C127" s="394" t="s">
        <v>289</v>
      </c>
      <c r="D127" s="655" t="s">
        <v>140</v>
      </c>
      <c r="E127" s="667" t="s">
        <v>246</v>
      </c>
      <c r="F127" s="667" t="s">
        <v>246</v>
      </c>
      <c r="G127" s="667" t="s">
        <v>246</v>
      </c>
      <c r="H127" s="667" t="s">
        <v>246</v>
      </c>
      <c r="I127" s="667" t="s">
        <v>246</v>
      </c>
      <c r="J127" s="667" t="s">
        <v>246</v>
      </c>
      <c r="K127" s="354"/>
      <c r="L127" s="395"/>
      <c r="M127" s="395"/>
      <c r="N127" s="395"/>
      <c r="O127" s="395"/>
      <c r="P127" s="395"/>
      <c r="Q127" s="395"/>
    </row>
    <row r="128" spans="1:17" x14ac:dyDescent="0.3">
      <c r="A128" s="287">
        <v>4</v>
      </c>
      <c r="B128" s="654">
        <v>235</v>
      </c>
      <c r="C128" s="394" t="s">
        <v>292</v>
      </c>
      <c r="D128" s="655" t="s">
        <v>140</v>
      </c>
      <c r="E128" s="667" t="s">
        <v>246</v>
      </c>
      <c r="F128" s="667" t="s">
        <v>246</v>
      </c>
      <c r="G128" s="667" t="s">
        <v>246</v>
      </c>
      <c r="H128" s="667" t="s">
        <v>246</v>
      </c>
      <c r="I128" s="667" t="s">
        <v>246</v>
      </c>
      <c r="J128" s="667" t="s">
        <v>246</v>
      </c>
      <c r="K128" s="354"/>
      <c r="L128" s="395"/>
      <c r="M128" s="395"/>
      <c r="N128" s="395"/>
      <c r="O128" s="395"/>
      <c r="P128" s="395"/>
      <c r="Q128" s="395"/>
    </row>
    <row r="129" spans="1:17" ht="15" thickBot="1" x14ac:dyDescent="0.35">
      <c r="A129" s="287">
        <v>5</v>
      </c>
      <c r="B129" s="657">
        <v>226</v>
      </c>
      <c r="C129" s="485" t="s">
        <v>283</v>
      </c>
      <c r="D129" s="655" t="s">
        <v>140</v>
      </c>
      <c r="E129" s="667" t="s">
        <v>246</v>
      </c>
      <c r="F129" s="667" t="s">
        <v>246</v>
      </c>
      <c r="G129" s="667" t="s">
        <v>246</v>
      </c>
      <c r="H129" s="667" t="s">
        <v>246</v>
      </c>
      <c r="I129" s="667" t="s">
        <v>246</v>
      </c>
      <c r="J129" s="667" t="s">
        <v>246</v>
      </c>
      <c r="K129" s="354"/>
      <c r="L129" s="395"/>
      <c r="M129" s="395"/>
      <c r="N129" s="395"/>
      <c r="O129" s="395"/>
      <c r="P129" s="395"/>
      <c r="Q129" s="395"/>
    </row>
    <row r="130" spans="1:17" x14ac:dyDescent="0.3">
      <c r="B130" s="403"/>
      <c r="C130" s="398"/>
      <c r="D130" s="411"/>
      <c r="E130" s="399"/>
      <c r="F130" s="399"/>
      <c r="G130" s="399"/>
      <c r="H130" s="399"/>
      <c r="I130" s="399"/>
      <c r="J130" s="399"/>
      <c r="K130" s="399"/>
    </row>
    <row r="131" spans="1:17" ht="24.6" customHeight="1" x14ac:dyDescent="0.3">
      <c r="B131" s="403"/>
      <c r="C131" s="398"/>
      <c r="D131" s="411"/>
      <c r="E131" s="399"/>
      <c r="F131" s="399"/>
      <c r="G131" s="399"/>
      <c r="H131" s="399"/>
      <c r="I131" s="399"/>
      <c r="J131" s="399"/>
      <c r="K131" s="399"/>
    </row>
    <row r="132" spans="1:17" ht="14.4" customHeight="1" x14ac:dyDescent="0.4">
      <c r="B132" s="906" t="str">
        <f>+B2</f>
        <v>SEMANA DEL 02 AL 08 DIC DEL 2024</v>
      </c>
      <c r="C132" s="906"/>
      <c r="D132" s="906"/>
      <c r="E132" s="906"/>
      <c r="F132" s="906"/>
      <c r="G132" s="906"/>
      <c r="H132" s="906"/>
      <c r="I132" s="906"/>
      <c r="J132" s="906"/>
      <c r="K132" s="906"/>
      <c r="L132" s="900" t="s">
        <v>227</v>
      </c>
      <c r="M132" s="900"/>
      <c r="N132" s="900"/>
      <c r="O132" s="900"/>
      <c r="P132" s="900"/>
      <c r="Q132" s="900"/>
    </row>
    <row r="133" spans="1:17" x14ac:dyDescent="0.3">
      <c r="B133" s="907" t="s">
        <v>193</v>
      </c>
      <c r="C133" s="907"/>
      <c r="D133" s="907"/>
      <c r="E133" s="907"/>
      <c r="F133" s="907"/>
      <c r="G133" s="907"/>
      <c r="H133" s="907"/>
      <c r="I133" s="907"/>
      <c r="J133" s="907"/>
      <c r="K133" s="907"/>
      <c r="L133" s="901" t="s">
        <v>228</v>
      </c>
      <c r="M133" s="901" t="s">
        <v>229</v>
      </c>
      <c r="N133" s="901" t="s">
        <v>230</v>
      </c>
      <c r="O133" s="901" t="s">
        <v>231</v>
      </c>
      <c r="P133" s="901" t="s">
        <v>232</v>
      </c>
      <c r="Q133" s="901" t="s">
        <v>178</v>
      </c>
    </row>
    <row r="134" spans="1:17" x14ac:dyDescent="0.3">
      <c r="B134" s="910" t="s">
        <v>226</v>
      </c>
      <c r="C134" s="910"/>
      <c r="D134" s="910"/>
      <c r="E134" s="910"/>
      <c r="F134" s="910"/>
      <c r="G134" s="910"/>
      <c r="H134" s="910"/>
      <c r="I134" s="910"/>
      <c r="J134" s="910"/>
      <c r="K134" s="910"/>
      <c r="L134" s="902"/>
      <c r="M134" s="902"/>
      <c r="N134" s="902"/>
      <c r="O134" s="902"/>
      <c r="P134" s="902"/>
      <c r="Q134" s="902"/>
    </row>
    <row r="135" spans="1:17" x14ac:dyDescent="0.3">
      <c r="B135" s="400" t="s">
        <v>186</v>
      </c>
      <c r="C135" s="406" t="s">
        <v>135</v>
      </c>
      <c r="D135" s="406" t="s">
        <v>136</v>
      </c>
      <c r="E135" s="537" t="s">
        <v>8</v>
      </c>
      <c r="F135" s="537" t="s">
        <v>9</v>
      </c>
      <c r="G135" s="537" t="s">
        <v>9</v>
      </c>
      <c r="H135" s="537" t="s">
        <v>10</v>
      </c>
      <c r="I135" s="537" t="s">
        <v>11</v>
      </c>
      <c r="J135" s="537" t="s">
        <v>12</v>
      </c>
      <c r="K135" s="537" t="s">
        <v>187</v>
      </c>
      <c r="L135" s="903"/>
      <c r="M135" s="903"/>
      <c r="N135" s="903"/>
      <c r="O135" s="903"/>
      <c r="P135" s="903"/>
      <c r="Q135" s="903"/>
    </row>
    <row r="136" spans="1:17" x14ac:dyDescent="0.3">
      <c r="A136" s="287">
        <v>1</v>
      </c>
      <c r="B136" s="508">
        <v>94</v>
      </c>
      <c r="C136" s="394" t="s">
        <v>96</v>
      </c>
      <c r="D136" s="599" t="s">
        <v>141</v>
      </c>
      <c r="E136" s="354" t="s">
        <v>246</v>
      </c>
      <c r="F136" s="354" t="s">
        <v>246</v>
      </c>
      <c r="G136" s="354" t="s">
        <v>246</v>
      </c>
      <c r="H136" s="354" t="s">
        <v>246</v>
      </c>
      <c r="I136" s="354" t="s">
        <v>246</v>
      </c>
      <c r="J136" s="354" t="s">
        <v>246</v>
      </c>
      <c r="K136" s="354" t="s">
        <v>246</v>
      </c>
      <c r="L136" s="395"/>
      <c r="M136" s="395"/>
      <c r="N136" s="395"/>
      <c r="O136" s="395"/>
      <c r="P136" s="395"/>
      <c r="Q136" s="395"/>
    </row>
    <row r="137" spans="1:17" x14ac:dyDescent="0.3">
      <c r="A137" s="287">
        <v>2</v>
      </c>
      <c r="B137" s="610">
        <v>227</v>
      </c>
      <c r="C137" s="394" t="s">
        <v>284</v>
      </c>
      <c r="D137" s="647" t="s">
        <v>265</v>
      </c>
      <c r="E137" s="354" t="s">
        <v>246</v>
      </c>
      <c r="F137" s="354" t="s">
        <v>246</v>
      </c>
      <c r="G137" s="354" t="s">
        <v>246</v>
      </c>
      <c r="H137" s="354" t="s">
        <v>246</v>
      </c>
      <c r="I137" s="354" t="s">
        <v>246</v>
      </c>
      <c r="J137" s="354" t="s">
        <v>246</v>
      </c>
      <c r="K137" s="354"/>
      <c r="L137" s="535"/>
      <c r="M137" s="535"/>
      <c r="N137" s="395"/>
      <c r="O137" s="395"/>
      <c r="P137" s="395"/>
      <c r="Q137" s="395"/>
    </row>
    <row r="138" spans="1:17" x14ac:dyDescent="0.3">
      <c r="A138" s="287">
        <v>3</v>
      </c>
      <c r="B138" s="508">
        <v>135</v>
      </c>
      <c r="C138" s="394" t="s">
        <v>116</v>
      </c>
      <c r="D138" s="600" t="s">
        <v>22</v>
      </c>
      <c r="E138" s="354" t="s">
        <v>246</v>
      </c>
      <c r="F138" s="354" t="s">
        <v>246</v>
      </c>
      <c r="G138" s="354" t="s">
        <v>246</v>
      </c>
      <c r="H138" s="354" t="s">
        <v>246</v>
      </c>
      <c r="I138" s="354" t="s">
        <v>246</v>
      </c>
      <c r="J138" s="354"/>
      <c r="K138" s="354"/>
      <c r="L138" s="535"/>
      <c r="M138" s="535"/>
      <c r="N138" s="395"/>
      <c r="O138" s="395"/>
      <c r="P138" s="395"/>
      <c r="Q138" s="395"/>
    </row>
    <row r="139" spans="1:17" ht="15" thickBot="1" x14ac:dyDescent="0.35">
      <c r="A139" s="287">
        <v>4</v>
      </c>
      <c r="B139" s="509">
        <v>45</v>
      </c>
      <c r="C139" s="485" t="s">
        <v>196</v>
      </c>
      <c r="D139" s="622" t="s">
        <v>141</v>
      </c>
      <c r="E139" s="354" t="s">
        <v>246</v>
      </c>
      <c r="F139" s="354" t="s">
        <v>246</v>
      </c>
      <c r="G139" s="354" t="s">
        <v>246</v>
      </c>
      <c r="H139" s="354" t="s">
        <v>246</v>
      </c>
      <c r="I139" s="354" t="s">
        <v>246</v>
      </c>
      <c r="J139" s="354" t="s">
        <v>246</v>
      </c>
      <c r="K139" s="354" t="s">
        <v>246</v>
      </c>
      <c r="L139" s="535"/>
      <c r="M139" s="535"/>
      <c r="N139" s="395"/>
      <c r="O139" s="395"/>
      <c r="P139" s="395"/>
      <c r="Q139" s="395"/>
    </row>
    <row r="140" spans="1:17" ht="24.6" customHeight="1" x14ac:dyDescent="0.3">
      <c r="B140" s="403"/>
      <c r="C140" s="398"/>
      <c r="D140" s="413"/>
      <c r="E140" s="399"/>
      <c r="F140" s="399"/>
      <c r="G140" s="399"/>
      <c r="H140" s="399"/>
      <c r="I140" s="399"/>
      <c r="J140" s="399"/>
      <c r="K140" s="399"/>
      <c r="L140" s="412"/>
      <c r="M140" s="412"/>
    </row>
    <row r="141" spans="1:17" ht="24.6" x14ac:dyDescent="0.4">
      <c r="B141" s="906" t="str">
        <f>+B2</f>
        <v>SEMANA DEL 02 AL 08 DIC DEL 2024</v>
      </c>
      <c r="C141" s="906"/>
      <c r="D141" s="906"/>
      <c r="E141" s="906"/>
      <c r="F141" s="906"/>
      <c r="G141" s="906"/>
      <c r="H141" s="906"/>
      <c r="I141" s="906"/>
      <c r="J141" s="906"/>
      <c r="K141" s="906"/>
      <c r="L141" s="412"/>
      <c r="M141" s="412"/>
    </row>
    <row r="142" spans="1:17" ht="24.6" x14ac:dyDescent="0.4">
      <c r="B142" s="921" t="s">
        <v>142</v>
      </c>
      <c r="C142" s="921"/>
      <c r="D142" s="921"/>
      <c r="E142" s="921"/>
      <c r="F142" s="921"/>
      <c r="G142" s="921"/>
      <c r="H142" s="921"/>
      <c r="I142" s="921"/>
      <c r="J142" s="921"/>
      <c r="K142" s="921"/>
    </row>
    <row r="143" spans="1:17" x14ac:dyDescent="0.3">
      <c r="A143" s="416"/>
      <c r="B143" s="539" t="s">
        <v>186</v>
      </c>
      <c r="C143" s="540" t="s">
        <v>135</v>
      </c>
      <c r="D143" s="540" t="s">
        <v>136</v>
      </c>
      <c r="E143" s="541" t="s">
        <v>8</v>
      </c>
      <c r="F143" s="541" t="s">
        <v>9</v>
      </c>
      <c r="G143" s="541" t="s">
        <v>9</v>
      </c>
      <c r="H143" s="541" t="s">
        <v>10</v>
      </c>
      <c r="I143" s="541" t="s">
        <v>11</v>
      </c>
      <c r="J143" s="541" t="s">
        <v>12</v>
      </c>
      <c r="K143" s="541" t="s">
        <v>187</v>
      </c>
    </row>
    <row r="144" spans="1:17" x14ac:dyDescent="0.3">
      <c r="A144" s="416">
        <v>1</v>
      </c>
      <c r="B144" s="610">
        <v>216</v>
      </c>
      <c r="C144" s="415" t="s">
        <v>273</v>
      </c>
      <c r="D144" s="601" t="s">
        <v>69</v>
      </c>
      <c r="E144" s="414" t="s">
        <v>246</v>
      </c>
      <c r="F144" s="414" t="s">
        <v>246</v>
      </c>
      <c r="G144" s="414" t="s">
        <v>246</v>
      </c>
      <c r="H144" s="414" t="s">
        <v>246</v>
      </c>
      <c r="I144" s="414" t="s">
        <v>246</v>
      </c>
      <c r="J144" s="414"/>
      <c r="K144" s="414"/>
    </row>
    <row r="145" spans="1:11" x14ac:dyDescent="0.3">
      <c r="A145" s="416">
        <v>2</v>
      </c>
      <c r="B145" s="507">
        <v>97</v>
      </c>
      <c r="C145" s="415" t="s">
        <v>101</v>
      </c>
      <c r="D145" s="602" t="s">
        <v>143</v>
      </c>
      <c r="E145" s="414" t="s">
        <v>246</v>
      </c>
      <c r="F145" s="414" t="s">
        <v>246</v>
      </c>
      <c r="G145" s="414" t="s">
        <v>246</v>
      </c>
      <c r="H145" s="414" t="s">
        <v>246</v>
      </c>
      <c r="I145" s="414" t="s">
        <v>246</v>
      </c>
      <c r="J145" s="414"/>
      <c r="K145" s="414"/>
    </row>
    <row r="146" spans="1:11" x14ac:dyDescent="0.3">
      <c r="A146" s="416">
        <v>3</v>
      </c>
      <c r="B146" s="610">
        <v>172</v>
      </c>
      <c r="C146" s="415" t="s">
        <v>168</v>
      </c>
      <c r="D146" s="603" t="s">
        <v>201</v>
      </c>
      <c r="E146" s="414" t="s">
        <v>246</v>
      </c>
      <c r="F146" s="414" t="s">
        <v>246</v>
      </c>
      <c r="G146" s="414" t="s">
        <v>246</v>
      </c>
      <c r="H146" s="414" t="s">
        <v>246</v>
      </c>
      <c r="I146" s="414" t="s">
        <v>246</v>
      </c>
      <c r="J146" s="414"/>
      <c r="K146" s="414"/>
    </row>
    <row r="147" spans="1:11" x14ac:dyDescent="0.3">
      <c r="A147" s="416">
        <v>4</v>
      </c>
      <c r="B147" s="512">
        <v>165</v>
      </c>
      <c r="C147" s="415" t="s">
        <v>151</v>
      </c>
      <c r="D147" s="604" t="s">
        <v>199</v>
      </c>
      <c r="E147" s="414" t="s">
        <v>246</v>
      </c>
      <c r="F147" s="414" t="s">
        <v>246</v>
      </c>
      <c r="G147" s="414" t="s">
        <v>246</v>
      </c>
      <c r="H147" s="414" t="s">
        <v>246</v>
      </c>
      <c r="I147" s="414" t="s">
        <v>246</v>
      </c>
      <c r="J147" s="414"/>
      <c r="K147" s="414"/>
    </row>
    <row r="148" spans="1:11" x14ac:dyDescent="0.3">
      <c r="A148" s="416">
        <v>5</v>
      </c>
      <c r="B148" s="507">
        <v>89</v>
      </c>
      <c r="C148" s="415" t="s">
        <v>97</v>
      </c>
      <c r="D148" s="605" t="s">
        <v>66</v>
      </c>
      <c r="E148" s="414" t="s">
        <v>246</v>
      </c>
      <c r="F148" s="414" t="s">
        <v>246</v>
      </c>
      <c r="G148" s="414" t="s">
        <v>246</v>
      </c>
      <c r="H148" s="414" t="s">
        <v>246</v>
      </c>
      <c r="I148" s="414" t="s">
        <v>246</v>
      </c>
      <c r="J148" s="414"/>
      <c r="K148" s="414"/>
    </row>
    <row r="149" spans="1:11" x14ac:dyDescent="0.3">
      <c r="A149" s="416">
        <v>6</v>
      </c>
      <c r="B149" s="507">
        <v>32</v>
      </c>
      <c r="C149" s="415" t="s">
        <v>54</v>
      </c>
      <c r="D149" s="601" t="s">
        <v>69</v>
      </c>
      <c r="E149" s="414" t="s">
        <v>246</v>
      </c>
      <c r="F149" s="414" t="s">
        <v>246</v>
      </c>
      <c r="G149" s="354" t="s">
        <v>246</v>
      </c>
      <c r="H149" s="414" t="s">
        <v>246</v>
      </c>
      <c r="I149" s="414" t="s">
        <v>246</v>
      </c>
      <c r="J149" s="414"/>
      <c r="K149" s="414"/>
    </row>
    <row r="150" spans="1:11" x14ac:dyDescent="0.3">
      <c r="A150" s="416">
        <v>7</v>
      </c>
      <c r="B150" s="507">
        <v>34</v>
      </c>
      <c r="C150" s="415" t="s">
        <v>62</v>
      </c>
      <c r="D150" s="601" t="s">
        <v>200</v>
      </c>
      <c r="E150" s="414" t="s">
        <v>246</v>
      </c>
      <c r="F150" s="414" t="s">
        <v>246</v>
      </c>
      <c r="G150" s="414" t="s">
        <v>246</v>
      </c>
      <c r="H150" s="414" t="s">
        <v>246</v>
      </c>
      <c r="I150" s="414" t="s">
        <v>246</v>
      </c>
      <c r="J150" s="414"/>
      <c r="K150" s="414"/>
    </row>
    <row r="151" spans="1:11" x14ac:dyDescent="0.3">
      <c r="A151" s="416">
        <v>8</v>
      </c>
      <c r="B151" s="507">
        <v>35</v>
      </c>
      <c r="C151" s="479" t="s">
        <v>63</v>
      </c>
      <c r="D151" s="606" t="s">
        <v>67</v>
      </c>
      <c r="E151" s="414" t="s">
        <v>246</v>
      </c>
      <c r="F151" s="414" t="s">
        <v>246</v>
      </c>
      <c r="G151" s="414" t="s">
        <v>246</v>
      </c>
      <c r="H151" s="414" t="s">
        <v>246</v>
      </c>
      <c r="I151" s="414" t="s">
        <v>246</v>
      </c>
      <c r="J151" s="414" t="s">
        <v>246</v>
      </c>
      <c r="K151" s="414" t="s">
        <v>246</v>
      </c>
    </row>
    <row r="152" spans="1:11" x14ac:dyDescent="0.3">
      <c r="A152" s="416">
        <v>9</v>
      </c>
      <c r="B152" s="507">
        <v>41</v>
      </c>
      <c r="C152" s="479" t="s">
        <v>64</v>
      </c>
      <c r="D152" s="623" t="s">
        <v>68</v>
      </c>
      <c r="E152" s="414" t="s">
        <v>246</v>
      </c>
      <c r="F152" s="414" t="s">
        <v>246</v>
      </c>
      <c r="G152" s="414" t="s">
        <v>246</v>
      </c>
      <c r="H152" s="414" t="s">
        <v>246</v>
      </c>
      <c r="I152" s="414" t="s">
        <v>246</v>
      </c>
      <c r="J152" s="395"/>
      <c r="K152" s="395"/>
    </row>
    <row r="153" spans="1:11" ht="15" thickBot="1" x14ac:dyDescent="0.35">
      <c r="A153" s="416">
        <v>10</v>
      </c>
      <c r="B153" s="511">
        <v>220</v>
      </c>
      <c r="C153" s="642" t="s">
        <v>275</v>
      </c>
      <c r="D153" s="643" t="s">
        <v>69</v>
      </c>
      <c r="E153" s="414" t="s">
        <v>246</v>
      </c>
      <c r="F153" s="414" t="s">
        <v>246</v>
      </c>
      <c r="G153" s="414" t="s">
        <v>246</v>
      </c>
      <c r="H153" s="414" t="s">
        <v>246</v>
      </c>
      <c r="I153" s="414" t="s">
        <v>246</v>
      </c>
      <c r="J153" s="395"/>
      <c r="K153" s="395"/>
    </row>
  </sheetData>
  <mergeCells count="99">
    <mergeCell ref="B142:K142"/>
    <mergeCell ref="P109:P112"/>
    <mergeCell ref="Q109:Q112"/>
    <mergeCell ref="B111:K111"/>
    <mergeCell ref="L120:Q120"/>
    <mergeCell ref="L121:L124"/>
    <mergeCell ref="M121:M124"/>
    <mergeCell ref="N121:N124"/>
    <mergeCell ref="O121:O124"/>
    <mergeCell ref="P121:P124"/>
    <mergeCell ref="Q121:Q124"/>
    <mergeCell ref="B123:K123"/>
    <mergeCell ref="B109:K109"/>
    <mergeCell ref="B110:K110"/>
    <mergeCell ref="N109:N112"/>
    <mergeCell ref="O109:O112"/>
    <mergeCell ref="B99:K99"/>
    <mergeCell ref="B98:K98"/>
    <mergeCell ref="B97:K97"/>
    <mergeCell ref="Q133:Q135"/>
    <mergeCell ref="B134:K134"/>
    <mergeCell ref="L97:Q97"/>
    <mergeCell ref="L98:L100"/>
    <mergeCell ref="M98:M100"/>
    <mergeCell ref="N98:N100"/>
    <mergeCell ref="O98:O100"/>
    <mergeCell ref="P98:P100"/>
    <mergeCell ref="Q98:Q100"/>
    <mergeCell ref="B108:K108"/>
    <mergeCell ref="L108:Q108"/>
    <mergeCell ref="L109:L112"/>
    <mergeCell ref="M109:M112"/>
    <mergeCell ref="B71:K71"/>
    <mergeCell ref="L71:Q71"/>
    <mergeCell ref="B72:K72"/>
    <mergeCell ref="L72:L74"/>
    <mergeCell ref="M72:M74"/>
    <mergeCell ref="N72:N74"/>
    <mergeCell ref="O72:O74"/>
    <mergeCell ref="P72:P74"/>
    <mergeCell ref="Q72:Q74"/>
    <mergeCell ref="B73:K73"/>
    <mergeCell ref="B74:K74"/>
    <mergeCell ref="L24:Q24"/>
    <mergeCell ref="L25:L29"/>
    <mergeCell ref="M25:M29"/>
    <mergeCell ref="N25:N29"/>
    <mergeCell ref="O25:O29"/>
    <mergeCell ref="P25:P29"/>
    <mergeCell ref="Q25:Q29"/>
    <mergeCell ref="L2:Q2"/>
    <mergeCell ref="Q3:Q7"/>
    <mergeCell ref="L3:L7"/>
    <mergeCell ref="M3:M7"/>
    <mergeCell ref="N3:N7"/>
    <mergeCell ref="O3:O7"/>
    <mergeCell ref="P3:P7"/>
    <mergeCell ref="B2:K2"/>
    <mergeCell ref="C4:I4"/>
    <mergeCell ref="B5:K5"/>
    <mergeCell ref="B6:K6"/>
    <mergeCell ref="B27:K27"/>
    <mergeCell ref="B24:K24"/>
    <mergeCell ref="C26:I26"/>
    <mergeCell ref="B28:K28"/>
    <mergeCell ref="B50:K50"/>
    <mergeCell ref="B47:K47"/>
    <mergeCell ref="L47:Q47"/>
    <mergeCell ref="B48:K48"/>
    <mergeCell ref="L48:L51"/>
    <mergeCell ref="B49:K49"/>
    <mergeCell ref="M48:M51"/>
    <mergeCell ref="N48:N51"/>
    <mergeCell ref="O48:O51"/>
    <mergeCell ref="P48:P51"/>
    <mergeCell ref="Q48:Q51"/>
    <mergeCell ref="B88:K88"/>
    <mergeCell ref="B89:K89"/>
    <mergeCell ref="B87:K87"/>
    <mergeCell ref="L87:Q87"/>
    <mergeCell ref="L88:L90"/>
    <mergeCell ref="M88:M90"/>
    <mergeCell ref="N88:N90"/>
    <mergeCell ref="O88:O90"/>
    <mergeCell ref="P88:P90"/>
    <mergeCell ref="Q88:Q90"/>
    <mergeCell ref="B90:K90"/>
    <mergeCell ref="B121:K121"/>
    <mergeCell ref="B122:K122"/>
    <mergeCell ref="B120:K120"/>
    <mergeCell ref="B133:K133"/>
    <mergeCell ref="B141:K141"/>
    <mergeCell ref="B132:K132"/>
    <mergeCell ref="L132:Q132"/>
    <mergeCell ref="L133:L135"/>
    <mergeCell ref="M133:M135"/>
    <mergeCell ref="N133:N135"/>
    <mergeCell ref="O133:O135"/>
    <mergeCell ref="P133:P135"/>
  </mergeCells>
  <conditionalFormatting sqref="K58:K68 K9:K15 E9:J22">
    <cfRule type="containsText" dxfId="48" priority="50" operator="containsText" text="CO">
      <formula>NOT(ISERROR(SEARCH("CO",E9)))</formula>
    </cfRule>
    <cfRule type="containsText" dxfId="47" priority="51" operator="containsText" text="CT">
      <formula>NOT(ISERROR(SEARCH("CT",E9)))</formula>
    </cfRule>
    <cfRule type="containsText" dxfId="46" priority="52" operator="containsText" text="PCG">
      <formula>NOT(ISERROR(SEARCH("PCG",E9)))</formula>
    </cfRule>
    <cfRule type="containsText" dxfId="45" priority="53" operator="containsText" text="B">
      <formula>NOT(ISERROR(SEARCH("B",E9)))</formula>
    </cfRule>
    <cfRule type="containsText" dxfId="44" priority="54" operator="containsText" text="PSG">
      <formula>NOT(ISERROR(SEARCH("PSG",E9)))</formula>
    </cfRule>
    <cfRule type="containsText" dxfId="43" priority="55" operator="containsText" text="VAC">
      <formula>NOT(ISERROR(SEARCH("VAC",E9)))</formula>
    </cfRule>
    <cfRule type="containsText" dxfId="42" priority="56" operator="containsText" text="F">
      <formula>NOT(ISERROR(SEARCH("F",E9)))</formula>
    </cfRule>
  </conditionalFormatting>
  <conditionalFormatting sqref="J102:K104 D146:D152 E130:K131 E8:K8 K101 E113:K119 K30:K40 E136:K140 E30:J43 E76:K86">
    <cfRule type="containsText" dxfId="41" priority="43" operator="containsText" text="CO">
      <formula>NOT(ISERROR(SEARCH("CO",D8)))</formula>
    </cfRule>
    <cfRule type="containsText" dxfId="40" priority="44" operator="containsText" text="CT">
      <formula>NOT(ISERROR(SEARCH("CT",D8)))</formula>
    </cfRule>
    <cfRule type="containsText" dxfId="39" priority="45" operator="containsText" text="PCG">
      <formula>NOT(ISERROR(SEARCH("PCG",D8)))</formula>
    </cfRule>
    <cfRule type="containsText" dxfId="38" priority="46" operator="containsText" text="B">
      <formula>NOT(ISERROR(SEARCH("B",D8)))</formula>
    </cfRule>
    <cfRule type="containsText" dxfId="37" priority="47" operator="containsText" text="PSG">
      <formula>NOT(ISERROR(SEARCH("PSG",D8)))</formula>
    </cfRule>
    <cfRule type="containsText" dxfId="36" priority="48" operator="containsText" text="VAC">
      <formula>NOT(ISERROR(SEARCH("VAC",D8)))</formula>
    </cfRule>
    <cfRule type="containsText" dxfId="35" priority="49" operator="containsText" text="F">
      <formula>NOT(ISERROR(SEARCH("F",D8)))</formula>
    </cfRule>
  </conditionalFormatting>
  <conditionalFormatting sqref="E105:K107 E69:K70 E94:K96">
    <cfRule type="containsText" dxfId="34" priority="36" operator="containsText" text="CO">
      <formula>NOT(ISERROR(SEARCH("CO",E69)))</formula>
    </cfRule>
    <cfRule type="containsText" dxfId="33" priority="37" operator="containsText" text="CT">
      <formula>NOT(ISERROR(SEARCH("CT",E69)))</formula>
    </cfRule>
    <cfRule type="containsText" dxfId="32" priority="38" operator="containsText" text="PCG">
      <formula>NOT(ISERROR(SEARCH("PCG",E69)))</formula>
    </cfRule>
    <cfRule type="containsText" dxfId="31" priority="39" operator="containsText" text="B">
      <formula>NOT(ISERROR(SEARCH("B",E69)))</formula>
    </cfRule>
    <cfRule type="containsText" dxfId="30" priority="40" operator="containsText" text="PSG">
      <formula>NOT(ISERROR(SEARCH("PSG",E69)))</formula>
    </cfRule>
    <cfRule type="containsText" dxfId="29" priority="41" operator="containsText" text="VAC">
      <formula>NOT(ISERROR(SEARCH("VAC",E69)))</formula>
    </cfRule>
    <cfRule type="containsText" dxfId="28" priority="42" operator="containsText" text="F">
      <formula>NOT(ISERROR(SEARCH("F",E69)))</formula>
    </cfRule>
  </conditionalFormatting>
  <conditionalFormatting sqref="D145">
    <cfRule type="containsText" dxfId="27" priority="29" operator="containsText" text="CO">
      <formula>NOT(ISERROR(SEARCH("CO",D145)))</formula>
    </cfRule>
    <cfRule type="containsText" dxfId="26" priority="30" operator="containsText" text="CT">
      <formula>NOT(ISERROR(SEARCH("CT",D145)))</formula>
    </cfRule>
    <cfRule type="containsText" dxfId="25" priority="31" operator="containsText" text="PCG">
      <formula>NOT(ISERROR(SEARCH("PCG",D145)))</formula>
    </cfRule>
    <cfRule type="containsText" dxfId="24" priority="32" operator="containsText" text="B">
      <formula>NOT(ISERROR(SEARCH("B",D145)))</formula>
    </cfRule>
    <cfRule type="containsText" dxfId="23" priority="33" operator="containsText" text="PSG">
      <formula>NOT(ISERROR(SEARCH("PSG",D145)))</formula>
    </cfRule>
    <cfRule type="containsText" dxfId="22" priority="34" operator="containsText" text="VAC">
      <formula>NOT(ISERROR(SEARCH("VAC",D145)))</formula>
    </cfRule>
    <cfRule type="containsText" dxfId="21" priority="35" operator="containsText" text="F">
      <formula>NOT(ISERROR(SEARCH("F",D145)))</formula>
    </cfRule>
  </conditionalFormatting>
  <conditionalFormatting sqref="K127:K129">
    <cfRule type="containsText" dxfId="20" priority="15" operator="containsText" text="CO">
      <formula>NOT(ISERROR(SEARCH("CO",K127)))</formula>
    </cfRule>
    <cfRule type="containsText" dxfId="19" priority="16" operator="containsText" text="CT">
      <formula>NOT(ISERROR(SEARCH("CT",K127)))</formula>
    </cfRule>
    <cfRule type="containsText" dxfId="18" priority="17" operator="containsText" text="PCG">
      <formula>NOT(ISERROR(SEARCH("PCG",K127)))</formula>
    </cfRule>
    <cfRule type="containsText" dxfId="17" priority="18" operator="containsText" text="B">
      <formula>NOT(ISERROR(SEARCH("B",K127)))</formula>
    </cfRule>
    <cfRule type="containsText" dxfId="16" priority="19" operator="containsText" text="PSG">
      <formula>NOT(ISERROR(SEARCH("PSG",K127)))</formula>
    </cfRule>
    <cfRule type="containsText" dxfId="15" priority="20" operator="containsText" text="VAC">
      <formula>NOT(ISERROR(SEARCH("VAC",K127)))</formula>
    </cfRule>
    <cfRule type="containsText" dxfId="14" priority="21" operator="containsText" text="F">
      <formula>NOT(ISERROR(SEARCH("F",K127)))</formula>
    </cfRule>
  </conditionalFormatting>
  <conditionalFormatting sqref="E92:K93">
    <cfRule type="containsText" dxfId="13" priority="22" operator="containsText" text="CO">
      <formula>NOT(ISERROR(SEARCH("CO",E92)))</formula>
    </cfRule>
    <cfRule type="containsText" dxfId="12" priority="23" operator="containsText" text="CT">
      <formula>NOT(ISERROR(SEARCH("CT",E92)))</formula>
    </cfRule>
    <cfRule type="containsText" dxfId="11" priority="24" operator="containsText" text="PCG">
      <formula>NOT(ISERROR(SEARCH("PCG",E92)))</formula>
    </cfRule>
    <cfRule type="containsText" dxfId="10" priority="25" operator="containsText" text="B">
      <formula>NOT(ISERROR(SEARCH("B",E92)))</formula>
    </cfRule>
    <cfRule type="containsText" dxfId="9" priority="26" operator="containsText" text="PSG">
      <formula>NOT(ISERROR(SEARCH("PSG",E92)))</formula>
    </cfRule>
    <cfRule type="containsText" dxfId="8" priority="27" operator="containsText" text="VAC">
      <formula>NOT(ISERROR(SEARCH("VAC",E92)))</formula>
    </cfRule>
    <cfRule type="containsText" dxfId="7" priority="28" operator="containsText" text="F">
      <formula>NOT(ISERROR(SEARCH("F",E92)))</formula>
    </cfRule>
  </conditionalFormatting>
  <conditionalFormatting sqref="G149">
    <cfRule type="containsText" dxfId="6" priority="1" operator="containsText" text="CO">
      <formula>NOT(ISERROR(SEARCH("CO",G149)))</formula>
    </cfRule>
    <cfRule type="containsText" dxfId="5" priority="2" operator="containsText" text="CT">
      <formula>NOT(ISERROR(SEARCH("CT",G149)))</formula>
    </cfRule>
    <cfRule type="containsText" dxfId="4" priority="3" operator="containsText" text="PCG">
      <formula>NOT(ISERROR(SEARCH("PCG",G149)))</formula>
    </cfRule>
    <cfRule type="containsText" dxfId="3" priority="4" operator="containsText" text="B">
      <formula>NOT(ISERROR(SEARCH("B",G149)))</formula>
    </cfRule>
    <cfRule type="containsText" dxfId="2" priority="5" operator="containsText" text="PSG">
      <formula>NOT(ISERROR(SEARCH("PSG",G149)))</formula>
    </cfRule>
    <cfRule type="containsText" dxfId="1" priority="6" operator="containsText" text="VAC">
      <formula>NOT(ISERROR(SEARCH("VAC",G149)))</formula>
    </cfRule>
    <cfRule type="containsText" dxfId="0" priority="7" operator="containsText" text="F">
      <formula>NOT(ISERROR(SEARCH("F",G149)))</formula>
    </cfRule>
  </conditionalFormatting>
  <pageMargins left="0.23622047244094488" right="0.23622047244094488" top="0.74803149606299213" bottom="0.74803149606299213" header="0.31496062992125984" footer="0.31496062992125984"/>
  <pageSetup scale="1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17" sqref="A17"/>
    </sheetView>
  </sheetViews>
  <sheetFormatPr baseColWidth="10" defaultRowHeight="14.4" x14ac:dyDescent="0.3"/>
  <cols>
    <col min="1" max="1" width="7" bestFit="1" customWidth="1"/>
    <col min="2" max="2" width="6.33203125" customWidth="1"/>
    <col min="3" max="3" width="4.44140625" bestFit="1" customWidth="1"/>
    <col min="4" max="4" width="7.5546875" customWidth="1"/>
    <col min="5" max="5" width="4.44140625" bestFit="1" customWidth="1"/>
    <col min="6" max="6" width="5.109375" customWidth="1"/>
    <col min="7" max="7" width="4.44140625" bestFit="1" customWidth="1"/>
    <col min="8" max="8" width="6.109375" customWidth="1"/>
    <col min="9" max="9" width="10.33203125" customWidth="1"/>
    <col min="10" max="10" width="7" customWidth="1"/>
    <col min="11" max="11" width="4.44140625" bestFit="1" customWidth="1"/>
    <col min="12" max="12" width="6.109375" customWidth="1"/>
    <col min="13" max="13" width="5.109375" customWidth="1"/>
    <col min="14" max="14" width="15.44140625" bestFit="1" customWidth="1"/>
  </cols>
  <sheetData>
    <row r="2" spans="1:14" ht="30.75" customHeight="1" x14ac:dyDescent="0.3"/>
    <row r="4" spans="1:14" ht="15" thickBot="1" x14ac:dyDescent="0.35"/>
    <row r="5" spans="1:14" ht="15" thickBot="1" x14ac:dyDescent="0.35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7"/>
      <c r="N5" s="434"/>
    </row>
    <row r="6" spans="1:14" ht="17.399999999999999" thickBot="1" x14ac:dyDescent="0.5">
      <c r="A6" s="922" t="str">
        <f>+nom!B1</f>
        <v>SEMANA DEL 09 AL 15  DE DICIEMBRE DEL 2024</v>
      </c>
      <c r="B6" s="923"/>
      <c r="C6" s="923"/>
      <c r="D6" s="923"/>
      <c r="E6" s="923"/>
      <c r="F6" s="923"/>
      <c r="G6" s="923"/>
      <c r="H6" s="923"/>
      <c r="I6" s="923"/>
      <c r="J6" s="923"/>
      <c r="K6" s="923"/>
      <c r="L6" s="923"/>
      <c r="M6" s="924"/>
      <c r="N6" s="435"/>
    </row>
    <row r="7" spans="1:14" ht="18" thickBot="1" x14ac:dyDescent="0.35">
      <c r="A7" s="235">
        <f>+AVERAGE(C7,E7,G7,I7,K7,M7)</f>
        <v>16.833333333333332</v>
      </c>
      <c r="B7" s="649"/>
      <c r="C7" s="237">
        <f>+nom!K36</f>
        <v>20</v>
      </c>
      <c r="D7" s="237"/>
      <c r="E7" s="237">
        <f>+nom!M36</f>
        <v>21</v>
      </c>
      <c r="F7" s="237"/>
      <c r="G7" s="237">
        <f>+nom!O36</f>
        <v>20</v>
      </c>
      <c r="H7" s="237"/>
      <c r="I7" s="237">
        <f>+nom!Q36</f>
        <v>20</v>
      </c>
      <c r="J7" s="237"/>
      <c r="K7" s="237">
        <f>+nom!S36</f>
        <v>20</v>
      </c>
      <c r="L7" s="237"/>
      <c r="M7" s="239">
        <f>+nom!U36</f>
        <v>0</v>
      </c>
      <c r="N7" s="436" t="s">
        <v>5</v>
      </c>
    </row>
    <row r="8" spans="1:14" ht="18" thickBot="1" x14ac:dyDescent="0.35">
      <c r="A8" s="235">
        <f t="shared" ref="A8:A17" si="0">+AVERAGE(C8,E8,G8,I8,K8)</f>
        <v>0</v>
      </c>
      <c r="B8" s="437"/>
      <c r="C8" s="237">
        <f>+nom!E51</f>
        <v>0</v>
      </c>
      <c r="D8" s="237"/>
      <c r="E8" s="237">
        <f>+nom!G51</f>
        <v>0</v>
      </c>
      <c r="F8" s="237"/>
      <c r="G8" s="237">
        <f>+nom!I51</f>
        <v>0</v>
      </c>
      <c r="H8" s="237"/>
      <c r="I8" s="237">
        <f>+nom!K51</f>
        <v>0</v>
      </c>
      <c r="J8" s="237"/>
      <c r="K8" s="237">
        <f>+nom!M51</f>
        <v>0</v>
      </c>
      <c r="L8" s="237"/>
      <c r="M8" s="239">
        <f>+nom!O51</f>
        <v>0</v>
      </c>
      <c r="N8" s="436" t="s">
        <v>34</v>
      </c>
    </row>
    <row r="9" spans="1:14" ht="18" thickBot="1" x14ac:dyDescent="0.35">
      <c r="A9" s="235">
        <f>+AVERAGE(C9,E9,G9,I9,K9)</f>
        <v>14.8</v>
      </c>
      <c r="B9" s="649"/>
      <c r="C9" s="237">
        <f>+nom!K98</f>
        <v>15</v>
      </c>
      <c r="D9" s="237"/>
      <c r="E9" s="237">
        <f>+nom!M98</f>
        <v>15</v>
      </c>
      <c r="F9" s="237"/>
      <c r="G9" s="237">
        <f>+nom!O98</f>
        <v>15</v>
      </c>
      <c r="H9" s="237"/>
      <c r="I9" s="237">
        <f>+nom!Q98</f>
        <v>14</v>
      </c>
      <c r="J9" s="237"/>
      <c r="K9" s="237">
        <f>+nom!S98</f>
        <v>15</v>
      </c>
      <c r="L9" s="237"/>
      <c r="M9" s="239">
        <f>+nom!U98</f>
        <v>0</v>
      </c>
      <c r="N9" s="436" t="s">
        <v>42</v>
      </c>
    </row>
    <row r="10" spans="1:14" ht="18" thickBot="1" x14ac:dyDescent="0.35">
      <c r="A10" s="235">
        <f>+AVERAGE(C10,E10,G10,I10,K10,M10)</f>
        <v>6</v>
      </c>
      <c r="B10" s="649"/>
      <c r="C10" s="237">
        <f>+nom!K199</f>
        <v>6</v>
      </c>
      <c r="D10" s="237"/>
      <c r="E10" s="237">
        <f>+nom!M199</f>
        <v>6</v>
      </c>
      <c r="F10" s="237"/>
      <c r="G10" s="237">
        <f>+nom!O199</f>
        <v>6</v>
      </c>
      <c r="H10" s="237"/>
      <c r="I10" s="237">
        <f>+nom!Q199</f>
        <v>6</v>
      </c>
      <c r="J10" s="237"/>
      <c r="K10" s="237">
        <f>+nom!S199</f>
        <v>6</v>
      </c>
      <c r="L10" s="237"/>
      <c r="M10" s="239">
        <f>+nom!U199</f>
        <v>6</v>
      </c>
      <c r="N10" s="436" t="s">
        <v>44</v>
      </c>
    </row>
    <row r="11" spans="1:14" ht="18" thickBot="1" x14ac:dyDescent="0.35">
      <c r="A11" s="235">
        <f>+AVERAGE(C11,E11,G11,I11,K11,M11)</f>
        <v>7.666666666666667</v>
      </c>
      <c r="B11" s="649"/>
      <c r="C11" s="237">
        <f>+nom!K232</f>
        <v>7</v>
      </c>
      <c r="D11" s="237"/>
      <c r="E11" s="237">
        <f>+nom!M232</f>
        <v>7</v>
      </c>
      <c r="F11" s="237"/>
      <c r="G11" s="237">
        <f>+nom!O232</f>
        <v>8</v>
      </c>
      <c r="H11" s="237"/>
      <c r="I11" s="237">
        <f>+nom!Q232</f>
        <v>8</v>
      </c>
      <c r="J11" s="237"/>
      <c r="K11" s="237">
        <f>+nom!S232</f>
        <v>8</v>
      </c>
      <c r="L11" s="237"/>
      <c r="M11" s="239">
        <f>+nom!U232</f>
        <v>8</v>
      </c>
      <c r="N11" s="436" t="s">
        <v>217</v>
      </c>
    </row>
    <row r="12" spans="1:14" ht="18" thickBot="1" x14ac:dyDescent="0.35">
      <c r="A12" s="235">
        <f t="shared" si="0"/>
        <v>4.5999999999999996</v>
      </c>
      <c r="B12" s="649"/>
      <c r="C12" s="237">
        <f>+nom!K259</f>
        <v>4</v>
      </c>
      <c r="D12" s="237"/>
      <c r="E12" s="237">
        <f>+nom!M259</f>
        <v>4</v>
      </c>
      <c r="F12" s="237"/>
      <c r="G12" s="237">
        <f>+nom!O259</f>
        <v>5</v>
      </c>
      <c r="H12" s="237"/>
      <c r="I12" s="237">
        <f>+nom!Q259</f>
        <v>5</v>
      </c>
      <c r="J12" s="237"/>
      <c r="K12" s="237">
        <f>+nom!S259</f>
        <v>5</v>
      </c>
      <c r="L12" s="237"/>
      <c r="M12" s="239">
        <f>+nom!U259</f>
        <v>0</v>
      </c>
      <c r="N12" s="436" t="s">
        <v>218</v>
      </c>
    </row>
    <row r="13" spans="1:14" ht="18" thickBot="1" x14ac:dyDescent="0.35">
      <c r="A13" s="235">
        <f t="shared" si="0"/>
        <v>6.8</v>
      </c>
      <c r="B13" s="649"/>
      <c r="C13" s="237">
        <f>+nom!K129</f>
        <v>7</v>
      </c>
      <c r="D13" s="237"/>
      <c r="E13" s="237">
        <f>+nom!M129</f>
        <v>6</v>
      </c>
      <c r="F13" s="237"/>
      <c r="G13" s="237">
        <f>+nom!O129</f>
        <v>7</v>
      </c>
      <c r="H13" s="237"/>
      <c r="I13" s="237">
        <f>+nom!Q129</f>
        <v>7</v>
      </c>
      <c r="J13" s="237"/>
      <c r="K13" s="237">
        <f>+nom!S129</f>
        <v>7</v>
      </c>
      <c r="L13" s="237"/>
      <c r="M13" s="239">
        <f>+nom!U129</f>
        <v>0</v>
      </c>
      <c r="N13" s="436" t="s">
        <v>47</v>
      </c>
    </row>
    <row r="14" spans="1:14" ht="18" thickBot="1" x14ac:dyDescent="0.35">
      <c r="A14" s="235">
        <f t="shared" si="0"/>
        <v>0</v>
      </c>
      <c r="B14" s="649"/>
      <c r="C14" s="237">
        <f>+nom!K150</f>
        <v>0</v>
      </c>
      <c r="D14" s="237"/>
      <c r="E14" s="237">
        <f>+nom!M150</f>
        <v>0</v>
      </c>
      <c r="F14" s="237"/>
      <c r="G14" s="237">
        <f>+nom!O150</f>
        <v>0</v>
      </c>
      <c r="H14" s="237"/>
      <c r="I14" s="237">
        <f>+nom!Q150</f>
        <v>0</v>
      </c>
      <c r="J14" s="237"/>
      <c r="K14" s="237">
        <f>+nom!S150</f>
        <v>0</v>
      </c>
      <c r="L14" s="237"/>
      <c r="M14" s="239">
        <f>+nom!U150</f>
        <v>0</v>
      </c>
      <c r="N14" s="436" t="s">
        <v>51</v>
      </c>
    </row>
    <row r="15" spans="1:14" ht="18" thickBot="1" x14ac:dyDescent="0.35">
      <c r="A15" s="235">
        <f t="shared" si="0"/>
        <v>4.8</v>
      </c>
      <c r="B15" s="649"/>
      <c r="C15" s="237">
        <f>+nom!K174</f>
        <v>5</v>
      </c>
      <c r="D15" s="237"/>
      <c r="E15" s="237">
        <f>+nom!M174</f>
        <v>5</v>
      </c>
      <c r="F15" s="237"/>
      <c r="G15" s="237">
        <f>+nom!O174</f>
        <v>5</v>
      </c>
      <c r="H15" s="237"/>
      <c r="I15" s="237">
        <f>+nom!Q174</f>
        <v>5</v>
      </c>
      <c r="J15" s="237"/>
      <c r="K15" s="237">
        <f>+nom!S174</f>
        <v>4</v>
      </c>
      <c r="L15" s="237"/>
      <c r="M15" s="239">
        <f>+nom!U174</f>
        <v>0</v>
      </c>
      <c r="N15" s="436" t="s">
        <v>56</v>
      </c>
    </row>
    <row r="16" spans="1:14" ht="18" thickBot="1" x14ac:dyDescent="0.35">
      <c r="A16" s="235">
        <f t="shared" si="0"/>
        <v>11.4</v>
      </c>
      <c r="B16" s="649"/>
      <c r="C16" s="237">
        <f>+nom!L298</f>
        <v>12</v>
      </c>
      <c r="D16" s="237"/>
      <c r="E16" s="237">
        <f>+nom!N298</f>
        <v>12</v>
      </c>
      <c r="F16" s="237"/>
      <c r="G16" s="237">
        <f>+nom!P298</f>
        <v>12</v>
      </c>
      <c r="H16" s="237"/>
      <c r="I16" s="237">
        <f>+nom!R298</f>
        <v>11</v>
      </c>
      <c r="J16" s="237"/>
      <c r="K16" s="237">
        <f>+nom!T298</f>
        <v>10</v>
      </c>
      <c r="L16" s="237"/>
      <c r="M16" s="239">
        <v>0</v>
      </c>
      <c r="N16" s="436" t="s">
        <v>60</v>
      </c>
    </row>
    <row r="17" spans="1:14" ht="18" thickBot="1" x14ac:dyDescent="0.35">
      <c r="A17" s="235">
        <f t="shared" si="0"/>
        <v>1</v>
      </c>
      <c r="B17" s="649"/>
      <c r="C17" s="237">
        <f>+nom!E309</f>
        <v>1</v>
      </c>
      <c r="D17" s="237"/>
      <c r="E17" s="237">
        <f>+nom!G309</f>
        <v>1</v>
      </c>
      <c r="F17" s="237"/>
      <c r="G17" s="237">
        <f>+nom!I309</f>
        <v>1</v>
      </c>
      <c r="H17" s="237"/>
      <c r="I17" s="237">
        <f>+nom!K309</f>
        <v>1</v>
      </c>
      <c r="J17" s="237"/>
      <c r="K17" s="237">
        <f>+nom!M309</f>
        <v>1</v>
      </c>
      <c r="L17" s="237"/>
      <c r="M17" s="239">
        <f>+nom!O309</f>
        <v>1</v>
      </c>
      <c r="N17" s="436" t="s">
        <v>70</v>
      </c>
    </row>
    <row r="18" spans="1:14" ht="15" customHeight="1" thickBot="1" x14ac:dyDescent="0.35">
      <c r="A18" s="235"/>
      <c r="B18" s="649"/>
      <c r="C18" s="237"/>
      <c r="D18" s="238"/>
      <c r="E18" s="237"/>
      <c r="F18" s="238"/>
      <c r="G18" s="237"/>
      <c r="H18" s="238"/>
      <c r="I18" s="237"/>
      <c r="J18" s="238"/>
      <c r="K18" s="237"/>
      <c r="L18" s="238"/>
      <c r="M18" s="239"/>
      <c r="N18" s="436"/>
    </row>
    <row r="19" spans="1:14" ht="16.2" thickBot="1" x14ac:dyDescent="0.35">
      <c r="A19" s="440">
        <f>+AVERAGE(C19,E19,G19,I19,K19)</f>
        <v>77.2</v>
      </c>
      <c r="B19" s="438"/>
      <c r="C19" s="439">
        <f>SUM(C7:C18)</f>
        <v>77</v>
      </c>
      <c r="D19" s="439"/>
      <c r="E19" s="439">
        <f>SUM(E7:E18)</f>
        <v>77</v>
      </c>
      <c r="F19" s="439"/>
      <c r="G19" s="439">
        <f>SUM(G7:G18)</f>
        <v>79</v>
      </c>
      <c r="H19" s="439"/>
      <c r="I19" s="439">
        <f>SUM(I7:I18)</f>
        <v>77</v>
      </c>
      <c r="J19" s="439"/>
      <c r="K19" s="439">
        <f>SUM(K7:K18)</f>
        <v>76</v>
      </c>
      <c r="L19" s="439"/>
      <c r="M19" s="441">
        <f>SUM(M7:M18)</f>
        <v>15</v>
      </c>
      <c r="N19" s="442" t="s">
        <v>207</v>
      </c>
    </row>
  </sheetData>
  <mergeCells count="2">
    <mergeCell ref="A6:M6"/>
    <mergeCell ref="A5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"/>
  <sheetViews>
    <sheetView topLeftCell="A25" workbookViewId="0">
      <selection activeCell="I28" sqref="I28:J28"/>
    </sheetView>
  </sheetViews>
  <sheetFormatPr baseColWidth="10" defaultRowHeight="14.4" x14ac:dyDescent="0.3"/>
  <cols>
    <col min="1" max="1" width="4.88671875" style="755" customWidth="1"/>
    <col min="2" max="2" width="18.44140625" style="755" customWidth="1"/>
    <col min="3" max="3" width="8.5546875" style="755" customWidth="1"/>
    <col min="4" max="4" width="7.109375" style="755" customWidth="1"/>
    <col min="5" max="5" width="10" style="755" customWidth="1"/>
    <col min="6" max="6" width="9.44140625" style="755" customWidth="1"/>
    <col min="7" max="7" width="9.5546875" style="755" customWidth="1"/>
    <col min="8" max="8" width="9.33203125" style="755" customWidth="1"/>
    <col min="9" max="9" width="9.109375" style="755" customWidth="1"/>
    <col min="10" max="10" width="9.88671875" style="755" customWidth="1"/>
    <col min="11" max="11" width="9.5546875" style="755" customWidth="1"/>
    <col min="12" max="12" width="9.109375" style="755" customWidth="1"/>
    <col min="13" max="13" width="9.33203125" style="755" customWidth="1"/>
    <col min="14" max="14" width="9.109375" style="755" customWidth="1"/>
    <col min="15" max="15" width="11.6640625" style="755" customWidth="1"/>
    <col min="16" max="16" width="10.44140625" style="755" customWidth="1"/>
    <col min="17" max="17" width="11.6640625" style="755" customWidth="1"/>
    <col min="18" max="18" width="10.44140625" style="755" customWidth="1"/>
  </cols>
  <sheetData>
    <row r="1" spans="1:18" x14ac:dyDescent="0.3">
      <c r="A1" s="941" t="s">
        <v>318</v>
      </c>
      <c r="B1" s="942"/>
      <c r="C1" s="942"/>
      <c r="D1" s="942"/>
      <c r="E1" s="942"/>
      <c r="F1" s="942"/>
      <c r="G1" s="942"/>
      <c r="H1" s="942"/>
      <c r="I1" s="942"/>
      <c r="J1" s="942"/>
      <c r="K1" s="942"/>
      <c r="L1" s="942"/>
      <c r="M1" s="942"/>
      <c r="N1" s="942"/>
      <c r="O1" s="942"/>
      <c r="P1" s="942"/>
      <c r="Q1" s="942"/>
      <c r="R1" s="942"/>
    </row>
    <row r="2" spans="1:18" x14ac:dyDescent="0.3">
      <c r="A2" s="739" t="s">
        <v>608</v>
      </c>
      <c r="B2" s="740" t="s">
        <v>319</v>
      </c>
      <c r="C2" s="740" t="s">
        <v>320</v>
      </c>
      <c r="D2" s="740" t="s">
        <v>321</v>
      </c>
      <c r="E2" s="740" t="s">
        <v>322</v>
      </c>
      <c r="F2" s="741" t="s">
        <v>323</v>
      </c>
      <c r="G2" s="739" t="s">
        <v>324</v>
      </c>
      <c r="H2" s="741" t="s">
        <v>325</v>
      </c>
      <c r="I2" s="739" t="s">
        <v>326</v>
      </c>
      <c r="J2" s="741" t="s">
        <v>327</v>
      </c>
      <c r="K2" s="739" t="s">
        <v>328</v>
      </c>
      <c r="L2" s="741" t="s">
        <v>329</v>
      </c>
      <c r="M2" s="739" t="s">
        <v>330</v>
      </c>
      <c r="N2" s="741" t="s">
        <v>331</v>
      </c>
      <c r="O2" s="739" t="s">
        <v>332</v>
      </c>
      <c r="P2" s="741" t="s">
        <v>333</v>
      </c>
      <c r="Q2" s="739" t="s">
        <v>334</v>
      </c>
      <c r="R2" s="741" t="s">
        <v>335</v>
      </c>
    </row>
    <row r="3" spans="1:18" x14ac:dyDescent="0.3">
      <c r="A3" s="744">
        <v>107</v>
      </c>
      <c r="B3" s="755" t="s">
        <v>336</v>
      </c>
      <c r="C3" s="755" t="s">
        <v>488</v>
      </c>
      <c r="D3" s="755" t="s">
        <v>489</v>
      </c>
      <c r="E3" s="726" t="s">
        <v>344</v>
      </c>
      <c r="F3" s="745">
        <v>0.98003472222222221</v>
      </c>
      <c r="G3" s="751" t="s">
        <v>337</v>
      </c>
      <c r="H3" s="745">
        <v>0.98616898148148147</v>
      </c>
      <c r="I3" s="751" t="s">
        <v>490</v>
      </c>
      <c r="J3" s="745">
        <v>0.9795949074074074</v>
      </c>
      <c r="K3" s="751" t="s">
        <v>388</v>
      </c>
      <c r="L3" s="743" t="s">
        <v>518</v>
      </c>
      <c r="M3" s="751" t="s">
        <v>460</v>
      </c>
      <c r="N3" s="745">
        <v>0.98320601851851863</v>
      </c>
      <c r="O3" s="751" t="s">
        <v>382</v>
      </c>
      <c r="P3" s="743" t="s">
        <v>519</v>
      </c>
      <c r="Q3" s="751"/>
      <c r="R3" s="772"/>
    </row>
    <row r="4" spans="1:18" x14ac:dyDescent="0.3">
      <c r="A4" s="744">
        <v>111</v>
      </c>
      <c r="B4" s="755" t="s">
        <v>338</v>
      </c>
      <c r="C4" s="755" t="s">
        <v>488</v>
      </c>
      <c r="D4" s="755" t="s">
        <v>489</v>
      </c>
      <c r="E4" s="726" t="s">
        <v>384</v>
      </c>
      <c r="F4" s="743" t="s">
        <v>344</v>
      </c>
      <c r="G4" s="751" t="s">
        <v>373</v>
      </c>
      <c r="H4" s="743" t="s">
        <v>344</v>
      </c>
      <c r="I4" s="751" t="s">
        <v>373</v>
      </c>
      <c r="J4" s="743" t="s">
        <v>520</v>
      </c>
      <c r="K4" s="751" t="s">
        <v>339</v>
      </c>
      <c r="L4" s="743" t="s">
        <v>459</v>
      </c>
      <c r="M4" s="751" t="s">
        <v>339</v>
      </c>
      <c r="N4" s="743" t="s">
        <v>340</v>
      </c>
      <c r="O4" s="751" t="s">
        <v>379</v>
      </c>
      <c r="P4" s="743"/>
      <c r="Q4" s="751"/>
      <c r="R4" s="772"/>
    </row>
    <row r="5" spans="1:18" x14ac:dyDescent="0.3">
      <c r="A5" s="744">
        <v>116</v>
      </c>
      <c r="B5" s="755" t="s">
        <v>345</v>
      </c>
      <c r="C5" s="755" t="s">
        <v>488</v>
      </c>
      <c r="D5" s="755" t="s">
        <v>489</v>
      </c>
      <c r="E5" s="726" t="s">
        <v>373</v>
      </c>
      <c r="F5" s="743" t="s">
        <v>356</v>
      </c>
      <c r="G5" s="751" t="s">
        <v>377</v>
      </c>
      <c r="H5" s="743" t="s">
        <v>356</v>
      </c>
      <c r="I5" s="751" t="s">
        <v>417</v>
      </c>
      <c r="J5" s="743" t="s">
        <v>374</v>
      </c>
      <c r="K5" s="751" t="s">
        <v>417</v>
      </c>
      <c r="L5" s="743" t="s">
        <v>480</v>
      </c>
      <c r="M5" s="751" t="s">
        <v>349</v>
      </c>
      <c r="N5" s="743" t="s">
        <v>376</v>
      </c>
      <c r="O5" s="751"/>
      <c r="P5" s="743"/>
      <c r="Q5" s="751"/>
      <c r="R5" s="772"/>
    </row>
    <row r="6" spans="1:18" x14ac:dyDescent="0.3">
      <c r="A6" s="744">
        <v>12</v>
      </c>
      <c r="B6" s="755" t="s">
        <v>347</v>
      </c>
      <c r="C6" s="755" t="s">
        <v>488</v>
      </c>
      <c r="D6" s="755" t="s">
        <v>489</v>
      </c>
      <c r="E6" s="726" t="s">
        <v>401</v>
      </c>
      <c r="F6" s="745">
        <v>0.7095717592592593</v>
      </c>
      <c r="G6" s="752">
        <v>0.30185185185185187</v>
      </c>
      <c r="H6" s="745">
        <v>0.70961805555555557</v>
      </c>
      <c r="I6" s="751" t="s">
        <v>425</v>
      </c>
      <c r="J6" s="745">
        <v>0.70797453703703705</v>
      </c>
      <c r="K6" s="751" t="s">
        <v>385</v>
      </c>
      <c r="L6" s="743" t="s">
        <v>521</v>
      </c>
      <c r="M6" s="752">
        <v>0.30197916666666663</v>
      </c>
      <c r="N6" s="743" t="s">
        <v>522</v>
      </c>
      <c r="O6" s="751"/>
      <c r="P6" s="743"/>
      <c r="Q6" s="751"/>
      <c r="R6" s="772"/>
    </row>
    <row r="7" spans="1:18" x14ac:dyDescent="0.3">
      <c r="A7" s="744">
        <v>135</v>
      </c>
      <c r="B7" s="755" t="s">
        <v>348</v>
      </c>
      <c r="C7" s="755" t="s">
        <v>488</v>
      </c>
      <c r="D7" s="755" t="s">
        <v>489</v>
      </c>
      <c r="E7" s="726" t="s">
        <v>523</v>
      </c>
      <c r="F7" s="743" t="s">
        <v>524</v>
      </c>
      <c r="G7" s="752">
        <v>0.98303240740740738</v>
      </c>
      <c r="H7" s="743" t="s">
        <v>525</v>
      </c>
      <c r="I7" s="752">
        <v>0.98252314814814812</v>
      </c>
      <c r="J7" s="745">
        <v>0.3132638888888889</v>
      </c>
      <c r="K7" s="752">
        <v>0.98013888888888889</v>
      </c>
      <c r="L7" s="745">
        <v>0.31391203703703702</v>
      </c>
      <c r="M7" s="751" t="s">
        <v>526</v>
      </c>
      <c r="N7" s="745">
        <v>0.31340277777777775</v>
      </c>
      <c r="O7" s="751"/>
      <c r="P7" s="743"/>
      <c r="Q7" s="751"/>
      <c r="R7" s="772"/>
    </row>
    <row r="8" spans="1:18" x14ac:dyDescent="0.3">
      <c r="A8" s="744">
        <v>14</v>
      </c>
      <c r="B8" s="755" t="s">
        <v>350</v>
      </c>
      <c r="C8" s="755" t="s">
        <v>488</v>
      </c>
      <c r="D8" s="755" t="s">
        <v>489</v>
      </c>
      <c r="E8" s="727">
        <v>0.96398148148148144</v>
      </c>
      <c r="F8" s="743" t="s">
        <v>352</v>
      </c>
      <c r="G8" s="752">
        <v>0.96053240740740742</v>
      </c>
      <c r="H8" s="743" t="s">
        <v>352</v>
      </c>
      <c r="I8" s="752">
        <v>0.96232638888888899</v>
      </c>
      <c r="J8" s="743" t="s">
        <v>475</v>
      </c>
      <c r="K8" s="752">
        <v>0.96474537037037045</v>
      </c>
      <c r="L8" s="743" t="s">
        <v>352</v>
      </c>
      <c r="M8" s="751" t="s">
        <v>527</v>
      </c>
      <c r="N8" s="743" t="s">
        <v>351</v>
      </c>
      <c r="O8" s="751"/>
      <c r="P8" s="743"/>
      <c r="Q8" s="751"/>
      <c r="R8" s="772"/>
    </row>
    <row r="9" spans="1:18" x14ac:dyDescent="0.3">
      <c r="A9" s="744">
        <v>141</v>
      </c>
      <c r="B9" s="755" t="s">
        <v>354</v>
      </c>
      <c r="C9" s="755" t="s">
        <v>488</v>
      </c>
      <c r="D9" s="755" t="s">
        <v>489</v>
      </c>
      <c r="E9" s="726" t="s">
        <v>355</v>
      </c>
      <c r="F9" s="743" t="s">
        <v>376</v>
      </c>
      <c r="G9" s="751" t="s">
        <v>355</v>
      </c>
      <c r="H9" s="743" t="s">
        <v>356</v>
      </c>
      <c r="I9" s="751" t="s">
        <v>355</v>
      </c>
      <c r="J9" s="743" t="s">
        <v>376</v>
      </c>
      <c r="K9" s="751" t="s">
        <v>355</v>
      </c>
      <c r="L9" s="743" t="s">
        <v>374</v>
      </c>
      <c r="M9" s="751" t="s">
        <v>355</v>
      </c>
      <c r="N9" s="743" t="s">
        <v>376</v>
      </c>
      <c r="O9" s="751"/>
      <c r="P9" s="743"/>
      <c r="Q9" s="751"/>
      <c r="R9" s="772"/>
    </row>
    <row r="10" spans="1:18" x14ac:dyDescent="0.3">
      <c r="A10" s="746">
        <v>1446</v>
      </c>
      <c r="B10" s="755" t="s">
        <v>357</v>
      </c>
      <c r="C10" s="755" t="s">
        <v>488</v>
      </c>
      <c r="D10" s="755" t="s">
        <v>489</v>
      </c>
      <c r="E10" s="726"/>
      <c r="F10" s="743"/>
      <c r="G10" s="751"/>
      <c r="H10" s="743"/>
      <c r="I10" s="751"/>
      <c r="J10" s="743"/>
      <c r="K10" s="751"/>
      <c r="L10" s="743"/>
      <c r="M10" s="751"/>
      <c r="N10" s="743"/>
      <c r="O10" s="751"/>
      <c r="P10" s="743"/>
      <c r="Q10" s="751"/>
      <c r="R10" s="772"/>
    </row>
    <row r="11" spans="1:18" x14ac:dyDescent="0.3">
      <c r="A11" s="744">
        <v>146</v>
      </c>
      <c r="B11" s="755" t="s">
        <v>358</v>
      </c>
      <c r="C11" s="755" t="s">
        <v>488</v>
      </c>
      <c r="D11" s="755" t="s">
        <v>489</v>
      </c>
      <c r="E11" s="726" t="s">
        <v>355</v>
      </c>
      <c r="F11" s="745">
        <v>0.70924768518518511</v>
      </c>
      <c r="G11" s="751" t="s">
        <v>363</v>
      </c>
      <c r="H11" s="745">
        <v>0.70983796296296298</v>
      </c>
      <c r="I11" s="751" t="s">
        <v>360</v>
      </c>
      <c r="J11" s="743" t="s">
        <v>528</v>
      </c>
      <c r="K11" s="751" t="s">
        <v>359</v>
      </c>
      <c r="L11" s="745">
        <v>0.70633101851851843</v>
      </c>
      <c r="M11" s="751" t="s">
        <v>380</v>
      </c>
      <c r="N11" s="745">
        <v>0.70596064814814818</v>
      </c>
      <c r="O11" s="751"/>
      <c r="P11" s="743"/>
      <c r="Q11" s="751"/>
      <c r="R11" s="772"/>
    </row>
    <row r="12" spans="1:18" x14ac:dyDescent="0.3">
      <c r="A12" s="742">
        <v>147</v>
      </c>
      <c r="B12" s="755" t="s">
        <v>361</v>
      </c>
      <c r="C12" s="755" t="s">
        <v>488</v>
      </c>
      <c r="D12" s="755" t="s">
        <v>489</v>
      </c>
      <c r="E12" s="943" t="s">
        <v>530</v>
      </c>
      <c r="F12" s="944"/>
      <c r="G12" s="945" t="s">
        <v>530</v>
      </c>
      <c r="H12" s="944"/>
      <c r="I12" s="945" t="s">
        <v>530</v>
      </c>
      <c r="J12" s="944"/>
      <c r="K12" s="945" t="s">
        <v>530</v>
      </c>
      <c r="L12" s="944"/>
      <c r="M12" s="945" t="s">
        <v>530</v>
      </c>
      <c r="N12" s="944"/>
      <c r="O12" s="751"/>
      <c r="P12" s="743"/>
      <c r="Q12" s="751"/>
      <c r="R12" s="772"/>
    </row>
    <row r="13" spans="1:18" x14ac:dyDescent="0.3">
      <c r="A13" s="744">
        <v>158</v>
      </c>
      <c r="B13" s="755" t="s">
        <v>365</v>
      </c>
      <c r="C13" s="755" t="s">
        <v>488</v>
      </c>
      <c r="D13" s="755" t="s">
        <v>489</v>
      </c>
      <c r="E13" s="727">
        <v>0.98157407407407404</v>
      </c>
      <c r="F13" s="743" t="s">
        <v>352</v>
      </c>
      <c r="G13" s="752">
        <v>0.97608796296296296</v>
      </c>
      <c r="H13" s="743"/>
      <c r="I13" s="752">
        <v>0.97109953703703711</v>
      </c>
      <c r="J13" s="743" t="s">
        <v>483</v>
      </c>
      <c r="K13" s="752">
        <v>0.97957175925925932</v>
      </c>
      <c r="L13" s="743" t="s">
        <v>457</v>
      </c>
      <c r="M13" s="752">
        <v>0.9741319444444444</v>
      </c>
      <c r="N13" s="743" t="s">
        <v>353</v>
      </c>
      <c r="O13" s="751"/>
      <c r="P13" s="743"/>
      <c r="Q13" s="751"/>
      <c r="R13" s="772"/>
    </row>
    <row r="14" spans="1:18" x14ac:dyDescent="0.3">
      <c r="A14" s="744">
        <v>159</v>
      </c>
      <c r="B14" s="755" t="s">
        <v>366</v>
      </c>
      <c r="C14" s="755" t="s">
        <v>488</v>
      </c>
      <c r="D14" s="755" t="s">
        <v>489</v>
      </c>
      <c r="E14" s="727">
        <v>0.96412037037037035</v>
      </c>
      <c r="F14" s="743" t="s">
        <v>353</v>
      </c>
      <c r="G14" s="752">
        <v>0.96040509259259255</v>
      </c>
      <c r="H14" s="743" t="s">
        <v>457</v>
      </c>
      <c r="I14" s="752">
        <v>0.96165509259259263</v>
      </c>
      <c r="J14" s="743" t="s">
        <v>491</v>
      </c>
      <c r="K14" s="752">
        <v>0.9636689814814815</v>
      </c>
      <c r="L14" s="743" t="s">
        <v>492</v>
      </c>
      <c r="M14" s="751" t="s">
        <v>529</v>
      </c>
      <c r="N14" s="743" t="s">
        <v>353</v>
      </c>
      <c r="O14" s="751"/>
      <c r="P14" s="743"/>
      <c r="Q14" s="751"/>
      <c r="R14" s="772"/>
    </row>
    <row r="15" spans="1:18" x14ac:dyDescent="0.3">
      <c r="A15" s="746">
        <v>165</v>
      </c>
      <c r="B15" s="755" t="s">
        <v>367</v>
      </c>
      <c r="C15" s="755" t="s">
        <v>488</v>
      </c>
      <c r="D15" s="755" t="s">
        <v>489</v>
      </c>
      <c r="E15" s="726"/>
      <c r="F15" s="743"/>
      <c r="G15" s="751"/>
      <c r="H15" s="743"/>
      <c r="I15" s="751"/>
      <c r="J15" s="743"/>
      <c r="K15" s="751"/>
      <c r="L15" s="743"/>
      <c r="M15" s="751"/>
      <c r="N15" s="743"/>
      <c r="O15" s="751"/>
      <c r="P15" s="743"/>
      <c r="Q15" s="751"/>
      <c r="R15" s="772"/>
    </row>
    <row r="16" spans="1:18" x14ac:dyDescent="0.3">
      <c r="A16" s="744">
        <v>166</v>
      </c>
      <c r="B16" s="755" t="s">
        <v>368</v>
      </c>
      <c r="C16" s="755" t="s">
        <v>488</v>
      </c>
      <c r="D16" s="755" t="s">
        <v>489</v>
      </c>
      <c r="E16" s="726" t="s">
        <v>355</v>
      </c>
      <c r="F16" s="743" t="s">
        <v>531</v>
      </c>
      <c r="G16" s="751" t="s">
        <v>355</v>
      </c>
      <c r="H16" s="745">
        <v>0.71004629629629623</v>
      </c>
      <c r="I16" s="751" t="s">
        <v>355</v>
      </c>
      <c r="J16" s="743" t="s">
        <v>532</v>
      </c>
      <c r="K16" s="751" t="s">
        <v>355</v>
      </c>
      <c r="L16" s="743" t="s">
        <v>533</v>
      </c>
      <c r="M16" s="751" t="s">
        <v>355</v>
      </c>
      <c r="N16" s="745">
        <v>0.70869212962962969</v>
      </c>
      <c r="O16" s="751"/>
      <c r="P16" s="743"/>
      <c r="Q16" s="751"/>
      <c r="R16" s="772"/>
    </row>
    <row r="17" spans="1:18" x14ac:dyDescent="0.3">
      <c r="A17" s="744">
        <v>169</v>
      </c>
      <c r="B17" s="755" t="s">
        <v>369</v>
      </c>
      <c r="C17" s="755" t="s">
        <v>488</v>
      </c>
      <c r="D17" s="755" t="s">
        <v>489</v>
      </c>
      <c r="E17" s="726" t="s">
        <v>339</v>
      </c>
      <c r="F17" s="743" t="s">
        <v>356</v>
      </c>
      <c r="G17" s="751" t="s">
        <v>377</v>
      </c>
      <c r="H17" s="743" t="s">
        <v>356</v>
      </c>
      <c r="I17" s="751" t="s">
        <v>343</v>
      </c>
      <c r="J17" s="743" t="s">
        <v>376</v>
      </c>
      <c r="K17" s="751" t="s">
        <v>384</v>
      </c>
      <c r="L17" s="745">
        <v>0.70795138888888898</v>
      </c>
      <c r="M17" s="751" t="s">
        <v>385</v>
      </c>
      <c r="N17" s="743" t="s">
        <v>376</v>
      </c>
      <c r="O17" s="751"/>
      <c r="P17" s="743"/>
      <c r="Q17" s="751"/>
      <c r="R17" s="772"/>
    </row>
    <row r="18" spans="1:18" x14ac:dyDescent="0.3">
      <c r="A18" s="744">
        <v>172</v>
      </c>
      <c r="B18" s="755" t="s">
        <v>370</v>
      </c>
      <c r="C18" s="755" t="s">
        <v>488</v>
      </c>
      <c r="D18" s="755" t="s">
        <v>489</v>
      </c>
      <c r="E18" s="727">
        <v>0.2852662037037037</v>
      </c>
      <c r="F18" s="745">
        <v>0.68082175925925925</v>
      </c>
      <c r="G18" s="751" t="s">
        <v>534</v>
      </c>
      <c r="H18" s="743" t="s">
        <v>535</v>
      </c>
      <c r="I18" s="751" t="s">
        <v>536</v>
      </c>
      <c r="J18" s="745">
        <v>0.68109953703703707</v>
      </c>
      <c r="K18" s="937" t="s">
        <v>537</v>
      </c>
      <c r="L18" s="938"/>
      <c r="M18" s="937" t="s">
        <v>537</v>
      </c>
      <c r="N18" s="938"/>
      <c r="O18" s="751"/>
      <c r="P18" s="743"/>
      <c r="Q18" s="751"/>
      <c r="R18" s="772"/>
    </row>
    <row r="19" spans="1:18" x14ac:dyDescent="0.3">
      <c r="A19" s="744">
        <v>181</v>
      </c>
      <c r="B19" s="755" t="s">
        <v>371</v>
      </c>
      <c r="C19" s="755" t="s">
        <v>488</v>
      </c>
      <c r="D19" s="755" t="s">
        <v>489</v>
      </c>
      <c r="E19" s="726" t="s">
        <v>538</v>
      </c>
      <c r="F19" s="743" t="s">
        <v>353</v>
      </c>
      <c r="G19" s="751" t="s">
        <v>539</v>
      </c>
      <c r="H19" s="743" t="s">
        <v>476</v>
      </c>
      <c r="I19" s="752">
        <v>0.97550925925925924</v>
      </c>
      <c r="J19" s="743" t="s">
        <v>351</v>
      </c>
      <c r="K19" s="752">
        <v>0.97516203703703708</v>
      </c>
      <c r="L19" s="743" t="s">
        <v>493</v>
      </c>
      <c r="M19" s="752">
        <v>0.97255787037037045</v>
      </c>
      <c r="N19" s="743" t="s">
        <v>353</v>
      </c>
      <c r="O19" s="751"/>
      <c r="P19" s="743"/>
      <c r="Q19" s="751"/>
      <c r="R19" s="772"/>
    </row>
    <row r="20" spans="1:18" x14ac:dyDescent="0.3">
      <c r="A20" s="744">
        <v>19</v>
      </c>
      <c r="B20" s="755" t="s">
        <v>372</v>
      </c>
      <c r="C20" s="755" t="s">
        <v>488</v>
      </c>
      <c r="D20" s="755" t="s">
        <v>489</v>
      </c>
      <c r="E20" s="726" t="s">
        <v>339</v>
      </c>
      <c r="F20" s="743" t="s">
        <v>374</v>
      </c>
      <c r="G20" s="751" t="s">
        <v>417</v>
      </c>
      <c r="H20" s="743" t="s">
        <v>479</v>
      </c>
      <c r="I20" s="751" t="s">
        <v>349</v>
      </c>
      <c r="J20" s="743" t="s">
        <v>374</v>
      </c>
      <c r="K20" s="751" t="s">
        <v>408</v>
      </c>
      <c r="L20" s="743" t="s">
        <v>479</v>
      </c>
      <c r="M20" s="769"/>
      <c r="N20" s="770"/>
      <c r="O20" s="751"/>
      <c r="P20" s="743"/>
      <c r="Q20" s="751"/>
      <c r="R20" s="772"/>
    </row>
    <row r="21" spans="1:18" x14ac:dyDescent="0.3">
      <c r="A21" s="748">
        <v>195</v>
      </c>
      <c r="B21" s="755" t="s">
        <v>494</v>
      </c>
      <c r="C21" s="755" t="s">
        <v>488</v>
      </c>
      <c r="D21" s="755" t="s">
        <v>489</v>
      </c>
      <c r="E21" s="727">
        <v>0.31259259259259259</v>
      </c>
      <c r="F21" s="745">
        <v>0.70931712962962967</v>
      </c>
      <c r="G21" s="933" t="s">
        <v>543</v>
      </c>
      <c r="H21" s="934"/>
      <c r="I21" s="752">
        <v>0.31758101851851855</v>
      </c>
      <c r="J21" s="745">
        <v>0.70891203703703709</v>
      </c>
      <c r="K21" s="752">
        <v>0.31949074074074074</v>
      </c>
      <c r="L21" s="745">
        <v>0.7098726851851852</v>
      </c>
      <c r="M21" s="752">
        <v>0.31890046296296298</v>
      </c>
      <c r="N21" s="745">
        <v>0.71012731481481473</v>
      </c>
      <c r="O21" s="751"/>
      <c r="P21" s="743"/>
      <c r="Q21" s="751"/>
      <c r="R21" s="772"/>
    </row>
    <row r="22" spans="1:18" x14ac:dyDescent="0.3">
      <c r="A22" s="744">
        <v>2</v>
      </c>
      <c r="B22" s="755" t="s">
        <v>378</v>
      </c>
      <c r="C22" s="755" t="s">
        <v>488</v>
      </c>
      <c r="D22" s="755" t="s">
        <v>489</v>
      </c>
      <c r="E22" s="726" t="s">
        <v>417</v>
      </c>
      <c r="F22" s="743"/>
      <c r="G22" s="751" t="s">
        <v>343</v>
      </c>
      <c r="H22" s="745">
        <v>0.71023148148148152</v>
      </c>
      <c r="I22" s="751" t="s">
        <v>379</v>
      </c>
      <c r="J22" s="743" t="s">
        <v>540</v>
      </c>
      <c r="K22" s="751" t="s">
        <v>384</v>
      </c>
      <c r="L22" s="743" t="s">
        <v>541</v>
      </c>
      <c r="M22" s="751" t="s">
        <v>339</v>
      </c>
      <c r="N22" s="745">
        <v>0.7101736111111111</v>
      </c>
      <c r="O22" s="751"/>
      <c r="P22" s="743"/>
      <c r="Q22" s="751"/>
      <c r="R22" s="772"/>
    </row>
    <row r="23" spans="1:18" x14ac:dyDescent="0.3">
      <c r="A23" s="748">
        <v>205</v>
      </c>
      <c r="B23" s="755" t="s">
        <v>381</v>
      </c>
      <c r="C23" s="755" t="s">
        <v>488</v>
      </c>
      <c r="D23" s="755" t="s">
        <v>489</v>
      </c>
      <c r="E23" s="936" t="s">
        <v>543</v>
      </c>
      <c r="F23" s="934"/>
      <c r="G23" s="752">
        <v>0.31716435185185182</v>
      </c>
      <c r="H23" s="745">
        <v>0.71064814814814825</v>
      </c>
      <c r="I23" s="751" t="s">
        <v>542</v>
      </c>
      <c r="J23" s="745">
        <v>0.70940972222222232</v>
      </c>
      <c r="K23" s="751"/>
      <c r="L23" s="745">
        <v>0.70773148148148157</v>
      </c>
      <c r="M23" s="751" t="s">
        <v>544</v>
      </c>
      <c r="N23" s="745" t="s">
        <v>545</v>
      </c>
      <c r="O23" s="751"/>
      <c r="P23" s="743"/>
      <c r="Q23" s="751"/>
      <c r="R23" s="772"/>
    </row>
    <row r="24" spans="1:18" x14ac:dyDescent="0.3">
      <c r="A24" s="744">
        <v>207</v>
      </c>
      <c r="B24" s="755" t="s">
        <v>383</v>
      </c>
      <c r="C24" s="755" t="s">
        <v>488</v>
      </c>
      <c r="D24" s="755" t="s">
        <v>489</v>
      </c>
      <c r="E24" s="727">
        <v>0.64784722222222224</v>
      </c>
      <c r="F24" s="743" t="s">
        <v>546</v>
      </c>
      <c r="G24" s="752">
        <v>0.64528935185185188</v>
      </c>
      <c r="H24" s="743" t="s">
        <v>547</v>
      </c>
      <c r="I24" s="751" t="s">
        <v>548</v>
      </c>
      <c r="J24" s="743" t="s">
        <v>549</v>
      </c>
      <c r="K24" s="752">
        <v>0.64511574074074074</v>
      </c>
      <c r="L24" s="745">
        <v>0.98184027777777771</v>
      </c>
      <c r="M24" s="752">
        <v>0.64704861111111112</v>
      </c>
      <c r="N24" s="745">
        <v>0.97966435185185186</v>
      </c>
      <c r="O24" s="751" t="s">
        <v>550</v>
      </c>
      <c r="P24" s="745">
        <v>0.85719907407407403</v>
      </c>
      <c r="Q24" s="751"/>
      <c r="R24" s="772"/>
    </row>
    <row r="25" spans="1:18" x14ac:dyDescent="0.3">
      <c r="A25" s="748">
        <v>210</v>
      </c>
      <c r="B25" s="755" t="s">
        <v>386</v>
      </c>
      <c r="C25" s="755" t="s">
        <v>488</v>
      </c>
      <c r="D25" s="755" t="s">
        <v>489</v>
      </c>
      <c r="E25" s="727">
        <v>0.98703703703703705</v>
      </c>
      <c r="F25" s="745">
        <v>0.31706018518518519</v>
      </c>
      <c r="G25" s="751" t="s">
        <v>551</v>
      </c>
      <c r="H25" s="745">
        <v>0.32371527777777781</v>
      </c>
      <c r="I25" s="751" t="s">
        <v>552</v>
      </c>
      <c r="J25" s="743" t="s">
        <v>553</v>
      </c>
      <c r="K25" s="752">
        <v>0.98784722222222221</v>
      </c>
      <c r="L25" s="745">
        <v>0.31966435185185188</v>
      </c>
      <c r="M25" s="752">
        <v>0.98813657407407407</v>
      </c>
      <c r="N25" s="745">
        <v>0.31287037037037035</v>
      </c>
      <c r="O25" s="751"/>
      <c r="P25" s="743"/>
      <c r="Q25" s="751"/>
      <c r="R25" s="772"/>
    </row>
    <row r="26" spans="1:18" x14ac:dyDescent="0.3">
      <c r="A26" s="744">
        <v>212</v>
      </c>
      <c r="B26" s="755" t="s">
        <v>387</v>
      </c>
      <c r="C26" s="755" t="s">
        <v>488</v>
      </c>
      <c r="D26" s="755" t="s">
        <v>489</v>
      </c>
      <c r="E26" s="727">
        <v>0.31071759259259263</v>
      </c>
      <c r="F26" s="743" t="s">
        <v>554</v>
      </c>
      <c r="G26" s="752">
        <v>0.31406249999999997</v>
      </c>
      <c r="H26" s="743" t="s">
        <v>555</v>
      </c>
      <c r="I26" s="752">
        <v>0.31163194444444448</v>
      </c>
      <c r="J26" s="745">
        <v>0.70916666666666661</v>
      </c>
      <c r="K26" s="752">
        <v>0.31234953703703705</v>
      </c>
      <c r="L26" s="745">
        <v>0.70777777777777784</v>
      </c>
      <c r="M26" s="751" t="s">
        <v>556</v>
      </c>
      <c r="N26" s="745">
        <v>0.70887731481481486</v>
      </c>
      <c r="O26" s="751"/>
      <c r="P26" s="743"/>
      <c r="Q26" s="751"/>
      <c r="R26" s="772"/>
    </row>
    <row r="27" spans="1:18" x14ac:dyDescent="0.3">
      <c r="A27" s="744">
        <v>214</v>
      </c>
      <c r="B27" s="755" t="s">
        <v>389</v>
      </c>
      <c r="C27" s="755" t="s">
        <v>488</v>
      </c>
      <c r="D27" s="755" t="s">
        <v>489</v>
      </c>
      <c r="E27" s="727">
        <v>0.97842592592592592</v>
      </c>
      <c r="F27" s="743" t="s">
        <v>351</v>
      </c>
      <c r="G27" s="752">
        <v>0.97474537037037035</v>
      </c>
      <c r="H27" s="743" t="s">
        <v>352</v>
      </c>
      <c r="I27" s="751" t="s">
        <v>557</v>
      </c>
      <c r="J27" s="743" t="s">
        <v>351</v>
      </c>
      <c r="K27" s="752">
        <v>0.9759606481481482</v>
      </c>
      <c r="L27" s="743" t="s">
        <v>351</v>
      </c>
      <c r="M27" s="752">
        <v>0.97392361111111114</v>
      </c>
      <c r="N27" s="743" t="s">
        <v>353</v>
      </c>
      <c r="O27" s="751"/>
      <c r="P27" s="743"/>
      <c r="Q27" s="751"/>
      <c r="R27" s="772"/>
    </row>
    <row r="28" spans="1:18" x14ac:dyDescent="0.3">
      <c r="A28" s="748">
        <v>215</v>
      </c>
      <c r="B28" s="755" t="s">
        <v>390</v>
      </c>
      <c r="C28" s="755" t="s">
        <v>488</v>
      </c>
      <c r="D28" s="755" t="s">
        <v>489</v>
      </c>
      <c r="E28" s="726"/>
      <c r="F28" s="743"/>
      <c r="G28" s="751" t="s">
        <v>558</v>
      </c>
      <c r="H28" s="743" t="s">
        <v>351</v>
      </c>
      <c r="I28" s="751"/>
      <c r="J28" s="743"/>
      <c r="K28" s="751"/>
      <c r="L28" s="743"/>
      <c r="M28" s="752">
        <v>0.97910879629629621</v>
      </c>
      <c r="N28" s="743" t="s">
        <v>353</v>
      </c>
      <c r="O28" s="751"/>
      <c r="P28" s="743"/>
      <c r="Q28" s="751"/>
      <c r="R28" s="772"/>
    </row>
    <row r="29" spans="1:18" x14ac:dyDescent="0.3">
      <c r="A29" s="748">
        <v>216</v>
      </c>
      <c r="B29" s="755" t="s">
        <v>391</v>
      </c>
      <c r="C29" s="755" t="s">
        <v>488</v>
      </c>
      <c r="D29" s="755" t="s">
        <v>489</v>
      </c>
      <c r="E29" s="726" t="s">
        <v>495</v>
      </c>
      <c r="F29" s="743" t="s">
        <v>559</v>
      </c>
      <c r="G29" s="751" t="s">
        <v>364</v>
      </c>
      <c r="H29" s="743" t="s">
        <v>560</v>
      </c>
      <c r="I29" s="751" t="s">
        <v>477</v>
      </c>
      <c r="J29" s="745">
        <v>0.70979166666666671</v>
      </c>
      <c r="K29" s="751" t="s">
        <v>408</v>
      </c>
      <c r="L29" s="743" t="s">
        <v>561</v>
      </c>
      <c r="M29" s="933" t="s">
        <v>543</v>
      </c>
      <c r="N29" s="934"/>
      <c r="O29" s="751"/>
      <c r="P29" s="743"/>
      <c r="Q29" s="751"/>
      <c r="R29" s="772"/>
    </row>
    <row r="30" spans="1:18" x14ac:dyDescent="0.3">
      <c r="A30" s="748">
        <v>217</v>
      </c>
      <c r="B30" s="755" t="s">
        <v>393</v>
      </c>
      <c r="C30" s="755" t="s">
        <v>488</v>
      </c>
      <c r="D30" s="755" t="s">
        <v>489</v>
      </c>
      <c r="E30" s="726" t="s">
        <v>562</v>
      </c>
      <c r="F30" s="745">
        <v>0.70868055555555554</v>
      </c>
      <c r="G30" s="752">
        <v>0.29376157407407405</v>
      </c>
      <c r="H30" s="745">
        <v>0.6275115740740741</v>
      </c>
      <c r="I30" s="939" t="s">
        <v>563</v>
      </c>
      <c r="J30" s="940"/>
      <c r="K30" s="939" t="s">
        <v>563</v>
      </c>
      <c r="L30" s="940"/>
      <c r="M30" s="939" t="s">
        <v>563</v>
      </c>
      <c r="N30" s="940"/>
      <c r="O30" s="751"/>
      <c r="P30" s="743"/>
      <c r="Q30" s="751"/>
      <c r="R30" s="772"/>
    </row>
    <row r="31" spans="1:18" x14ac:dyDescent="0.3">
      <c r="A31" s="744">
        <v>220</v>
      </c>
      <c r="B31" s="755" t="s">
        <v>394</v>
      </c>
      <c r="C31" s="755" t="s">
        <v>488</v>
      </c>
      <c r="D31" s="755" t="s">
        <v>489</v>
      </c>
      <c r="E31" s="726" t="s">
        <v>379</v>
      </c>
      <c r="F31" s="743"/>
      <c r="G31" s="751" t="s">
        <v>373</v>
      </c>
      <c r="H31" s="743" t="s">
        <v>564</v>
      </c>
      <c r="I31" s="751" t="s">
        <v>343</v>
      </c>
      <c r="J31" s="745">
        <v>0.70954861111111101</v>
      </c>
      <c r="K31" s="751" t="s">
        <v>373</v>
      </c>
      <c r="L31" s="743" t="s">
        <v>565</v>
      </c>
      <c r="M31" s="751" t="s">
        <v>343</v>
      </c>
      <c r="N31" s="745">
        <v>0.7088310185185186</v>
      </c>
      <c r="O31" s="751"/>
      <c r="P31" s="743"/>
      <c r="Q31" s="751"/>
      <c r="R31" s="772"/>
    </row>
    <row r="32" spans="1:18" x14ac:dyDescent="0.3">
      <c r="A32" s="744">
        <v>222</v>
      </c>
      <c r="B32" s="755" t="s">
        <v>395</v>
      </c>
      <c r="C32" s="755" t="s">
        <v>488</v>
      </c>
      <c r="D32" s="755" t="s">
        <v>489</v>
      </c>
      <c r="E32" s="726" t="s">
        <v>362</v>
      </c>
      <c r="F32" s="745">
        <v>0.70865740740740746</v>
      </c>
      <c r="G32" s="751" t="s">
        <v>408</v>
      </c>
      <c r="H32" s="745">
        <v>0.70971064814814822</v>
      </c>
      <c r="I32" s="751" t="s">
        <v>362</v>
      </c>
      <c r="J32" s="745">
        <v>0.70975694444444448</v>
      </c>
      <c r="K32" s="751" t="s">
        <v>360</v>
      </c>
      <c r="L32" s="743" t="s">
        <v>566</v>
      </c>
      <c r="M32" s="751" t="s">
        <v>380</v>
      </c>
      <c r="N32" s="745">
        <v>0.70877314814814818</v>
      </c>
      <c r="O32" s="751"/>
      <c r="P32" s="743"/>
      <c r="Q32" s="751"/>
      <c r="R32" s="772"/>
    </row>
    <row r="33" spans="1:18" x14ac:dyDescent="0.3">
      <c r="A33" s="748">
        <v>223</v>
      </c>
      <c r="B33" s="755" t="s">
        <v>396</v>
      </c>
      <c r="C33" s="755" t="s">
        <v>488</v>
      </c>
      <c r="D33" s="755" t="s">
        <v>489</v>
      </c>
      <c r="E33" s="935" t="s">
        <v>569</v>
      </c>
      <c r="F33" s="929"/>
      <c r="G33" s="933" t="s">
        <v>570</v>
      </c>
      <c r="H33" s="934"/>
      <c r="I33" s="752">
        <v>0.97444444444444445</v>
      </c>
      <c r="J33" s="743" t="s">
        <v>567</v>
      </c>
      <c r="K33" s="751" t="s">
        <v>568</v>
      </c>
      <c r="L33" s="745">
        <v>0.31252314814814813</v>
      </c>
      <c r="M33" s="752">
        <v>0.97261574074074064</v>
      </c>
      <c r="N33" s="745">
        <v>0.31376157407407407</v>
      </c>
      <c r="O33" s="751"/>
      <c r="P33" s="743"/>
      <c r="Q33" s="751"/>
      <c r="R33" s="772"/>
    </row>
    <row r="34" spans="1:18" x14ac:dyDescent="0.3">
      <c r="A34" s="744">
        <v>226</v>
      </c>
      <c r="B34" s="755" t="s">
        <v>397</v>
      </c>
      <c r="C34" s="755" t="s">
        <v>488</v>
      </c>
      <c r="D34" s="755" t="s">
        <v>489</v>
      </c>
      <c r="E34" s="726" t="s">
        <v>344</v>
      </c>
      <c r="F34" s="745">
        <v>0.9806597222222222</v>
      </c>
      <c r="G34" s="751" t="s">
        <v>459</v>
      </c>
      <c r="H34" s="745">
        <v>0.98079861111111111</v>
      </c>
      <c r="I34" s="751" t="s">
        <v>490</v>
      </c>
      <c r="J34" s="745">
        <v>0.97987268518518522</v>
      </c>
      <c r="K34" s="751" t="s">
        <v>382</v>
      </c>
      <c r="L34" s="745">
        <v>0.97987268518518522</v>
      </c>
      <c r="M34" s="751" t="s">
        <v>460</v>
      </c>
      <c r="N34" s="745">
        <v>0.98028935185185195</v>
      </c>
      <c r="O34" s="751" t="s">
        <v>340</v>
      </c>
      <c r="P34" s="745">
        <v>0.85783564814814817</v>
      </c>
      <c r="Q34" s="751"/>
      <c r="R34" s="772"/>
    </row>
    <row r="35" spans="1:18" x14ac:dyDescent="0.3">
      <c r="A35" s="747">
        <v>227</v>
      </c>
      <c r="B35" s="755" t="s">
        <v>398</v>
      </c>
      <c r="C35" s="755" t="s">
        <v>488</v>
      </c>
      <c r="D35" s="755" t="s">
        <v>489</v>
      </c>
      <c r="E35" s="726" t="s">
        <v>571</v>
      </c>
      <c r="F35" s="743" t="s">
        <v>352</v>
      </c>
      <c r="G35" s="752">
        <v>0.98306712962962972</v>
      </c>
      <c r="H35" s="743" t="s">
        <v>439</v>
      </c>
      <c r="I35" s="752">
        <v>0.98244212962962962</v>
      </c>
      <c r="J35" s="743" t="s">
        <v>351</v>
      </c>
      <c r="K35" s="752">
        <v>0.98017361111111112</v>
      </c>
      <c r="L35" s="743" t="s">
        <v>352</v>
      </c>
      <c r="M35" s="752">
        <v>0.98421296296296301</v>
      </c>
      <c r="N35" s="743" t="s">
        <v>351</v>
      </c>
      <c r="O35" s="752">
        <v>0.98163194444444446</v>
      </c>
      <c r="P35" s="743"/>
      <c r="Q35" s="751"/>
      <c r="R35" s="772"/>
    </row>
    <row r="36" spans="1:18" x14ac:dyDescent="0.3">
      <c r="A36" s="744">
        <v>228</v>
      </c>
      <c r="B36" s="755" t="s">
        <v>399</v>
      </c>
      <c r="C36" s="755" t="s">
        <v>488</v>
      </c>
      <c r="D36" s="755" t="s">
        <v>489</v>
      </c>
      <c r="E36" s="727">
        <v>0.97766203703703702</v>
      </c>
      <c r="F36" s="745">
        <v>0.31334490740740739</v>
      </c>
      <c r="G36" s="752">
        <v>0.98281249999999998</v>
      </c>
      <c r="H36" s="745">
        <v>0.31461805555555555</v>
      </c>
      <c r="I36" s="751" t="s">
        <v>572</v>
      </c>
      <c r="J36" s="745">
        <v>0.31315972222222221</v>
      </c>
      <c r="K36" s="751" t="s">
        <v>573</v>
      </c>
      <c r="L36" s="745">
        <v>0.31489583333333332</v>
      </c>
      <c r="M36" s="933" t="s">
        <v>570</v>
      </c>
      <c r="N36" s="934"/>
      <c r="O36" s="751"/>
      <c r="P36" s="743"/>
      <c r="Q36" s="751"/>
      <c r="R36" s="772"/>
    </row>
    <row r="37" spans="1:18" x14ac:dyDescent="0.3">
      <c r="A37" s="747">
        <v>230</v>
      </c>
      <c r="B37" s="755" t="s">
        <v>400</v>
      </c>
      <c r="C37" s="755" t="s">
        <v>488</v>
      </c>
      <c r="D37" s="755" t="s">
        <v>489</v>
      </c>
      <c r="E37" s="727">
        <v>0.30128472222222219</v>
      </c>
      <c r="F37" s="745">
        <v>0.64645833333333336</v>
      </c>
      <c r="G37" s="751" t="s">
        <v>364</v>
      </c>
      <c r="H37" s="745">
        <v>0.64643518518518517</v>
      </c>
      <c r="I37" s="751" t="s">
        <v>496</v>
      </c>
      <c r="J37" s="743" t="s">
        <v>574</v>
      </c>
      <c r="K37" s="751" t="s">
        <v>465</v>
      </c>
      <c r="L37" s="745">
        <v>0.69238425925925917</v>
      </c>
      <c r="M37" s="751" t="s">
        <v>360</v>
      </c>
      <c r="N37" s="745">
        <v>0.64658564814814812</v>
      </c>
      <c r="O37" s="751" t="s">
        <v>375</v>
      </c>
      <c r="P37" s="745">
        <v>0.647974537037037</v>
      </c>
      <c r="Q37" s="751"/>
      <c r="R37" s="772"/>
    </row>
    <row r="38" spans="1:18" x14ac:dyDescent="0.3">
      <c r="A38" s="748">
        <v>231</v>
      </c>
      <c r="B38" s="755" t="s">
        <v>402</v>
      </c>
      <c r="C38" s="755" t="s">
        <v>488</v>
      </c>
      <c r="D38" s="755" t="s">
        <v>489</v>
      </c>
      <c r="E38" s="727">
        <v>0.9900810185185186</v>
      </c>
      <c r="F38" s="743" t="s">
        <v>417</v>
      </c>
      <c r="G38" s="752">
        <v>0.98799768518518516</v>
      </c>
      <c r="H38" s="743" t="s">
        <v>341</v>
      </c>
      <c r="I38" s="752">
        <v>0.9900578703703703</v>
      </c>
      <c r="J38" s="743" t="s">
        <v>343</v>
      </c>
      <c r="K38" s="752">
        <v>0.98708333333333342</v>
      </c>
      <c r="L38" s="743" t="s">
        <v>341</v>
      </c>
      <c r="M38" s="752">
        <v>2.3263888888888887E-3</v>
      </c>
      <c r="N38" s="743" t="s">
        <v>497</v>
      </c>
      <c r="O38" s="751"/>
      <c r="P38" s="743"/>
      <c r="Q38" s="751"/>
      <c r="R38" s="772"/>
    </row>
    <row r="39" spans="1:18" x14ac:dyDescent="0.3">
      <c r="A39" s="744">
        <v>232</v>
      </c>
      <c r="B39" s="755" t="s">
        <v>403</v>
      </c>
      <c r="C39" s="755" t="s">
        <v>488</v>
      </c>
      <c r="D39" s="755" t="s">
        <v>607</v>
      </c>
      <c r="E39" s="726" t="s">
        <v>344</v>
      </c>
      <c r="F39" s="745">
        <v>0.98059027777777785</v>
      </c>
      <c r="G39" s="751" t="s">
        <v>382</v>
      </c>
      <c r="H39" s="745">
        <v>0.98113425925925923</v>
      </c>
      <c r="I39" s="751" t="s">
        <v>498</v>
      </c>
      <c r="J39" s="745">
        <v>0.97954861111111102</v>
      </c>
      <c r="K39" s="751" t="s">
        <v>388</v>
      </c>
      <c r="L39" s="745">
        <v>0.98179398148148145</v>
      </c>
      <c r="M39" s="751" t="s">
        <v>344</v>
      </c>
      <c r="N39" s="745">
        <v>0.97950231481481476</v>
      </c>
      <c r="O39" s="751" t="s">
        <v>342</v>
      </c>
      <c r="P39" s="745">
        <v>0.85773148148148148</v>
      </c>
      <c r="Q39" s="751"/>
      <c r="R39" s="772"/>
    </row>
    <row r="40" spans="1:18" x14ac:dyDescent="0.3">
      <c r="A40" s="744">
        <v>237</v>
      </c>
      <c r="B40" s="755" t="s">
        <v>478</v>
      </c>
      <c r="C40" s="755" t="s">
        <v>488</v>
      </c>
      <c r="D40" s="755" t="s">
        <v>489</v>
      </c>
      <c r="E40" s="727">
        <v>0.31519675925925927</v>
      </c>
      <c r="F40" s="745">
        <v>0.70946759259259251</v>
      </c>
      <c r="G40" s="752">
        <v>0.31231481481481482</v>
      </c>
      <c r="H40" s="743" t="s">
        <v>575</v>
      </c>
      <c r="I40" s="752">
        <v>0.31422453703703707</v>
      </c>
      <c r="J40" s="745">
        <v>0.70927083333333341</v>
      </c>
      <c r="K40" s="751" t="s">
        <v>576</v>
      </c>
      <c r="L40" s="743" t="s">
        <v>339</v>
      </c>
      <c r="M40" s="752"/>
      <c r="N40" s="745">
        <v>0.70857638888888885</v>
      </c>
      <c r="O40" s="751"/>
      <c r="P40" s="743"/>
      <c r="Q40" s="751"/>
      <c r="R40" s="772"/>
    </row>
    <row r="41" spans="1:18" x14ac:dyDescent="0.3">
      <c r="A41" s="744">
        <v>241</v>
      </c>
      <c r="B41" s="755" t="s">
        <v>404</v>
      </c>
      <c r="C41" s="755" t="s">
        <v>488</v>
      </c>
      <c r="D41" s="755" t="s">
        <v>489</v>
      </c>
      <c r="E41" s="727">
        <v>0.29824074074074075</v>
      </c>
      <c r="F41" s="745">
        <v>0.64665509259259257</v>
      </c>
      <c r="G41" s="752">
        <v>0.30168981481481483</v>
      </c>
      <c r="H41" s="745">
        <v>0.6470717592592593</v>
      </c>
      <c r="I41" s="752">
        <v>0.29952546296296295</v>
      </c>
      <c r="J41" s="745">
        <v>0.64533564814814814</v>
      </c>
      <c r="K41" s="751" t="s">
        <v>577</v>
      </c>
      <c r="L41" s="745">
        <v>0.64880787037037035</v>
      </c>
      <c r="M41" s="752">
        <v>0.29858796296296297</v>
      </c>
      <c r="N41" s="745">
        <v>0.64634259259259264</v>
      </c>
      <c r="O41" s="752">
        <v>0.29332175925925924</v>
      </c>
      <c r="P41" s="745">
        <v>0.64769675925925929</v>
      </c>
      <c r="Q41" s="751"/>
      <c r="R41" s="772"/>
    </row>
    <row r="42" spans="1:18" x14ac:dyDescent="0.3">
      <c r="A42" s="744">
        <v>242</v>
      </c>
      <c r="B42" s="755" t="s">
        <v>405</v>
      </c>
      <c r="C42" s="755" t="s">
        <v>488</v>
      </c>
      <c r="D42" s="755" t="s">
        <v>489</v>
      </c>
      <c r="E42" s="727">
        <v>0.97438657407407403</v>
      </c>
      <c r="F42" s="743" t="s">
        <v>578</v>
      </c>
      <c r="G42" s="751" t="s">
        <v>579</v>
      </c>
      <c r="H42" s="745">
        <v>0.31584490740740739</v>
      </c>
      <c r="I42" s="752">
        <v>0.9772453703703704</v>
      </c>
      <c r="J42" s="745">
        <v>0.32092592592592589</v>
      </c>
      <c r="K42" s="751" t="s">
        <v>580</v>
      </c>
      <c r="L42" s="745">
        <v>0.3183449074074074</v>
      </c>
      <c r="M42" s="751" t="s">
        <v>581</v>
      </c>
      <c r="N42" s="743" t="s">
        <v>582</v>
      </c>
      <c r="O42" s="751"/>
      <c r="P42" s="743"/>
      <c r="Q42" s="751"/>
      <c r="R42" s="772"/>
    </row>
    <row r="43" spans="1:18" x14ac:dyDescent="0.3">
      <c r="A43" s="744">
        <v>26</v>
      </c>
      <c r="B43" s="755" t="s">
        <v>406</v>
      </c>
      <c r="C43" s="755" t="s">
        <v>488</v>
      </c>
      <c r="D43" s="755" t="s">
        <v>489</v>
      </c>
      <c r="E43" s="726" t="s">
        <v>380</v>
      </c>
      <c r="F43" s="743" t="s">
        <v>376</v>
      </c>
      <c r="G43" s="751" t="s">
        <v>364</v>
      </c>
      <c r="H43" s="743" t="s">
        <v>356</v>
      </c>
      <c r="I43" s="751" t="s">
        <v>466</v>
      </c>
      <c r="J43" s="743" t="s">
        <v>374</v>
      </c>
      <c r="K43" s="751" t="s">
        <v>360</v>
      </c>
      <c r="L43" s="743" t="s">
        <v>427</v>
      </c>
      <c r="M43" s="751" t="s">
        <v>364</v>
      </c>
      <c r="N43" s="743" t="s">
        <v>376</v>
      </c>
      <c r="O43" s="751"/>
      <c r="P43" s="743"/>
      <c r="Q43" s="751"/>
      <c r="R43" s="772"/>
    </row>
    <row r="44" spans="1:18" x14ac:dyDescent="0.3">
      <c r="A44" s="744">
        <v>27</v>
      </c>
      <c r="B44" s="755" t="s">
        <v>407</v>
      </c>
      <c r="C44" s="755" t="s">
        <v>488</v>
      </c>
      <c r="D44" s="755" t="s">
        <v>489</v>
      </c>
      <c r="E44" s="727">
        <v>0.97111111111111104</v>
      </c>
      <c r="F44" s="743" t="s">
        <v>339</v>
      </c>
      <c r="G44" s="752">
        <v>0.97223379629629625</v>
      </c>
      <c r="H44" s="743" t="s">
        <v>341</v>
      </c>
      <c r="I44" s="751" t="s">
        <v>583</v>
      </c>
      <c r="J44" s="743" t="s">
        <v>408</v>
      </c>
      <c r="K44" s="752">
        <v>0.9768634259259259</v>
      </c>
      <c r="L44" s="743" t="s">
        <v>352</v>
      </c>
      <c r="M44" s="751" t="s">
        <v>584</v>
      </c>
      <c r="N44" s="743" t="s">
        <v>458</v>
      </c>
      <c r="O44" s="751"/>
      <c r="P44" s="743"/>
      <c r="Q44" s="751"/>
      <c r="R44" s="772"/>
    </row>
    <row r="45" spans="1:18" x14ac:dyDescent="0.3">
      <c r="A45" s="744">
        <v>28</v>
      </c>
      <c r="B45" s="755" t="s">
        <v>409</v>
      </c>
      <c r="C45" s="755" t="s">
        <v>488</v>
      </c>
      <c r="D45" s="755" t="s">
        <v>489</v>
      </c>
      <c r="E45" s="727">
        <v>0.30321759259259257</v>
      </c>
      <c r="F45" s="745">
        <v>0.70849537037037036</v>
      </c>
      <c r="G45" s="752">
        <v>0.30675925925925923</v>
      </c>
      <c r="H45" s="743" t="s">
        <v>401</v>
      </c>
      <c r="I45" s="752" t="s">
        <v>585</v>
      </c>
      <c r="J45" s="743" t="s">
        <v>466</v>
      </c>
      <c r="K45" s="752">
        <v>0.7095717592592593</v>
      </c>
      <c r="L45" s="743" t="s">
        <v>466</v>
      </c>
      <c r="M45" s="752">
        <v>0.70844907407407398</v>
      </c>
      <c r="N45" s="743"/>
      <c r="O45" s="751"/>
      <c r="P45" s="743"/>
      <c r="Q45" s="751"/>
      <c r="R45" s="772"/>
    </row>
    <row r="46" spans="1:18" x14ac:dyDescent="0.3">
      <c r="A46" s="744">
        <v>29</v>
      </c>
      <c r="B46" s="755" t="s">
        <v>410</v>
      </c>
      <c r="C46" s="755" t="s">
        <v>488</v>
      </c>
      <c r="D46" s="755" t="s">
        <v>489</v>
      </c>
      <c r="E46" s="727">
        <v>0.96877314814814808</v>
      </c>
      <c r="F46" s="743" t="s">
        <v>351</v>
      </c>
      <c r="G46" s="752">
        <v>0.97726851851851848</v>
      </c>
      <c r="H46" s="743" t="s">
        <v>352</v>
      </c>
      <c r="I46" s="752">
        <v>0.97584490740740737</v>
      </c>
      <c r="J46" s="743" t="s">
        <v>475</v>
      </c>
      <c r="K46" s="752">
        <v>0.97290509259259261</v>
      </c>
      <c r="L46" s="743" t="s">
        <v>352</v>
      </c>
      <c r="M46" s="752">
        <v>0.97305555555555545</v>
      </c>
      <c r="N46" s="743" t="s">
        <v>353</v>
      </c>
      <c r="O46" s="751"/>
      <c r="P46" s="743"/>
      <c r="Q46" s="751"/>
      <c r="R46" s="772"/>
    </row>
    <row r="47" spans="1:18" x14ac:dyDescent="0.3">
      <c r="A47" s="744">
        <v>30</v>
      </c>
      <c r="B47" s="755" t="s">
        <v>411</v>
      </c>
      <c r="C47" s="755" t="s">
        <v>488</v>
      </c>
      <c r="D47" s="755" t="s">
        <v>489</v>
      </c>
      <c r="E47" s="726" t="s">
        <v>343</v>
      </c>
      <c r="F47" s="743" t="s">
        <v>374</v>
      </c>
      <c r="G47" s="751" t="s">
        <v>463</v>
      </c>
      <c r="H47" s="743" t="s">
        <v>356</v>
      </c>
      <c r="I47" s="751" t="s">
        <v>408</v>
      </c>
      <c r="J47" s="743" t="s">
        <v>374</v>
      </c>
      <c r="K47" s="751" t="s">
        <v>463</v>
      </c>
      <c r="L47" s="743" t="s">
        <v>468</v>
      </c>
      <c r="M47" s="751" t="s">
        <v>482</v>
      </c>
      <c r="N47" s="743" t="s">
        <v>461</v>
      </c>
      <c r="O47" s="751"/>
      <c r="P47" s="743"/>
      <c r="Q47" s="751"/>
      <c r="R47" s="772"/>
    </row>
    <row r="48" spans="1:18" x14ac:dyDescent="0.3">
      <c r="A48" s="744">
        <v>32</v>
      </c>
      <c r="B48" s="755" t="s">
        <v>412</v>
      </c>
      <c r="C48" s="755" t="s">
        <v>488</v>
      </c>
      <c r="D48" s="755" t="s">
        <v>489</v>
      </c>
      <c r="E48" s="726" t="s">
        <v>364</v>
      </c>
      <c r="F48" s="743" t="s">
        <v>356</v>
      </c>
      <c r="G48" s="751" t="s">
        <v>401</v>
      </c>
      <c r="H48" s="745">
        <v>0.70656249999999998</v>
      </c>
      <c r="I48" s="751" t="s">
        <v>363</v>
      </c>
      <c r="J48" s="743" t="s">
        <v>586</v>
      </c>
      <c r="K48" s="751" t="s">
        <v>364</v>
      </c>
      <c r="L48" s="745">
        <v>0.70248842592592586</v>
      </c>
      <c r="M48" s="751" t="s">
        <v>363</v>
      </c>
      <c r="N48" s="743" t="s">
        <v>499</v>
      </c>
      <c r="O48" s="751"/>
      <c r="P48" s="743"/>
      <c r="Q48" s="751"/>
      <c r="R48" s="772"/>
    </row>
    <row r="49" spans="1:18" x14ac:dyDescent="0.3">
      <c r="A49" s="744">
        <v>33</v>
      </c>
      <c r="B49" s="755" t="s">
        <v>413</v>
      </c>
      <c r="C49" s="755" t="s">
        <v>488</v>
      </c>
      <c r="D49" s="755" t="s">
        <v>489</v>
      </c>
      <c r="E49" s="726" t="s">
        <v>587</v>
      </c>
      <c r="F49" s="743" t="s">
        <v>392</v>
      </c>
      <c r="G49" s="752">
        <v>0.97238425925925931</v>
      </c>
      <c r="H49" s="743" t="s">
        <v>421</v>
      </c>
      <c r="I49" s="752">
        <v>0.97026620370370376</v>
      </c>
      <c r="J49" s="743" t="s">
        <v>408</v>
      </c>
      <c r="K49" s="752">
        <v>0.97747685185185185</v>
      </c>
      <c r="L49" s="743" t="s">
        <v>392</v>
      </c>
      <c r="M49" s="752">
        <v>0.97165509259259253</v>
      </c>
      <c r="N49" s="743" t="s">
        <v>500</v>
      </c>
      <c r="O49" s="751"/>
      <c r="P49" s="743"/>
      <c r="Q49" s="751"/>
      <c r="R49" s="772"/>
    </row>
    <row r="50" spans="1:18" x14ac:dyDescent="0.3">
      <c r="A50" s="747">
        <v>34</v>
      </c>
      <c r="B50" s="755" t="s">
        <v>414</v>
      </c>
      <c r="C50" s="755" t="s">
        <v>488</v>
      </c>
      <c r="D50" s="755" t="s">
        <v>489</v>
      </c>
      <c r="E50" s="726" t="s">
        <v>501</v>
      </c>
      <c r="F50" s="745">
        <v>0.69730324074074079</v>
      </c>
      <c r="G50" s="751" t="s">
        <v>481</v>
      </c>
      <c r="H50" s="745">
        <v>0.69730324074074079</v>
      </c>
      <c r="I50" s="752">
        <v>0.35075231481481484</v>
      </c>
      <c r="J50" s="745">
        <v>0.70644675925925926</v>
      </c>
      <c r="K50" s="751" t="s">
        <v>588</v>
      </c>
      <c r="L50" s="743" t="s">
        <v>589</v>
      </c>
      <c r="M50" s="752">
        <v>0.33667824074074071</v>
      </c>
      <c r="N50" s="745">
        <v>0.78298611111111116</v>
      </c>
      <c r="O50" s="752">
        <v>0.75718750000000001</v>
      </c>
      <c r="P50" s="743"/>
      <c r="Q50" s="751"/>
      <c r="R50" s="772"/>
    </row>
    <row r="51" spans="1:18" x14ac:dyDescent="0.3">
      <c r="A51" s="744">
        <v>35</v>
      </c>
      <c r="B51" s="755" t="s">
        <v>415</v>
      </c>
      <c r="C51" s="755" t="s">
        <v>488</v>
      </c>
      <c r="D51" s="755" t="s">
        <v>489</v>
      </c>
      <c r="E51" s="726" t="s">
        <v>346</v>
      </c>
      <c r="F51" s="743"/>
      <c r="G51" s="751" t="s">
        <v>502</v>
      </c>
      <c r="H51" s="743"/>
      <c r="I51" s="751" t="s">
        <v>379</v>
      </c>
      <c r="J51" s="743"/>
      <c r="K51" s="751" t="s">
        <v>501</v>
      </c>
      <c r="L51" s="743"/>
      <c r="M51" s="751" t="s">
        <v>495</v>
      </c>
      <c r="N51" s="743"/>
      <c r="O51" s="751" t="s">
        <v>503</v>
      </c>
      <c r="P51" s="743"/>
      <c r="Q51" s="751" t="s">
        <v>469</v>
      </c>
      <c r="R51" s="772"/>
    </row>
    <row r="52" spans="1:18" x14ac:dyDescent="0.3">
      <c r="A52" s="744">
        <v>37</v>
      </c>
      <c r="B52" s="755" t="s">
        <v>416</v>
      </c>
      <c r="C52" s="755" t="s">
        <v>488</v>
      </c>
      <c r="D52" s="755" t="s">
        <v>489</v>
      </c>
      <c r="E52" s="727">
        <v>0.97135416666666663</v>
      </c>
      <c r="F52" s="745">
        <v>0.31619212962962967</v>
      </c>
      <c r="G52" s="752">
        <v>0.97243055555555558</v>
      </c>
      <c r="H52" s="745">
        <v>0.97591435185185194</v>
      </c>
      <c r="I52" s="751" t="s">
        <v>590</v>
      </c>
      <c r="J52" s="745">
        <v>0.97244212962962961</v>
      </c>
      <c r="K52" s="751" t="s">
        <v>375</v>
      </c>
      <c r="L52" s="745">
        <v>0.97244212962962961</v>
      </c>
      <c r="M52" s="751" t="s">
        <v>392</v>
      </c>
      <c r="N52" s="745">
        <v>0.97123842592592602</v>
      </c>
      <c r="O52" s="751" t="s">
        <v>343</v>
      </c>
      <c r="P52" s="743"/>
      <c r="Q52" s="751"/>
      <c r="R52" s="772"/>
    </row>
    <row r="53" spans="1:18" x14ac:dyDescent="0.3">
      <c r="A53" s="744">
        <v>39</v>
      </c>
      <c r="B53" s="755" t="s">
        <v>418</v>
      </c>
      <c r="C53" s="755" t="s">
        <v>488</v>
      </c>
      <c r="D53" s="755" t="s">
        <v>489</v>
      </c>
      <c r="E53" s="726" t="s">
        <v>482</v>
      </c>
      <c r="F53" s="743" t="s">
        <v>376</v>
      </c>
      <c r="G53" s="751" t="s">
        <v>343</v>
      </c>
      <c r="H53" s="743" t="s">
        <v>356</v>
      </c>
      <c r="I53" s="751" t="s">
        <v>496</v>
      </c>
      <c r="J53" s="743" t="s">
        <v>480</v>
      </c>
      <c r="K53" s="751" t="s">
        <v>360</v>
      </c>
      <c r="L53" s="743" t="s">
        <v>356</v>
      </c>
      <c r="M53" s="751" t="s">
        <v>380</v>
      </c>
      <c r="N53" s="743" t="s">
        <v>376</v>
      </c>
      <c r="O53" s="751"/>
      <c r="P53" s="743"/>
      <c r="Q53" s="751"/>
      <c r="R53" s="772"/>
    </row>
    <row r="54" spans="1:18" x14ac:dyDescent="0.3">
      <c r="A54" s="744">
        <v>41</v>
      </c>
      <c r="B54" s="755" t="s">
        <v>419</v>
      </c>
      <c r="C54" s="755" t="s">
        <v>488</v>
      </c>
      <c r="D54" s="755" t="s">
        <v>489</v>
      </c>
      <c r="E54" s="727">
        <v>0.33893518518518517</v>
      </c>
      <c r="F54" s="745">
        <v>0.69736111111111121</v>
      </c>
      <c r="G54" s="751" t="s">
        <v>502</v>
      </c>
      <c r="H54" s="745">
        <v>0.7166203703703703</v>
      </c>
      <c r="I54" s="751" t="s">
        <v>504</v>
      </c>
      <c r="J54" s="743" t="s">
        <v>591</v>
      </c>
      <c r="K54" s="752">
        <v>0.34628472222222223</v>
      </c>
      <c r="L54" s="743" t="s">
        <v>592</v>
      </c>
      <c r="M54" s="751" t="s">
        <v>593</v>
      </c>
      <c r="N54" s="745">
        <v>0.71203703703703702</v>
      </c>
      <c r="O54" s="751"/>
      <c r="P54" s="743"/>
      <c r="Q54" s="751"/>
      <c r="R54" s="772"/>
    </row>
    <row r="55" spans="1:18" x14ac:dyDescent="0.3">
      <c r="A55" s="766">
        <v>45</v>
      </c>
      <c r="B55" s="755" t="s">
        <v>420</v>
      </c>
      <c r="C55" s="755" t="s">
        <v>488</v>
      </c>
      <c r="D55" s="755" t="s">
        <v>489</v>
      </c>
      <c r="E55" s="726" t="s">
        <v>505</v>
      </c>
      <c r="F55" s="743" t="s">
        <v>482</v>
      </c>
      <c r="G55" s="751" t="s">
        <v>506</v>
      </c>
      <c r="H55" s="743" t="s">
        <v>463</v>
      </c>
      <c r="I55" s="751" t="s">
        <v>422</v>
      </c>
      <c r="J55" s="743" t="s">
        <v>339</v>
      </c>
      <c r="K55" s="751" t="s">
        <v>435</v>
      </c>
      <c r="L55" s="743" t="s">
        <v>477</v>
      </c>
      <c r="M55" s="751" t="s">
        <v>435</v>
      </c>
      <c r="N55" s="743" t="s">
        <v>392</v>
      </c>
      <c r="O55" s="751"/>
      <c r="P55" s="743"/>
      <c r="Q55" s="751"/>
      <c r="R55" s="772"/>
    </row>
    <row r="56" spans="1:18" x14ac:dyDescent="0.3">
      <c r="A56" s="744">
        <v>51</v>
      </c>
      <c r="B56" s="755" t="s">
        <v>424</v>
      </c>
      <c r="C56" s="755" t="s">
        <v>488</v>
      </c>
      <c r="D56" s="755" t="s">
        <v>489</v>
      </c>
      <c r="E56" s="727">
        <v>0.28219907407407407</v>
      </c>
      <c r="F56" s="745">
        <v>0.70885416666666667</v>
      </c>
      <c r="G56" s="751" t="s">
        <v>373</v>
      </c>
      <c r="H56" s="743"/>
      <c r="I56" s="932" t="s">
        <v>239</v>
      </c>
      <c r="J56" s="931"/>
      <c r="K56" s="751" t="s">
        <v>417</v>
      </c>
      <c r="L56" s="743" t="s">
        <v>594</v>
      </c>
      <c r="M56" s="751" t="s">
        <v>339</v>
      </c>
      <c r="N56" s="745">
        <v>0.70758101851851851</v>
      </c>
      <c r="O56" s="751"/>
      <c r="P56" s="743"/>
      <c r="Q56" s="751"/>
      <c r="R56" s="772"/>
    </row>
    <row r="57" spans="1:18" x14ac:dyDescent="0.3">
      <c r="A57" s="744">
        <v>58</v>
      </c>
      <c r="B57" s="755" t="s">
        <v>426</v>
      </c>
      <c r="C57" s="755" t="s">
        <v>488</v>
      </c>
      <c r="D57" s="755" t="s">
        <v>489</v>
      </c>
      <c r="E57" s="727">
        <v>0.3253819444444444</v>
      </c>
      <c r="F57" s="743"/>
      <c r="G57" s="751" t="s">
        <v>464</v>
      </c>
      <c r="H57" s="743" t="s">
        <v>479</v>
      </c>
      <c r="I57" s="751" t="s">
        <v>467</v>
      </c>
      <c r="J57" s="743" t="s">
        <v>374</v>
      </c>
      <c r="K57" s="751" t="s">
        <v>384</v>
      </c>
      <c r="L57" s="743" t="s">
        <v>468</v>
      </c>
      <c r="M57" s="751" t="s">
        <v>341</v>
      </c>
      <c r="N57" s="743" t="s">
        <v>461</v>
      </c>
      <c r="O57" s="751"/>
      <c r="P57" s="743"/>
      <c r="Q57" s="751"/>
      <c r="R57" s="772"/>
    </row>
    <row r="58" spans="1:18" x14ac:dyDescent="0.3">
      <c r="A58" s="744">
        <v>59</v>
      </c>
      <c r="B58" s="755" t="s">
        <v>428</v>
      </c>
      <c r="C58" s="755" t="s">
        <v>488</v>
      </c>
      <c r="D58" s="755" t="s">
        <v>489</v>
      </c>
      <c r="E58" s="726" t="s">
        <v>360</v>
      </c>
      <c r="F58" s="743"/>
      <c r="G58" s="751" t="s">
        <v>380</v>
      </c>
      <c r="H58" s="743" t="s">
        <v>356</v>
      </c>
      <c r="I58" s="751" t="s">
        <v>425</v>
      </c>
      <c r="J58" s="743" t="s">
        <v>374</v>
      </c>
      <c r="K58" s="751" t="s">
        <v>364</v>
      </c>
      <c r="L58" s="743" t="s">
        <v>374</v>
      </c>
      <c r="M58" s="751" t="s">
        <v>364</v>
      </c>
      <c r="N58" s="743" t="s">
        <v>376</v>
      </c>
      <c r="O58" s="751"/>
      <c r="P58" s="743"/>
      <c r="Q58" s="751"/>
      <c r="R58" s="772"/>
    </row>
    <row r="59" spans="1:18" x14ac:dyDescent="0.3">
      <c r="A59" s="744">
        <v>6</v>
      </c>
      <c r="B59" s="755" t="s">
        <v>429</v>
      </c>
      <c r="C59" s="755" t="s">
        <v>488</v>
      </c>
      <c r="D59" s="755" t="s">
        <v>489</v>
      </c>
      <c r="E59" s="726" t="s">
        <v>417</v>
      </c>
      <c r="F59" s="745">
        <v>0.70795138888888898</v>
      </c>
      <c r="G59" s="751" t="s">
        <v>341</v>
      </c>
      <c r="H59" s="745">
        <v>0.70827546296296295</v>
      </c>
      <c r="I59" s="751" t="s">
        <v>377</v>
      </c>
      <c r="J59" s="745">
        <v>0.70958333333333334</v>
      </c>
      <c r="K59" s="751" t="s">
        <v>408</v>
      </c>
      <c r="L59" s="743" t="s">
        <v>595</v>
      </c>
      <c r="M59" s="932" t="s">
        <v>239</v>
      </c>
      <c r="N59" s="931"/>
      <c r="O59" s="751"/>
      <c r="P59" s="743"/>
      <c r="Q59" s="751"/>
      <c r="R59" s="772"/>
    </row>
    <row r="60" spans="1:18" x14ac:dyDescent="0.3">
      <c r="A60" s="744">
        <v>63</v>
      </c>
      <c r="B60" s="755" t="s">
        <v>430</v>
      </c>
      <c r="C60" s="755" t="s">
        <v>488</v>
      </c>
      <c r="D60" s="755" t="s">
        <v>489</v>
      </c>
      <c r="E60" s="726" t="s">
        <v>346</v>
      </c>
      <c r="F60" s="743" t="s">
        <v>507</v>
      </c>
      <c r="G60" s="751" t="s">
        <v>482</v>
      </c>
      <c r="H60" s="743"/>
      <c r="I60" s="751" t="s">
        <v>421</v>
      </c>
      <c r="J60" s="743"/>
      <c r="K60" s="751" t="s">
        <v>339</v>
      </c>
      <c r="L60" s="743"/>
      <c r="M60" s="751" t="s">
        <v>408</v>
      </c>
      <c r="N60" s="743"/>
      <c r="O60" s="751"/>
      <c r="P60" s="743"/>
      <c r="Q60" s="751"/>
      <c r="R60" s="772"/>
    </row>
    <row r="61" spans="1:18" x14ac:dyDescent="0.3">
      <c r="A61" s="744">
        <v>64</v>
      </c>
      <c r="B61" s="755" t="s">
        <v>431</v>
      </c>
      <c r="C61" s="755" t="s">
        <v>488</v>
      </c>
      <c r="D61" s="755" t="s">
        <v>489</v>
      </c>
      <c r="E61" s="727">
        <v>0.30122685185185188</v>
      </c>
      <c r="F61" s="743" t="s">
        <v>376</v>
      </c>
      <c r="G61" s="751" t="s">
        <v>364</v>
      </c>
      <c r="H61" s="743" t="s">
        <v>356</v>
      </c>
      <c r="I61" s="751" t="s">
        <v>496</v>
      </c>
      <c r="J61" s="743" t="s">
        <v>374</v>
      </c>
      <c r="K61" s="932" t="s">
        <v>239</v>
      </c>
      <c r="L61" s="931"/>
      <c r="M61" s="751" t="s">
        <v>360</v>
      </c>
      <c r="N61" s="743"/>
      <c r="O61" s="751"/>
      <c r="P61" s="743"/>
      <c r="Q61" s="751"/>
      <c r="R61" s="772"/>
    </row>
    <row r="62" spans="1:18" x14ac:dyDescent="0.3">
      <c r="A62" s="744">
        <v>69</v>
      </c>
      <c r="B62" s="755" t="s">
        <v>432</v>
      </c>
      <c r="C62" s="755" t="s">
        <v>488</v>
      </c>
      <c r="D62" s="755" t="s">
        <v>489</v>
      </c>
      <c r="E62" s="727">
        <v>0.6463078703703703</v>
      </c>
      <c r="F62" s="745">
        <v>0.9802777777777778</v>
      </c>
      <c r="G62" s="751" t="s">
        <v>462</v>
      </c>
      <c r="H62" s="745" t="s">
        <v>596</v>
      </c>
      <c r="I62" s="751" t="s">
        <v>342</v>
      </c>
      <c r="J62" s="745">
        <v>0.97979166666666673</v>
      </c>
      <c r="K62" s="751" t="s">
        <v>597</v>
      </c>
      <c r="L62" s="743" t="s">
        <v>598</v>
      </c>
      <c r="M62" s="751" t="s">
        <v>344</v>
      </c>
      <c r="N62" s="745">
        <v>0.98020833333333324</v>
      </c>
      <c r="O62" s="751" t="s">
        <v>508</v>
      </c>
      <c r="P62" s="745">
        <v>0.85762731481481491</v>
      </c>
      <c r="Q62" s="751"/>
      <c r="R62" s="772"/>
    </row>
    <row r="63" spans="1:18" x14ac:dyDescent="0.3">
      <c r="A63" s="744">
        <v>7</v>
      </c>
      <c r="B63" s="755" t="s">
        <v>433</v>
      </c>
      <c r="C63" s="755" t="s">
        <v>488</v>
      </c>
      <c r="D63" s="755" t="s">
        <v>489</v>
      </c>
      <c r="E63" s="727">
        <v>0.96637731481481481</v>
      </c>
      <c r="F63" s="743" t="s">
        <v>599</v>
      </c>
      <c r="G63" s="752">
        <v>0.96043981481481477</v>
      </c>
      <c r="H63" s="745">
        <v>0.31445601851851851</v>
      </c>
      <c r="I63" s="752">
        <v>0.96281250000000007</v>
      </c>
      <c r="J63" s="745">
        <v>0.31489583333333332</v>
      </c>
      <c r="K63" s="752">
        <v>0.96428240740740734</v>
      </c>
      <c r="L63" s="745">
        <v>0.31293981481481481</v>
      </c>
      <c r="M63" s="751" t="s">
        <v>600</v>
      </c>
      <c r="N63" s="743"/>
      <c r="O63" s="751"/>
      <c r="P63" s="743"/>
      <c r="Q63" s="751"/>
      <c r="R63" s="772"/>
    </row>
    <row r="64" spans="1:18" x14ac:dyDescent="0.3">
      <c r="A64" s="744">
        <v>70</v>
      </c>
      <c r="B64" s="755" t="s">
        <v>434</v>
      </c>
      <c r="C64" s="755" t="s">
        <v>488</v>
      </c>
      <c r="D64" s="755" t="s">
        <v>489</v>
      </c>
      <c r="E64" s="935" t="s">
        <v>472</v>
      </c>
      <c r="F64" s="929"/>
      <c r="G64" s="928" t="s">
        <v>472</v>
      </c>
      <c r="H64" s="929"/>
      <c r="I64" s="751"/>
      <c r="J64" s="743" t="s">
        <v>509</v>
      </c>
      <c r="K64" s="751" t="s">
        <v>601</v>
      </c>
      <c r="L64" s="743" t="s">
        <v>423</v>
      </c>
      <c r="M64" s="752">
        <v>0.31386574074074075</v>
      </c>
      <c r="N64" s="743"/>
      <c r="O64" s="751"/>
      <c r="P64" s="743"/>
      <c r="Q64" s="751"/>
      <c r="R64" s="772"/>
    </row>
    <row r="65" spans="1:18" x14ac:dyDescent="0.3">
      <c r="A65" s="744">
        <v>73</v>
      </c>
      <c r="B65" s="755" t="s">
        <v>436</v>
      </c>
      <c r="C65" s="755" t="s">
        <v>488</v>
      </c>
      <c r="D65" s="755" t="s">
        <v>489</v>
      </c>
      <c r="E65" s="726" t="s">
        <v>510</v>
      </c>
      <c r="F65" s="745">
        <v>0.64653935185185185</v>
      </c>
      <c r="G65" s="751" t="s">
        <v>364</v>
      </c>
      <c r="H65" s="745">
        <v>0.64711805555555557</v>
      </c>
      <c r="I65" s="751" t="s">
        <v>496</v>
      </c>
      <c r="J65" s="745">
        <v>0.64526620370370369</v>
      </c>
      <c r="K65" s="752">
        <v>0.30646990740740737</v>
      </c>
      <c r="L65" s="745">
        <v>0.64652777777777781</v>
      </c>
      <c r="M65" s="932" t="s">
        <v>239</v>
      </c>
      <c r="N65" s="931"/>
      <c r="O65" s="751" t="s">
        <v>511</v>
      </c>
      <c r="P65" s="745">
        <v>0.64781250000000001</v>
      </c>
      <c r="Q65" s="751"/>
      <c r="R65" s="745"/>
    </row>
    <row r="66" spans="1:18" x14ac:dyDescent="0.3">
      <c r="A66" s="744">
        <v>74</v>
      </c>
      <c r="B66" s="755" t="s">
        <v>437</v>
      </c>
      <c r="C66" s="755" t="s">
        <v>488</v>
      </c>
      <c r="D66" s="755" t="s">
        <v>489</v>
      </c>
      <c r="E66" s="930" t="s">
        <v>239</v>
      </c>
      <c r="F66" s="931"/>
      <c r="G66" s="752">
        <v>0.97797453703703707</v>
      </c>
      <c r="H66" s="743" t="s">
        <v>352</v>
      </c>
      <c r="I66" s="932" t="s">
        <v>239</v>
      </c>
      <c r="J66" s="931"/>
      <c r="K66" s="932" t="s">
        <v>239</v>
      </c>
      <c r="L66" s="931"/>
      <c r="M66" s="752">
        <v>0.97906249999999995</v>
      </c>
      <c r="N66" s="743" t="s">
        <v>353</v>
      </c>
      <c r="O66" s="751"/>
      <c r="P66" s="743"/>
      <c r="Q66" s="751"/>
      <c r="R66" s="772"/>
    </row>
    <row r="67" spans="1:18" x14ac:dyDescent="0.3">
      <c r="A67" s="748">
        <v>75</v>
      </c>
      <c r="B67" s="755" t="s">
        <v>438</v>
      </c>
      <c r="C67" s="755" t="s">
        <v>488</v>
      </c>
      <c r="D67" s="755" t="s">
        <v>489</v>
      </c>
      <c r="E67" s="727">
        <v>0.98074074074074069</v>
      </c>
      <c r="F67" s="743" t="s">
        <v>439</v>
      </c>
      <c r="G67" s="752">
        <v>0.97748842592592589</v>
      </c>
      <c r="H67" s="743" t="s">
        <v>351</v>
      </c>
      <c r="I67" s="752">
        <v>0.9763425925925926</v>
      </c>
      <c r="J67" s="743" t="s">
        <v>475</v>
      </c>
      <c r="K67" s="751" t="s">
        <v>602</v>
      </c>
      <c r="L67" s="743" t="s">
        <v>351</v>
      </c>
      <c r="M67" s="928" t="s">
        <v>543</v>
      </c>
      <c r="N67" s="929"/>
      <c r="O67" s="751"/>
      <c r="P67" s="743"/>
      <c r="Q67" s="751"/>
      <c r="R67" s="772"/>
    </row>
    <row r="68" spans="1:18" x14ac:dyDescent="0.3">
      <c r="A68" s="746">
        <v>82382</v>
      </c>
      <c r="B68" s="755" t="s">
        <v>440</v>
      </c>
      <c r="C68" s="755" t="s">
        <v>488</v>
      </c>
      <c r="D68" s="755" t="s">
        <v>489</v>
      </c>
      <c r="E68" s="726"/>
      <c r="F68" s="743"/>
      <c r="G68" s="751"/>
      <c r="H68" s="743"/>
      <c r="I68" s="751"/>
      <c r="J68" s="743"/>
      <c r="K68" s="751"/>
      <c r="L68" s="743"/>
      <c r="M68" s="751"/>
      <c r="N68" s="743"/>
      <c r="O68" s="751"/>
      <c r="P68" s="743"/>
      <c r="Q68" s="751"/>
      <c r="R68" s="772"/>
    </row>
    <row r="69" spans="1:18" x14ac:dyDescent="0.3">
      <c r="A69" s="746">
        <v>82497</v>
      </c>
      <c r="B69" s="755" t="s">
        <v>441</v>
      </c>
      <c r="C69" s="755" t="s">
        <v>488</v>
      </c>
      <c r="D69" s="755" t="s">
        <v>489</v>
      </c>
      <c r="E69" s="726"/>
      <c r="F69" s="743"/>
      <c r="G69" s="751"/>
      <c r="H69" s="743" t="s">
        <v>512</v>
      </c>
      <c r="I69" s="751"/>
      <c r="J69" s="743" t="s">
        <v>417</v>
      </c>
      <c r="K69" s="751"/>
      <c r="L69" s="743"/>
      <c r="M69" s="751"/>
      <c r="N69"/>
      <c r="O69" s="751"/>
      <c r="P69" s="743"/>
      <c r="Q69" s="751"/>
      <c r="R69" s="772"/>
    </row>
    <row r="70" spans="1:18" x14ac:dyDescent="0.3">
      <c r="A70" s="746">
        <v>82589</v>
      </c>
      <c r="B70" s="755" t="s">
        <v>442</v>
      </c>
      <c r="C70" s="755" t="s">
        <v>488</v>
      </c>
      <c r="D70" s="755" t="s">
        <v>489</v>
      </c>
      <c r="E70" s="726"/>
      <c r="F70" s="743"/>
      <c r="G70" s="751"/>
      <c r="H70" s="743"/>
      <c r="I70" s="751"/>
      <c r="J70" s="743"/>
      <c r="K70" s="751"/>
      <c r="L70" s="743"/>
      <c r="M70" s="751"/>
      <c r="N70" s="743"/>
      <c r="O70" s="751"/>
      <c r="P70" s="743"/>
      <c r="Q70" s="751"/>
      <c r="R70" s="772"/>
    </row>
    <row r="71" spans="1:18" x14ac:dyDescent="0.3">
      <c r="A71" s="744">
        <v>89</v>
      </c>
      <c r="B71" s="755" t="s">
        <v>443</v>
      </c>
      <c r="C71" s="755" t="s">
        <v>488</v>
      </c>
      <c r="D71" s="755" t="s">
        <v>489</v>
      </c>
      <c r="E71" s="726" t="s">
        <v>408</v>
      </c>
      <c r="F71" s="745">
        <v>0.63821759259259259</v>
      </c>
      <c r="G71" s="751" t="s">
        <v>463</v>
      </c>
      <c r="H71" s="745">
        <v>0.71399305555555559</v>
      </c>
      <c r="I71" s="751" t="s">
        <v>467</v>
      </c>
      <c r="J71" s="745">
        <v>0.7096527777777778</v>
      </c>
      <c r="K71" s="751" t="s">
        <v>467</v>
      </c>
      <c r="L71" s="745">
        <v>0.7061574074074074</v>
      </c>
      <c r="M71" s="751" t="s">
        <v>467</v>
      </c>
      <c r="N71" s="745">
        <v>0.70614583333333336</v>
      </c>
      <c r="O71" s="751"/>
      <c r="P71" s="743"/>
      <c r="Q71" s="751"/>
      <c r="R71" s="772"/>
    </row>
    <row r="72" spans="1:18" x14ac:dyDescent="0.3">
      <c r="A72" s="744">
        <v>9</v>
      </c>
      <c r="B72" s="755" t="s">
        <v>444</v>
      </c>
      <c r="C72" s="755" t="s">
        <v>488</v>
      </c>
      <c r="D72" s="755" t="s">
        <v>489</v>
      </c>
      <c r="E72" s="930" t="s">
        <v>239</v>
      </c>
      <c r="F72" s="931"/>
      <c r="G72" s="752">
        <v>0.30626157407407406</v>
      </c>
      <c r="H72" s="745">
        <v>0.70973379629629629</v>
      </c>
      <c r="I72" s="752">
        <v>0.30357638888888888</v>
      </c>
      <c r="J72" s="745">
        <v>0.70909722222222227</v>
      </c>
      <c r="K72" s="751" t="s">
        <v>603</v>
      </c>
      <c r="L72" s="743" t="s">
        <v>604</v>
      </c>
      <c r="M72" s="752">
        <v>0.30741898148148145</v>
      </c>
      <c r="N72" s="743" t="s">
        <v>605</v>
      </c>
      <c r="O72" s="751"/>
      <c r="P72" s="743"/>
      <c r="Q72" s="751"/>
      <c r="R72" s="772"/>
    </row>
    <row r="73" spans="1:18" x14ac:dyDescent="0.3">
      <c r="A73" s="748">
        <v>91</v>
      </c>
      <c r="B73" s="755" t="s">
        <v>445</v>
      </c>
      <c r="C73" s="755" t="s">
        <v>488</v>
      </c>
      <c r="D73" s="755" t="s">
        <v>489</v>
      </c>
      <c r="E73" s="727">
        <v>0.96616898148148145</v>
      </c>
      <c r="F73" s="743" t="s">
        <v>439</v>
      </c>
      <c r="G73" s="752">
        <v>0.97226851851851848</v>
      </c>
      <c r="H73" s="743" t="s">
        <v>421</v>
      </c>
      <c r="I73" s="752">
        <v>0.97015046296296292</v>
      </c>
      <c r="J73" s="743" t="s">
        <v>492</v>
      </c>
      <c r="K73" s="928" t="s">
        <v>543</v>
      </c>
      <c r="L73" s="929"/>
      <c r="M73" s="751" t="s">
        <v>606</v>
      </c>
      <c r="N73" s="743"/>
      <c r="O73" s="751"/>
      <c r="P73" s="743"/>
      <c r="Q73" s="751"/>
      <c r="R73" s="772"/>
    </row>
    <row r="74" spans="1:18" x14ac:dyDescent="0.3">
      <c r="A74" s="747">
        <v>94</v>
      </c>
      <c r="B74" s="755" t="s">
        <v>446</v>
      </c>
      <c r="C74" s="755" t="s">
        <v>488</v>
      </c>
      <c r="D74" s="755" t="s">
        <v>489</v>
      </c>
      <c r="E74" s="726" t="s">
        <v>513</v>
      </c>
      <c r="F74" s="743" t="s">
        <v>491</v>
      </c>
      <c r="G74" s="751" t="s">
        <v>485</v>
      </c>
      <c r="H74" s="743" t="s">
        <v>470</v>
      </c>
      <c r="I74" s="751" t="s">
        <v>484</v>
      </c>
      <c r="J74" s="743" t="s">
        <v>352</v>
      </c>
      <c r="K74" s="751" t="s">
        <v>514</v>
      </c>
      <c r="L74" s="743" t="s">
        <v>515</v>
      </c>
      <c r="M74" s="751" t="s">
        <v>513</v>
      </c>
      <c r="N74" s="743" t="s">
        <v>491</v>
      </c>
      <c r="O74" s="751"/>
      <c r="P74" s="743"/>
      <c r="Q74" s="751"/>
      <c r="R74" s="772"/>
    </row>
    <row r="75" spans="1:18" x14ac:dyDescent="0.3">
      <c r="A75" s="744">
        <v>95</v>
      </c>
      <c r="B75" s="755" t="s">
        <v>447</v>
      </c>
      <c r="C75" s="755" t="s">
        <v>488</v>
      </c>
      <c r="D75" s="755" t="s">
        <v>489</v>
      </c>
      <c r="E75" s="726" t="s">
        <v>343</v>
      </c>
      <c r="F75" s="745">
        <v>0.70964120370370365</v>
      </c>
      <c r="G75" s="751" t="s">
        <v>384</v>
      </c>
      <c r="H75" s="745">
        <v>0.7103356481481482</v>
      </c>
      <c r="I75" s="751" t="s">
        <v>341</v>
      </c>
      <c r="J75" s="745">
        <v>0.70923611111111118</v>
      </c>
      <c r="K75" s="751" t="s">
        <v>385</v>
      </c>
      <c r="L75" s="745">
        <v>0.70798611111111109</v>
      </c>
      <c r="M75" s="751" t="s">
        <v>384</v>
      </c>
      <c r="N75" s="745">
        <v>0.70586805555555554</v>
      </c>
      <c r="O75" s="751"/>
      <c r="P75" s="743"/>
      <c r="Q75" s="751"/>
      <c r="R75" s="772"/>
    </row>
    <row r="76" spans="1:18" x14ac:dyDescent="0.3">
      <c r="A76" s="767">
        <v>97</v>
      </c>
      <c r="B76" s="749" t="s">
        <v>448</v>
      </c>
      <c r="C76" s="749" t="s">
        <v>488</v>
      </c>
      <c r="D76" s="749" t="s">
        <v>489</v>
      </c>
      <c r="E76" s="768">
        <v>0.36004629629629631</v>
      </c>
      <c r="F76" s="754">
        <v>0.69728009259259249</v>
      </c>
      <c r="G76" s="753">
        <v>0.35652777777777778</v>
      </c>
      <c r="H76" s="750" t="s">
        <v>516</v>
      </c>
      <c r="I76" s="753">
        <v>0.36590277777777774</v>
      </c>
      <c r="J76" s="754">
        <v>0.70559027777777772</v>
      </c>
      <c r="K76" s="753">
        <v>0.3558912037037037</v>
      </c>
      <c r="L76" s="750" t="s">
        <v>517</v>
      </c>
      <c r="M76" s="753">
        <v>0.35084490740740737</v>
      </c>
      <c r="N76" s="750" t="s">
        <v>461</v>
      </c>
      <c r="O76" s="771"/>
      <c r="P76" s="750"/>
      <c r="Q76" s="771"/>
      <c r="R76" s="773"/>
    </row>
    <row r="77" spans="1:18" x14ac:dyDescent="0.3"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6"/>
      <c r="P77" s="726"/>
      <c r="Q77" s="726"/>
    </row>
    <row r="78" spans="1:18" x14ac:dyDescent="0.3"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</row>
    <row r="79" spans="1:18" x14ac:dyDescent="0.3"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</row>
    <row r="80" spans="1:18" x14ac:dyDescent="0.3">
      <c r="E80" s="726"/>
      <c r="F80" s="726"/>
      <c r="G80" s="726"/>
      <c r="H80" s="726"/>
      <c r="I80" s="726"/>
      <c r="J80" s="726"/>
      <c r="K80" s="726"/>
      <c r="L80" s="726"/>
      <c r="M80" s="726"/>
      <c r="N80" s="726"/>
      <c r="O80" s="726"/>
      <c r="P80" s="726"/>
      <c r="Q80" s="726"/>
    </row>
    <row r="81" spans="5:17" x14ac:dyDescent="0.3"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6"/>
      <c r="P81" s="726"/>
      <c r="Q81" s="726"/>
    </row>
    <row r="82" spans="5:17" x14ac:dyDescent="0.3"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6"/>
      <c r="P82" s="726"/>
      <c r="Q82" s="726"/>
    </row>
    <row r="83" spans="5:17" x14ac:dyDescent="0.3"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</row>
    <row r="84" spans="5:17" x14ac:dyDescent="0.3"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</row>
    <row r="85" spans="5:17" x14ac:dyDescent="0.3">
      <c r="E85" s="726"/>
      <c r="F85" s="726"/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</row>
    <row r="86" spans="5:17" x14ac:dyDescent="0.3"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</row>
    <row r="87" spans="5:17" x14ac:dyDescent="0.3">
      <c r="E87" s="726"/>
      <c r="F87" s="726"/>
      <c r="G87" s="726"/>
      <c r="H87" s="726"/>
      <c r="I87" s="726"/>
      <c r="J87" s="726"/>
      <c r="K87" s="726"/>
      <c r="L87" s="726"/>
      <c r="M87" s="726"/>
      <c r="N87" s="726"/>
      <c r="O87" s="726"/>
      <c r="P87" s="726"/>
      <c r="Q87" s="726"/>
    </row>
    <row r="88" spans="5:17" x14ac:dyDescent="0.3">
      <c r="E88" s="726"/>
      <c r="F88" s="726"/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</row>
    <row r="89" spans="5:17" x14ac:dyDescent="0.3">
      <c r="E89" s="726"/>
      <c r="F89" s="726"/>
      <c r="G89" s="726"/>
      <c r="H89" s="726"/>
      <c r="I89" s="726"/>
      <c r="J89" s="726"/>
      <c r="K89" s="726"/>
      <c r="L89" s="726"/>
      <c r="M89" s="726"/>
      <c r="N89" s="726"/>
      <c r="O89" s="726"/>
      <c r="P89" s="726"/>
      <c r="Q89" s="726"/>
    </row>
    <row r="90" spans="5:17" x14ac:dyDescent="0.3"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6"/>
      <c r="P90" s="726"/>
      <c r="Q90" s="726"/>
    </row>
    <row r="91" spans="5:17" x14ac:dyDescent="0.3"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</row>
    <row r="92" spans="5:17" x14ac:dyDescent="0.3"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6"/>
      <c r="P92" s="726"/>
      <c r="Q92" s="726"/>
    </row>
    <row r="93" spans="5:17" x14ac:dyDescent="0.3"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6"/>
      <c r="P93" s="726"/>
      <c r="Q93" s="726"/>
    </row>
    <row r="94" spans="5:17" x14ac:dyDescent="0.3"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</row>
    <row r="95" spans="5:17" x14ac:dyDescent="0.3"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</row>
    <row r="96" spans="5:17" x14ac:dyDescent="0.3">
      <c r="E96" s="726"/>
      <c r="F96" s="726"/>
      <c r="G96" s="726"/>
      <c r="H96" s="726"/>
      <c r="I96" s="726"/>
      <c r="J96" s="726"/>
      <c r="K96" s="726"/>
      <c r="L96" s="726"/>
      <c r="M96" s="726"/>
      <c r="N96" s="726"/>
      <c r="O96" s="726"/>
      <c r="P96" s="726"/>
      <c r="Q96" s="726"/>
    </row>
    <row r="97" spans="5:17" x14ac:dyDescent="0.3">
      <c r="E97" s="726"/>
      <c r="F97" s="726"/>
      <c r="G97" s="726"/>
      <c r="H97" s="726"/>
      <c r="I97" s="726"/>
      <c r="J97" s="726"/>
      <c r="K97" s="726"/>
      <c r="L97" s="726"/>
      <c r="M97" s="726"/>
      <c r="N97" s="726"/>
      <c r="O97" s="726"/>
      <c r="P97" s="726"/>
      <c r="Q97" s="726"/>
    </row>
    <row r="98" spans="5:17" x14ac:dyDescent="0.3">
      <c r="E98" s="726"/>
      <c r="F98" s="726"/>
      <c r="G98" s="726"/>
      <c r="H98" s="726"/>
      <c r="I98" s="726"/>
      <c r="J98" s="726"/>
      <c r="K98" s="726"/>
      <c r="L98" s="726"/>
      <c r="M98" s="726"/>
      <c r="N98" s="726"/>
      <c r="O98" s="726"/>
      <c r="P98" s="726"/>
      <c r="Q98" s="726"/>
    </row>
    <row r="99" spans="5:17" x14ac:dyDescent="0.3"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</row>
    <row r="100" spans="5:17" x14ac:dyDescent="0.3"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</row>
    <row r="101" spans="5:17" x14ac:dyDescent="0.3">
      <c r="E101" s="726"/>
      <c r="F101" s="726"/>
      <c r="G101" s="726"/>
      <c r="H101" s="726"/>
      <c r="I101" s="726"/>
      <c r="J101" s="726"/>
      <c r="K101" s="726"/>
      <c r="L101" s="726"/>
      <c r="M101" s="726"/>
      <c r="N101" s="726"/>
      <c r="O101" s="726"/>
      <c r="P101" s="726"/>
      <c r="Q101" s="726"/>
    </row>
    <row r="102" spans="5:17" x14ac:dyDescent="0.3"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</row>
    <row r="103" spans="5:17" x14ac:dyDescent="0.3"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</row>
    <row r="104" spans="5:17" x14ac:dyDescent="0.3">
      <c r="E104" s="726"/>
      <c r="F104" s="726"/>
      <c r="G104" s="726"/>
      <c r="H104" s="726"/>
      <c r="I104" s="726"/>
      <c r="J104" s="726"/>
      <c r="K104" s="726"/>
      <c r="L104" s="726"/>
      <c r="M104" s="726"/>
      <c r="N104" s="726"/>
      <c r="O104" s="726"/>
      <c r="P104" s="726"/>
      <c r="Q104" s="726"/>
    </row>
    <row r="105" spans="5:17" x14ac:dyDescent="0.3">
      <c r="E105" s="726"/>
      <c r="F105" s="726"/>
      <c r="G105" s="726"/>
      <c r="H105" s="726"/>
      <c r="I105" s="726"/>
      <c r="J105" s="726"/>
      <c r="K105" s="726"/>
      <c r="L105" s="726"/>
      <c r="M105" s="726"/>
      <c r="N105" s="726"/>
      <c r="O105" s="726"/>
      <c r="P105" s="726"/>
      <c r="Q105" s="726"/>
    </row>
    <row r="106" spans="5:17" x14ac:dyDescent="0.3">
      <c r="E106" s="726"/>
      <c r="F106" s="726"/>
      <c r="G106" s="726"/>
      <c r="H106" s="726"/>
      <c r="I106" s="726"/>
      <c r="J106" s="726"/>
      <c r="K106" s="726"/>
      <c r="L106" s="726"/>
      <c r="M106" s="726"/>
      <c r="N106" s="726"/>
      <c r="O106" s="726"/>
      <c r="P106" s="726"/>
      <c r="Q106" s="726"/>
    </row>
  </sheetData>
  <mergeCells count="29">
    <mergeCell ref="A1:R1"/>
    <mergeCell ref="E12:F12"/>
    <mergeCell ref="G12:H12"/>
    <mergeCell ref="I12:J12"/>
    <mergeCell ref="K12:L12"/>
    <mergeCell ref="M12:N12"/>
    <mergeCell ref="M36:N36"/>
    <mergeCell ref="I56:J56"/>
    <mergeCell ref="M59:N59"/>
    <mergeCell ref="K18:L18"/>
    <mergeCell ref="M18:N18"/>
    <mergeCell ref="M29:N29"/>
    <mergeCell ref="I30:J30"/>
    <mergeCell ref="K30:L30"/>
    <mergeCell ref="M30:N30"/>
    <mergeCell ref="G21:H21"/>
    <mergeCell ref="E66:F66"/>
    <mergeCell ref="I66:J66"/>
    <mergeCell ref="K66:L66"/>
    <mergeCell ref="G33:H33"/>
    <mergeCell ref="E33:F33"/>
    <mergeCell ref="E23:F23"/>
    <mergeCell ref="E64:F64"/>
    <mergeCell ref="G64:H64"/>
    <mergeCell ref="M67:N67"/>
    <mergeCell ref="E72:F72"/>
    <mergeCell ref="K73:L73"/>
    <mergeCell ref="M65:N65"/>
    <mergeCell ref="K61:L61"/>
  </mergeCells>
  <pageMargins left="0.25" right="0.25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6"/>
  <sheetViews>
    <sheetView workbookViewId="0">
      <selection activeCell="K16" sqref="K16"/>
    </sheetView>
  </sheetViews>
  <sheetFormatPr baseColWidth="10" defaultRowHeight="14.4" x14ac:dyDescent="0.3"/>
  <cols>
    <col min="1" max="1" width="16" customWidth="1"/>
  </cols>
  <sheetData>
    <row r="1" spans="1:6" x14ac:dyDescent="0.3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</row>
    <row r="2" spans="1:6" x14ac:dyDescent="0.3">
      <c r="A2" s="629">
        <v>45641.978530092594</v>
      </c>
      <c r="B2">
        <v>542361075</v>
      </c>
      <c r="C2" t="s">
        <v>277</v>
      </c>
      <c r="D2" t="s">
        <v>257</v>
      </c>
      <c r="E2">
        <v>45</v>
      </c>
      <c r="F2" t="s">
        <v>258</v>
      </c>
    </row>
    <row r="3" spans="1:6" x14ac:dyDescent="0.3">
      <c r="A3" s="629">
        <v>45641.967002314814</v>
      </c>
      <c r="B3">
        <v>542361075</v>
      </c>
      <c r="C3" t="s">
        <v>277</v>
      </c>
      <c r="D3" t="s">
        <v>257</v>
      </c>
      <c r="E3">
        <v>94</v>
      </c>
      <c r="F3" t="s">
        <v>258</v>
      </c>
    </row>
    <row r="4" spans="1:6" x14ac:dyDescent="0.3">
      <c r="A4" s="629">
        <v>45641.757187499999</v>
      </c>
      <c r="B4">
        <v>542361075</v>
      </c>
      <c r="C4" t="s">
        <v>277</v>
      </c>
      <c r="D4" t="s">
        <v>257</v>
      </c>
      <c r="E4">
        <v>34</v>
      </c>
      <c r="F4" t="s">
        <v>258</v>
      </c>
    </row>
    <row r="5" spans="1:6" x14ac:dyDescent="0.3">
      <c r="A5" s="629">
        <v>45641.754236111112</v>
      </c>
      <c r="B5">
        <v>542361075</v>
      </c>
      <c r="C5" t="s">
        <v>277</v>
      </c>
      <c r="F5" t="s">
        <v>311</v>
      </c>
    </row>
    <row r="6" spans="1:6" x14ac:dyDescent="0.3">
      <c r="A6" s="629">
        <v>45641.752245370371</v>
      </c>
      <c r="B6">
        <v>542361075</v>
      </c>
      <c r="C6" t="s">
        <v>277</v>
      </c>
      <c r="F6" t="s">
        <v>311</v>
      </c>
    </row>
    <row r="7" spans="1:6" x14ac:dyDescent="0.3">
      <c r="A7" s="629">
        <v>45641.752025462964</v>
      </c>
      <c r="B7">
        <v>542361075</v>
      </c>
      <c r="C7" t="s">
        <v>277</v>
      </c>
      <c r="F7" t="s">
        <v>451</v>
      </c>
    </row>
    <row r="8" spans="1:6" x14ac:dyDescent="0.3">
      <c r="A8" s="629">
        <v>45641.752013888887</v>
      </c>
      <c r="B8">
        <v>542361075</v>
      </c>
      <c r="C8" t="s">
        <v>277</v>
      </c>
      <c r="F8" t="s">
        <v>452</v>
      </c>
    </row>
    <row r="9" spans="1:6" x14ac:dyDescent="0.3">
      <c r="A9" s="629">
        <v>45641.751967592594</v>
      </c>
      <c r="B9">
        <v>542361075</v>
      </c>
      <c r="C9" t="s">
        <v>277</v>
      </c>
      <c r="F9" t="s">
        <v>451</v>
      </c>
    </row>
    <row r="10" spans="1:6" x14ac:dyDescent="0.3">
      <c r="A10" s="629">
        <v>45641.751817129632</v>
      </c>
      <c r="B10">
        <v>542361075</v>
      </c>
      <c r="C10" t="s">
        <v>277</v>
      </c>
      <c r="F10" t="s">
        <v>452</v>
      </c>
    </row>
    <row r="11" spans="1:6" x14ac:dyDescent="0.3">
      <c r="A11" s="629">
        <v>45641.751736111109</v>
      </c>
      <c r="B11">
        <v>542361075</v>
      </c>
      <c r="C11" t="s">
        <v>277</v>
      </c>
      <c r="F11" t="s">
        <v>449</v>
      </c>
    </row>
    <row r="12" spans="1:6" x14ac:dyDescent="0.3">
      <c r="A12" s="629">
        <v>45641.751620370371</v>
      </c>
      <c r="B12">
        <v>542361075</v>
      </c>
      <c r="C12" t="s">
        <v>277</v>
      </c>
      <c r="F12" t="s">
        <v>311</v>
      </c>
    </row>
    <row r="13" spans="1:6" x14ac:dyDescent="0.3">
      <c r="A13" s="629">
        <v>45641.751597222225</v>
      </c>
      <c r="B13">
        <v>542361075</v>
      </c>
      <c r="C13" t="s">
        <v>277</v>
      </c>
      <c r="F13" t="s">
        <v>450</v>
      </c>
    </row>
    <row r="14" spans="1:6" x14ac:dyDescent="0.3">
      <c r="A14" s="629">
        <v>45641.751597222225</v>
      </c>
      <c r="B14">
        <v>542361075</v>
      </c>
      <c r="C14" t="s">
        <v>277</v>
      </c>
      <c r="F14" t="s">
        <v>451</v>
      </c>
    </row>
    <row r="15" spans="1:6" x14ac:dyDescent="0.3">
      <c r="A15" s="629">
        <v>45641.746064814812</v>
      </c>
      <c r="B15">
        <v>542361075</v>
      </c>
      <c r="C15" t="s">
        <v>277</v>
      </c>
      <c r="F15" t="s">
        <v>449</v>
      </c>
    </row>
    <row r="16" spans="1:6" x14ac:dyDescent="0.3">
      <c r="A16" s="629">
        <v>45641.74596064815</v>
      </c>
      <c r="B16">
        <v>542361075</v>
      </c>
      <c r="C16" t="s">
        <v>277</v>
      </c>
      <c r="F16" t="s">
        <v>311</v>
      </c>
    </row>
    <row r="17" spans="1:6" x14ac:dyDescent="0.3">
      <c r="A17" s="629">
        <v>45641.745937500003</v>
      </c>
      <c r="B17">
        <v>542361075</v>
      </c>
      <c r="C17" t="s">
        <v>277</v>
      </c>
      <c r="F17" t="s">
        <v>450</v>
      </c>
    </row>
    <row r="18" spans="1:6" x14ac:dyDescent="0.3">
      <c r="A18" s="629">
        <v>45641.745925925927</v>
      </c>
      <c r="B18">
        <v>542361075</v>
      </c>
      <c r="C18" t="s">
        <v>277</v>
      </c>
      <c r="F18" t="s">
        <v>451</v>
      </c>
    </row>
    <row r="19" spans="1:6" x14ac:dyDescent="0.3">
      <c r="A19" s="629">
        <v>45641.688263888886</v>
      </c>
      <c r="B19">
        <v>542361075</v>
      </c>
      <c r="C19" t="s">
        <v>277</v>
      </c>
      <c r="D19" t="s">
        <v>257</v>
      </c>
      <c r="E19">
        <v>34</v>
      </c>
      <c r="F19" t="s">
        <v>258</v>
      </c>
    </row>
    <row r="20" spans="1:6" x14ac:dyDescent="0.3">
      <c r="A20" s="629">
        <v>45641.55572916667</v>
      </c>
      <c r="B20">
        <v>542361075</v>
      </c>
      <c r="C20" t="s">
        <v>277</v>
      </c>
      <c r="F20" t="s">
        <v>449</v>
      </c>
    </row>
    <row r="21" spans="1:6" x14ac:dyDescent="0.3">
      <c r="A21" s="629">
        <v>45641.555613425924</v>
      </c>
      <c r="B21">
        <v>542361075</v>
      </c>
      <c r="C21" t="s">
        <v>277</v>
      </c>
      <c r="F21" t="s">
        <v>311</v>
      </c>
    </row>
    <row r="22" spans="1:6" x14ac:dyDescent="0.3">
      <c r="A22" s="629">
        <v>45641.555590277778</v>
      </c>
      <c r="B22">
        <v>542361075</v>
      </c>
      <c r="C22" t="s">
        <v>277</v>
      </c>
      <c r="F22" t="s">
        <v>450</v>
      </c>
    </row>
    <row r="23" spans="1:6" x14ac:dyDescent="0.3">
      <c r="A23" s="629">
        <v>45641.555590277778</v>
      </c>
      <c r="B23">
        <v>542361075</v>
      </c>
      <c r="C23" t="s">
        <v>277</v>
      </c>
      <c r="F23" t="s">
        <v>451</v>
      </c>
    </row>
    <row r="24" spans="1:6" x14ac:dyDescent="0.3">
      <c r="A24" s="629">
        <v>45641.503599537034</v>
      </c>
      <c r="B24">
        <v>542361075</v>
      </c>
      <c r="C24" t="s">
        <v>277</v>
      </c>
      <c r="D24" t="s">
        <v>257</v>
      </c>
      <c r="E24">
        <v>63</v>
      </c>
      <c r="F24" t="s">
        <v>258</v>
      </c>
    </row>
    <row r="25" spans="1:6" x14ac:dyDescent="0.3">
      <c r="A25" s="629">
        <v>45641.325972222221</v>
      </c>
      <c r="B25">
        <v>542361075</v>
      </c>
      <c r="C25" t="s">
        <v>277</v>
      </c>
      <c r="D25" t="s">
        <v>257</v>
      </c>
      <c r="E25">
        <v>35</v>
      </c>
      <c r="F25" t="s">
        <v>258</v>
      </c>
    </row>
    <row r="26" spans="1:6" x14ac:dyDescent="0.3">
      <c r="A26" s="629">
        <v>45641.323888888888</v>
      </c>
      <c r="B26">
        <v>542361075</v>
      </c>
      <c r="C26" t="s">
        <v>277</v>
      </c>
      <c r="D26" t="s">
        <v>257</v>
      </c>
      <c r="E26">
        <v>94</v>
      </c>
      <c r="F26" t="s">
        <v>258</v>
      </c>
    </row>
    <row r="27" spans="1:6" x14ac:dyDescent="0.3">
      <c r="A27" s="629">
        <v>45641.323819444442</v>
      </c>
      <c r="B27">
        <v>542361075</v>
      </c>
      <c r="C27" t="s">
        <v>277</v>
      </c>
      <c r="D27" t="s">
        <v>257</v>
      </c>
      <c r="E27">
        <v>45</v>
      </c>
      <c r="F27" t="s">
        <v>258</v>
      </c>
    </row>
    <row r="28" spans="1:6" x14ac:dyDescent="0.3">
      <c r="A28" s="629">
        <v>45641.315694444442</v>
      </c>
      <c r="B28">
        <v>542361075</v>
      </c>
      <c r="C28" t="s">
        <v>277</v>
      </c>
      <c r="D28" t="s">
        <v>257</v>
      </c>
      <c r="E28">
        <v>63</v>
      </c>
      <c r="F28" t="s">
        <v>258</v>
      </c>
    </row>
    <row r="29" spans="1:6" x14ac:dyDescent="0.3">
      <c r="A29" s="629">
        <v>45641.314722222225</v>
      </c>
      <c r="B29">
        <v>542361075</v>
      </c>
      <c r="C29" t="s">
        <v>277</v>
      </c>
      <c r="D29" t="s">
        <v>257</v>
      </c>
      <c r="E29">
        <v>227</v>
      </c>
      <c r="F29" t="s">
        <v>258</v>
      </c>
    </row>
    <row r="30" spans="1:6" x14ac:dyDescent="0.3">
      <c r="A30" s="629">
        <v>45641.16777777778</v>
      </c>
      <c r="B30">
        <v>542361075</v>
      </c>
      <c r="C30" t="s">
        <v>277</v>
      </c>
      <c r="D30" t="s">
        <v>257</v>
      </c>
      <c r="E30">
        <v>94</v>
      </c>
      <c r="F30" t="s">
        <v>258</v>
      </c>
    </row>
    <row r="31" spans="1:6" x14ac:dyDescent="0.3">
      <c r="A31" s="629">
        <v>45641.146921296298</v>
      </c>
      <c r="B31">
        <v>542361075</v>
      </c>
      <c r="C31" t="s">
        <v>277</v>
      </c>
      <c r="D31" t="s">
        <v>257</v>
      </c>
      <c r="E31">
        <v>94</v>
      </c>
      <c r="F31" t="s">
        <v>258</v>
      </c>
    </row>
    <row r="32" spans="1:6" x14ac:dyDescent="0.3">
      <c r="A32" s="629">
        <v>45641.145277777781</v>
      </c>
      <c r="B32">
        <v>542361075</v>
      </c>
      <c r="C32" t="s">
        <v>277</v>
      </c>
      <c r="D32" t="s">
        <v>257</v>
      </c>
      <c r="E32">
        <v>227</v>
      </c>
      <c r="F32" t="s">
        <v>258</v>
      </c>
    </row>
    <row r="33" spans="1:6" x14ac:dyDescent="0.3">
      <c r="A33" s="629">
        <v>45641.123113425929</v>
      </c>
      <c r="B33">
        <v>542361075</v>
      </c>
      <c r="C33" t="s">
        <v>277</v>
      </c>
      <c r="D33" t="s">
        <v>257</v>
      </c>
      <c r="E33">
        <v>227</v>
      </c>
      <c r="F33" t="s">
        <v>258</v>
      </c>
    </row>
    <row r="34" spans="1:6" x14ac:dyDescent="0.3">
      <c r="A34" s="629">
        <v>45641.014861111114</v>
      </c>
      <c r="B34">
        <v>542361075</v>
      </c>
      <c r="C34" t="s">
        <v>277</v>
      </c>
      <c r="D34" t="s">
        <v>257</v>
      </c>
      <c r="E34">
        <v>94</v>
      </c>
      <c r="F34" t="s">
        <v>258</v>
      </c>
    </row>
    <row r="35" spans="1:6" x14ac:dyDescent="0.3">
      <c r="A35" s="629">
        <v>45640.981631944444</v>
      </c>
      <c r="B35">
        <v>542361075</v>
      </c>
      <c r="C35" t="s">
        <v>277</v>
      </c>
      <c r="D35" t="s">
        <v>257</v>
      </c>
      <c r="E35">
        <v>227</v>
      </c>
      <c r="F35" t="s">
        <v>258</v>
      </c>
    </row>
    <row r="36" spans="1:6" x14ac:dyDescent="0.3">
      <c r="A36" s="629">
        <v>45640.97283564815</v>
      </c>
      <c r="B36">
        <v>542361075</v>
      </c>
      <c r="C36" t="s">
        <v>277</v>
      </c>
      <c r="D36" t="s">
        <v>257</v>
      </c>
      <c r="E36">
        <v>45</v>
      </c>
      <c r="F36" t="s">
        <v>258</v>
      </c>
    </row>
    <row r="37" spans="1:6" x14ac:dyDescent="0.3">
      <c r="A37" s="629">
        <v>45640.857835648145</v>
      </c>
      <c r="B37">
        <v>542361075</v>
      </c>
      <c r="C37" t="s">
        <v>277</v>
      </c>
      <c r="D37" t="s">
        <v>257</v>
      </c>
      <c r="E37">
        <v>226</v>
      </c>
      <c r="F37" t="s">
        <v>258</v>
      </c>
    </row>
    <row r="38" spans="1:6" x14ac:dyDescent="0.3">
      <c r="A38" s="629">
        <v>45640.857731481483</v>
      </c>
      <c r="B38">
        <v>542361075</v>
      </c>
      <c r="C38" t="s">
        <v>277</v>
      </c>
      <c r="D38" t="s">
        <v>257</v>
      </c>
      <c r="E38">
        <v>232</v>
      </c>
      <c r="F38" t="s">
        <v>258</v>
      </c>
    </row>
    <row r="39" spans="1:6" x14ac:dyDescent="0.3">
      <c r="A39" s="629">
        <v>45640.857662037037</v>
      </c>
      <c r="B39">
        <v>542361075</v>
      </c>
      <c r="C39" t="s">
        <v>277</v>
      </c>
      <c r="D39" t="s">
        <v>257</v>
      </c>
      <c r="E39">
        <v>235</v>
      </c>
      <c r="F39" t="s">
        <v>258</v>
      </c>
    </row>
    <row r="40" spans="1:6" x14ac:dyDescent="0.3">
      <c r="A40" s="629">
        <v>45640.857627314814</v>
      </c>
      <c r="B40">
        <v>542361075</v>
      </c>
      <c r="C40" t="s">
        <v>277</v>
      </c>
      <c r="D40" t="s">
        <v>257</v>
      </c>
      <c r="E40">
        <v>69</v>
      </c>
      <c r="F40" t="s">
        <v>258</v>
      </c>
    </row>
    <row r="41" spans="1:6" x14ac:dyDescent="0.3">
      <c r="A41" s="629">
        <v>45640.857199074075</v>
      </c>
      <c r="B41">
        <v>542361075</v>
      </c>
      <c r="C41" t="s">
        <v>277</v>
      </c>
      <c r="D41" t="s">
        <v>257</v>
      </c>
      <c r="E41">
        <v>207</v>
      </c>
      <c r="F41" t="s">
        <v>258</v>
      </c>
    </row>
    <row r="42" spans="1:6" x14ac:dyDescent="0.3">
      <c r="A42" s="629">
        <v>45640.857141203705</v>
      </c>
      <c r="B42">
        <v>542361075</v>
      </c>
      <c r="C42" t="s">
        <v>277</v>
      </c>
      <c r="D42" t="s">
        <v>257</v>
      </c>
      <c r="E42">
        <v>132</v>
      </c>
      <c r="F42" t="s">
        <v>258</v>
      </c>
    </row>
    <row r="43" spans="1:6" x14ac:dyDescent="0.3">
      <c r="A43" s="629">
        <v>45640.856689814813</v>
      </c>
      <c r="B43">
        <v>542361075</v>
      </c>
      <c r="C43" t="s">
        <v>277</v>
      </c>
      <c r="D43" t="s">
        <v>257</v>
      </c>
      <c r="E43">
        <v>250</v>
      </c>
      <c r="F43" t="s">
        <v>258</v>
      </c>
    </row>
    <row r="44" spans="1:6" x14ac:dyDescent="0.3">
      <c r="A44" s="629">
        <v>45640.856261574074</v>
      </c>
      <c r="B44">
        <v>542361075</v>
      </c>
      <c r="C44" t="s">
        <v>277</v>
      </c>
      <c r="D44" t="s">
        <v>257</v>
      </c>
      <c r="E44">
        <v>107</v>
      </c>
      <c r="F44" t="s">
        <v>258</v>
      </c>
    </row>
    <row r="45" spans="1:6" x14ac:dyDescent="0.3">
      <c r="A45" s="629">
        <v>45640.797326388885</v>
      </c>
      <c r="B45">
        <v>542361075</v>
      </c>
      <c r="C45" t="s">
        <v>277</v>
      </c>
      <c r="F45" t="s">
        <v>311</v>
      </c>
    </row>
    <row r="46" spans="1:6" x14ac:dyDescent="0.3">
      <c r="A46" s="629">
        <v>45640.793958333335</v>
      </c>
      <c r="B46">
        <v>542361075</v>
      </c>
      <c r="C46" t="s">
        <v>277</v>
      </c>
      <c r="F46" t="s">
        <v>451</v>
      </c>
    </row>
    <row r="47" spans="1:6" x14ac:dyDescent="0.3">
      <c r="A47" s="629">
        <v>45640.793946759259</v>
      </c>
      <c r="B47">
        <v>542361075</v>
      </c>
      <c r="C47" t="s">
        <v>277</v>
      </c>
      <c r="F47" t="s">
        <v>452</v>
      </c>
    </row>
    <row r="48" spans="1:6" x14ac:dyDescent="0.3">
      <c r="A48" s="629">
        <v>45640.729178240741</v>
      </c>
      <c r="B48">
        <v>542361075</v>
      </c>
      <c r="C48" t="s">
        <v>277</v>
      </c>
      <c r="D48" t="s">
        <v>257</v>
      </c>
      <c r="E48">
        <v>63</v>
      </c>
      <c r="F48" t="s">
        <v>258</v>
      </c>
    </row>
    <row r="49" spans="1:6" x14ac:dyDescent="0.3">
      <c r="A49" s="629">
        <v>45640.650127314817</v>
      </c>
      <c r="B49">
        <v>542361075</v>
      </c>
      <c r="C49" t="s">
        <v>277</v>
      </c>
      <c r="D49" t="s">
        <v>257</v>
      </c>
      <c r="E49">
        <v>69</v>
      </c>
      <c r="F49" t="s">
        <v>258</v>
      </c>
    </row>
    <row r="50" spans="1:6" x14ac:dyDescent="0.3">
      <c r="A50" s="629">
        <v>45640.647974537038</v>
      </c>
      <c r="B50">
        <v>542361075</v>
      </c>
      <c r="C50" t="s">
        <v>277</v>
      </c>
      <c r="D50" t="s">
        <v>257</v>
      </c>
      <c r="E50">
        <v>230</v>
      </c>
      <c r="F50" t="s">
        <v>258</v>
      </c>
    </row>
    <row r="51" spans="1:6" x14ac:dyDescent="0.3">
      <c r="A51" s="629">
        <v>45640.647870370369</v>
      </c>
      <c r="B51">
        <v>542361075</v>
      </c>
      <c r="C51" t="s">
        <v>277</v>
      </c>
      <c r="D51" t="s">
        <v>257</v>
      </c>
      <c r="E51">
        <v>239</v>
      </c>
      <c r="F51" t="s">
        <v>258</v>
      </c>
    </row>
    <row r="52" spans="1:6" x14ac:dyDescent="0.3">
      <c r="A52" s="629">
        <v>45640.647812499999</v>
      </c>
      <c r="B52">
        <v>542361075</v>
      </c>
      <c r="C52" t="s">
        <v>277</v>
      </c>
      <c r="D52" t="s">
        <v>257</v>
      </c>
      <c r="E52">
        <v>73</v>
      </c>
      <c r="F52" t="s">
        <v>258</v>
      </c>
    </row>
    <row r="53" spans="1:6" x14ac:dyDescent="0.3">
      <c r="A53" s="629">
        <v>45640.647696759261</v>
      </c>
      <c r="B53">
        <v>542361075</v>
      </c>
      <c r="C53" t="s">
        <v>277</v>
      </c>
      <c r="D53" t="s">
        <v>257</v>
      </c>
      <c r="E53">
        <v>241</v>
      </c>
      <c r="F53" t="s">
        <v>258</v>
      </c>
    </row>
    <row r="54" spans="1:6" x14ac:dyDescent="0.3">
      <c r="A54" s="629">
        <v>45640.647465277776</v>
      </c>
      <c r="B54">
        <v>542361075</v>
      </c>
      <c r="C54" t="s">
        <v>277</v>
      </c>
      <c r="D54" t="s">
        <v>257</v>
      </c>
      <c r="E54">
        <v>232</v>
      </c>
      <c r="F54" t="s">
        <v>258</v>
      </c>
    </row>
    <row r="55" spans="1:6" x14ac:dyDescent="0.3">
      <c r="A55" s="629">
        <v>45640.647418981483</v>
      </c>
      <c r="B55">
        <v>542361075</v>
      </c>
      <c r="C55" t="s">
        <v>277</v>
      </c>
      <c r="D55" t="s">
        <v>257</v>
      </c>
      <c r="E55">
        <v>207</v>
      </c>
      <c r="F55" t="s">
        <v>258</v>
      </c>
    </row>
    <row r="56" spans="1:6" x14ac:dyDescent="0.3">
      <c r="A56" s="629">
        <v>45640.646018518521</v>
      </c>
      <c r="B56">
        <v>542361075</v>
      </c>
      <c r="C56" t="s">
        <v>277</v>
      </c>
      <c r="D56" t="s">
        <v>257</v>
      </c>
      <c r="E56">
        <v>235</v>
      </c>
      <c r="F56" t="s">
        <v>258</v>
      </c>
    </row>
    <row r="57" spans="1:6" x14ac:dyDescent="0.3">
      <c r="A57" s="629">
        <v>45640.645879629628</v>
      </c>
      <c r="B57">
        <v>542361075</v>
      </c>
      <c r="C57" t="s">
        <v>277</v>
      </c>
      <c r="D57" t="s">
        <v>257</v>
      </c>
      <c r="E57">
        <v>226</v>
      </c>
      <c r="F57" t="s">
        <v>258</v>
      </c>
    </row>
    <row r="58" spans="1:6" x14ac:dyDescent="0.3">
      <c r="A58" s="629">
        <v>45640.64570601852</v>
      </c>
      <c r="B58">
        <v>542361075</v>
      </c>
      <c r="C58" t="s">
        <v>277</v>
      </c>
      <c r="D58" t="s">
        <v>257</v>
      </c>
      <c r="E58">
        <v>107</v>
      </c>
      <c r="F58" t="s">
        <v>258</v>
      </c>
    </row>
    <row r="59" spans="1:6" x14ac:dyDescent="0.3">
      <c r="A59" s="629">
        <v>45640.639976851853</v>
      </c>
      <c r="B59">
        <v>542361075</v>
      </c>
      <c r="C59" t="s">
        <v>277</v>
      </c>
      <c r="D59" t="s">
        <v>257</v>
      </c>
      <c r="E59">
        <v>250</v>
      </c>
      <c r="F59" t="s">
        <v>258</v>
      </c>
    </row>
    <row r="60" spans="1:6" x14ac:dyDescent="0.3">
      <c r="A60" s="629">
        <v>45640.326539351852</v>
      </c>
      <c r="B60">
        <v>542361075</v>
      </c>
      <c r="C60" t="s">
        <v>277</v>
      </c>
      <c r="D60" t="s">
        <v>257</v>
      </c>
      <c r="E60">
        <v>35</v>
      </c>
      <c r="F60" t="s">
        <v>258</v>
      </c>
    </row>
    <row r="61" spans="1:6" x14ac:dyDescent="0.3">
      <c r="A61" s="629">
        <v>45640.323263888888</v>
      </c>
      <c r="B61">
        <v>542361075</v>
      </c>
      <c r="C61" t="s">
        <v>277</v>
      </c>
      <c r="D61" t="s">
        <v>257</v>
      </c>
      <c r="E61">
        <v>239</v>
      </c>
      <c r="F61" t="s">
        <v>258</v>
      </c>
    </row>
    <row r="62" spans="1:6" x14ac:dyDescent="0.3">
      <c r="A62" s="629">
        <v>45640.323217592595</v>
      </c>
      <c r="B62">
        <v>542361075</v>
      </c>
      <c r="C62" t="s">
        <v>277</v>
      </c>
      <c r="D62" t="s">
        <v>257</v>
      </c>
      <c r="E62">
        <v>230</v>
      </c>
      <c r="F62" t="s">
        <v>258</v>
      </c>
    </row>
    <row r="63" spans="1:6" x14ac:dyDescent="0.3">
      <c r="A63" s="629">
        <v>45640.322060185186</v>
      </c>
      <c r="B63">
        <v>542361075</v>
      </c>
      <c r="C63" t="s">
        <v>277</v>
      </c>
      <c r="D63" t="s">
        <v>257</v>
      </c>
      <c r="E63">
        <v>33</v>
      </c>
      <c r="F63" t="s">
        <v>258</v>
      </c>
    </row>
    <row r="64" spans="1:6" x14ac:dyDescent="0.3">
      <c r="A64" s="629">
        <v>45640.318842592591</v>
      </c>
      <c r="B64">
        <v>542361075</v>
      </c>
      <c r="C64" t="s">
        <v>277</v>
      </c>
      <c r="D64" t="s">
        <v>257</v>
      </c>
      <c r="E64">
        <v>94</v>
      </c>
      <c r="F64" t="s">
        <v>258</v>
      </c>
    </row>
    <row r="65" spans="1:6" x14ac:dyDescent="0.3">
      <c r="A65" s="629">
        <v>45640.316342592596</v>
      </c>
      <c r="B65">
        <v>542361075</v>
      </c>
      <c r="C65" t="s">
        <v>277</v>
      </c>
      <c r="D65" t="s">
        <v>257</v>
      </c>
      <c r="E65">
        <v>45</v>
      </c>
      <c r="F65" t="s">
        <v>258</v>
      </c>
    </row>
    <row r="66" spans="1:6" x14ac:dyDescent="0.3">
      <c r="A66" s="629">
        <v>45640.316238425927</v>
      </c>
      <c r="B66">
        <v>542361075</v>
      </c>
      <c r="C66" t="s">
        <v>277</v>
      </c>
      <c r="D66" t="s">
        <v>257</v>
      </c>
      <c r="E66">
        <v>27</v>
      </c>
      <c r="F66" t="s">
        <v>258</v>
      </c>
    </row>
    <row r="67" spans="1:6" x14ac:dyDescent="0.3">
      <c r="A67" s="629">
        <v>45640.315324074072</v>
      </c>
      <c r="B67">
        <v>542361075</v>
      </c>
      <c r="C67" t="s">
        <v>277</v>
      </c>
      <c r="D67" t="s">
        <v>257</v>
      </c>
      <c r="E67">
        <v>63</v>
      </c>
      <c r="F67" t="s">
        <v>258</v>
      </c>
    </row>
    <row r="68" spans="1:6" x14ac:dyDescent="0.3">
      <c r="A68" s="629">
        <v>45640.313761574071</v>
      </c>
      <c r="B68">
        <v>542361075</v>
      </c>
      <c r="C68" t="s">
        <v>277</v>
      </c>
      <c r="D68" t="s">
        <v>257</v>
      </c>
      <c r="E68">
        <v>223</v>
      </c>
      <c r="F68" t="s">
        <v>258</v>
      </c>
    </row>
    <row r="69" spans="1:6" x14ac:dyDescent="0.3">
      <c r="A69" s="629">
        <v>45640.313576388886</v>
      </c>
      <c r="B69">
        <v>542361075</v>
      </c>
      <c r="C69" t="s">
        <v>277</v>
      </c>
      <c r="D69" t="s">
        <v>257</v>
      </c>
      <c r="E69">
        <v>14</v>
      </c>
      <c r="F69" t="s">
        <v>258</v>
      </c>
    </row>
    <row r="70" spans="1:6" x14ac:dyDescent="0.3">
      <c r="A70" s="629">
        <v>45640.313402777778</v>
      </c>
      <c r="B70">
        <v>542361075</v>
      </c>
      <c r="C70" t="s">
        <v>277</v>
      </c>
      <c r="D70" t="s">
        <v>257</v>
      </c>
      <c r="E70">
        <v>135</v>
      </c>
      <c r="F70" t="s">
        <v>258</v>
      </c>
    </row>
    <row r="71" spans="1:6" x14ac:dyDescent="0.3">
      <c r="A71" s="629">
        <v>45640.313344907408</v>
      </c>
      <c r="B71">
        <v>542361075</v>
      </c>
      <c r="C71" t="s">
        <v>277</v>
      </c>
      <c r="D71" t="s">
        <v>257</v>
      </c>
      <c r="E71">
        <v>251</v>
      </c>
      <c r="F71" t="s">
        <v>258</v>
      </c>
    </row>
    <row r="72" spans="1:6" x14ac:dyDescent="0.3">
      <c r="A72" s="629">
        <v>45640.313310185185</v>
      </c>
      <c r="B72">
        <v>542361075</v>
      </c>
      <c r="C72" t="s">
        <v>277</v>
      </c>
      <c r="D72" t="s">
        <v>257</v>
      </c>
      <c r="E72">
        <v>227</v>
      </c>
      <c r="F72" t="s">
        <v>258</v>
      </c>
    </row>
    <row r="73" spans="1:6" x14ac:dyDescent="0.3">
      <c r="A73" s="629">
        <v>45640.313148148147</v>
      </c>
      <c r="B73">
        <v>542361075</v>
      </c>
      <c r="C73" t="s">
        <v>277</v>
      </c>
      <c r="D73" t="s">
        <v>257</v>
      </c>
      <c r="E73">
        <v>158</v>
      </c>
      <c r="F73" t="s">
        <v>258</v>
      </c>
    </row>
    <row r="74" spans="1:6" x14ac:dyDescent="0.3">
      <c r="A74" s="629">
        <v>45640.313113425924</v>
      </c>
      <c r="B74">
        <v>542361075</v>
      </c>
      <c r="C74" t="s">
        <v>277</v>
      </c>
      <c r="D74" t="s">
        <v>257</v>
      </c>
      <c r="E74">
        <v>37</v>
      </c>
      <c r="F74" t="s">
        <v>258</v>
      </c>
    </row>
    <row r="75" spans="1:6" x14ac:dyDescent="0.3">
      <c r="A75" s="629">
        <v>45640.313078703701</v>
      </c>
      <c r="B75">
        <v>542361075</v>
      </c>
      <c r="C75" t="s">
        <v>277</v>
      </c>
      <c r="D75" t="s">
        <v>257</v>
      </c>
      <c r="E75">
        <v>74</v>
      </c>
      <c r="F75" t="s">
        <v>258</v>
      </c>
    </row>
    <row r="76" spans="1:6" x14ac:dyDescent="0.3">
      <c r="A76" s="629">
        <v>45640.313020833331</v>
      </c>
      <c r="B76">
        <v>542361075</v>
      </c>
      <c r="C76" t="s">
        <v>277</v>
      </c>
      <c r="D76" t="s">
        <v>257</v>
      </c>
      <c r="E76">
        <v>29</v>
      </c>
      <c r="F76" t="s">
        <v>258</v>
      </c>
    </row>
    <row r="77" spans="1:6" x14ac:dyDescent="0.3">
      <c r="A77" s="629">
        <v>45640.312939814816</v>
      </c>
      <c r="B77">
        <v>542361075</v>
      </c>
      <c r="C77" t="s">
        <v>277</v>
      </c>
      <c r="D77" t="s">
        <v>257</v>
      </c>
      <c r="E77">
        <v>181</v>
      </c>
      <c r="F77" t="s">
        <v>258</v>
      </c>
    </row>
    <row r="78" spans="1:6" x14ac:dyDescent="0.3">
      <c r="A78" s="629">
        <v>45640.31287037037</v>
      </c>
      <c r="B78">
        <v>542361075</v>
      </c>
      <c r="C78" t="s">
        <v>277</v>
      </c>
      <c r="D78" t="s">
        <v>257</v>
      </c>
      <c r="E78">
        <v>210</v>
      </c>
      <c r="F78" t="s">
        <v>258</v>
      </c>
    </row>
    <row r="79" spans="1:6" x14ac:dyDescent="0.3">
      <c r="A79" s="629">
        <v>45640.312789351854</v>
      </c>
      <c r="B79">
        <v>542361075</v>
      </c>
      <c r="C79" t="s">
        <v>277</v>
      </c>
      <c r="D79" t="s">
        <v>257</v>
      </c>
      <c r="E79">
        <v>214</v>
      </c>
      <c r="F79" t="s">
        <v>258</v>
      </c>
    </row>
    <row r="80" spans="1:6" x14ac:dyDescent="0.3">
      <c r="A80" s="629">
        <v>45640.312743055554</v>
      </c>
      <c r="B80">
        <v>542361075</v>
      </c>
      <c r="C80" t="s">
        <v>277</v>
      </c>
      <c r="D80" t="s">
        <v>257</v>
      </c>
      <c r="E80">
        <v>215</v>
      </c>
      <c r="F80" t="s">
        <v>258</v>
      </c>
    </row>
    <row r="81" spans="1:6" x14ac:dyDescent="0.3">
      <c r="A81" s="629">
        <v>45640.312696759262</v>
      </c>
      <c r="B81">
        <v>542361075</v>
      </c>
      <c r="C81" t="s">
        <v>277</v>
      </c>
      <c r="D81" t="s">
        <v>257</v>
      </c>
      <c r="E81">
        <v>231</v>
      </c>
      <c r="F81" t="s">
        <v>258</v>
      </c>
    </row>
    <row r="82" spans="1:6" x14ac:dyDescent="0.3">
      <c r="A82" s="629">
        <v>45640.312673611108</v>
      </c>
      <c r="B82">
        <v>542361075</v>
      </c>
      <c r="C82" t="s">
        <v>277</v>
      </c>
      <c r="D82" t="s">
        <v>257</v>
      </c>
      <c r="E82">
        <v>242</v>
      </c>
      <c r="F82" t="s">
        <v>258</v>
      </c>
    </row>
    <row r="83" spans="1:6" x14ac:dyDescent="0.3">
      <c r="A83" s="629">
        <v>45640.312627314815</v>
      </c>
      <c r="B83">
        <v>542361075</v>
      </c>
      <c r="C83" t="s">
        <v>277</v>
      </c>
      <c r="D83" t="s">
        <v>257</v>
      </c>
      <c r="E83">
        <v>7</v>
      </c>
      <c r="F83" t="s">
        <v>258</v>
      </c>
    </row>
    <row r="84" spans="1:6" x14ac:dyDescent="0.3">
      <c r="A84" s="629">
        <v>45640.312557870369</v>
      </c>
      <c r="B84">
        <v>542361075</v>
      </c>
      <c r="C84" t="s">
        <v>277</v>
      </c>
      <c r="D84" t="s">
        <v>257</v>
      </c>
      <c r="E84">
        <v>159</v>
      </c>
      <c r="F84" t="s">
        <v>258</v>
      </c>
    </row>
    <row r="85" spans="1:6" x14ac:dyDescent="0.3">
      <c r="A85" s="629">
        <v>45640.311493055553</v>
      </c>
      <c r="B85">
        <v>542361075</v>
      </c>
      <c r="C85" t="s">
        <v>277</v>
      </c>
      <c r="D85" t="s">
        <v>257</v>
      </c>
      <c r="E85">
        <v>111</v>
      </c>
      <c r="F85" t="s">
        <v>258</v>
      </c>
    </row>
    <row r="86" spans="1:6" x14ac:dyDescent="0.3">
      <c r="A86" s="629">
        <v>45640.309074074074</v>
      </c>
      <c r="B86">
        <v>542361075</v>
      </c>
      <c r="C86" t="s">
        <v>277</v>
      </c>
      <c r="F86" t="s">
        <v>449</v>
      </c>
    </row>
    <row r="87" spans="1:6" x14ac:dyDescent="0.3">
      <c r="A87" s="629">
        <v>45640.308958333335</v>
      </c>
      <c r="B87">
        <v>542361075</v>
      </c>
      <c r="C87" t="s">
        <v>277</v>
      </c>
      <c r="F87" t="s">
        <v>311</v>
      </c>
    </row>
    <row r="88" spans="1:6" x14ac:dyDescent="0.3">
      <c r="A88" s="629">
        <v>45640.308935185189</v>
      </c>
      <c r="B88">
        <v>542361075</v>
      </c>
      <c r="C88" t="s">
        <v>277</v>
      </c>
      <c r="F88" t="s">
        <v>450</v>
      </c>
    </row>
    <row r="89" spans="1:6" x14ac:dyDescent="0.3">
      <c r="A89" s="629">
        <v>45640.308935185189</v>
      </c>
      <c r="B89">
        <v>542361075</v>
      </c>
      <c r="C89" t="s">
        <v>277</v>
      </c>
      <c r="F89" t="s">
        <v>451</v>
      </c>
    </row>
    <row r="90" spans="1:6" x14ac:dyDescent="0.3">
      <c r="A90" s="629">
        <v>45640.29828703704</v>
      </c>
      <c r="B90">
        <v>542361075</v>
      </c>
      <c r="C90" t="s">
        <v>277</v>
      </c>
      <c r="D90" t="s">
        <v>257</v>
      </c>
      <c r="E90">
        <v>73</v>
      </c>
      <c r="F90" t="s">
        <v>258</v>
      </c>
    </row>
    <row r="91" spans="1:6" x14ac:dyDescent="0.3">
      <c r="A91" s="629">
        <v>45640.293321759258</v>
      </c>
      <c r="B91">
        <v>542361075</v>
      </c>
      <c r="C91" t="s">
        <v>277</v>
      </c>
      <c r="D91" t="s">
        <v>257</v>
      </c>
      <c r="E91">
        <v>241</v>
      </c>
      <c r="F91" t="s">
        <v>258</v>
      </c>
    </row>
    <row r="92" spans="1:6" x14ac:dyDescent="0.3">
      <c r="A92" s="629">
        <v>45640.196423611109</v>
      </c>
      <c r="B92">
        <v>542361075</v>
      </c>
      <c r="C92" t="s">
        <v>277</v>
      </c>
      <c r="D92" t="s">
        <v>257</v>
      </c>
      <c r="E92">
        <v>242</v>
      </c>
      <c r="F92" t="s">
        <v>258</v>
      </c>
    </row>
    <row r="93" spans="1:6" x14ac:dyDescent="0.3">
      <c r="A93" s="629">
        <v>45640.196388888886</v>
      </c>
      <c r="B93">
        <v>542361075</v>
      </c>
      <c r="C93" t="s">
        <v>277</v>
      </c>
      <c r="D93" t="s">
        <v>257</v>
      </c>
      <c r="E93">
        <v>159</v>
      </c>
      <c r="F93" t="s">
        <v>258</v>
      </c>
    </row>
    <row r="94" spans="1:6" x14ac:dyDescent="0.3">
      <c r="A94" s="629">
        <v>45640.177453703705</v>
      </c>
      <c r="B94">
        <v>542361075</v>
      </c>
      <c r="C94" t="s">
        <v>277</v>
      </c>
      <c r="D94" t="s">
        <v>257</v>
      </c>
      <c r="E94">
        <v>158</v>
      </c>
      <c r="F94" t="s">
        <v>258</v>
      </c>
    </row>
    <row r="95" spans="1:6" x14ac:dyDescent="0.3">
      <c r="A95" s="629">
        <v>45640.177418981482</v>
      </c>
      <c r="B95">
        <v>542361075</v>
      </c>
      <c r="C95" t="s">
        <v>277</v>
      </c>
      <c r="D95" t="s">
        <v>257</v>
      </c>
      <c r="E95">
        <v>210</v>
      </c>
      <c r="F95" t="s">
        <v>258</v>
      </c>
    </row>
    <row r="96" spans="1:6" x14ac:dyDescent="0.3">
      <c r="A96" s="629">
        <v>45640.16510416667</v>
      </c>
      <c r="B96">
        <v>542361075</v>
      </c>
      <c r="C96" t="s">
        <v>277</v>
      </c>
      <c r="D96" t="s">
        <v>257</v>
      </c>
      <c r="E96">
        <v>159</v>
      </c>
      <c r="F96" t="s">
        <v>258</v>
      </c>
    </row>
    <row r="97" spans="1:6" x14ac:dyDescent="0.3">
      <c r="A97" s="629">
        <v>45640.164988425924</v>
      </c>
      <c r="B97">
        <v>542361075</v>
      </c>
      <c r="C97" t="s">
        <v>277</v>
      </c>
      <c r="D97" t="s">
        <v>257</v>
      </c>
      <c r="E97">
        <v>242</v>
      </c>
      <c r="F97" t="s">
        <v>258</v>
      </c>
    </row>
    <row r="98" spans="1:6" x14ac:dyDescent="0.3">
      <c r="A98" s="629">
        <v>45640.164386574077</v>
      </c>
      <c r="B98">
        <v>542361075</v>
      </c>
      <c r="C98" t="s">
        <v>277</v>
      </c>
      <c r="D98" t="s">
        <v>257</v>
      </c>
      <c r="E98">
        <v>242</v>
      </c>
      <c r="F98" t="s">
        <v>258</v>
      </c>
    </row>
    <row r="99" spans="1:6" x14ac:dyDescent="0.3">
      <c r="A99" s="629">
        <v>45640.159918981481</v>
      </c>
      <c r="B99">
        <v>542361075</v>
      </c>
      <c r="C99" t="s">
        <v>277</v>
      </c>
      <c r="D99" t="s">
        <v>257</v>
      </c>
      <c r="E99">
        <v>27</v>
      </c>
      <c r="F99" t="s">
        <v>258</v>
      </c>
    </row>
    <row r="100" spans="1:6" x14ac:dyDescent="0.3">
      <c r="A100" s="629">
        <v>45640.159837962965</v>
      </c>
      <c r="B100">
        <v>542361075</v>
      </c>
      <c r="C100" t="s">
        <v>277</v>
      </c>
      <c r="D100" t="s">
        <v>257</v>
      </c>
      <c r="E100">
        <v>33</v>
      </c>
      <c r="F100" t="s">
        <v>258</v>
      </c>
    </row>
    <row r="101" spans="1:6" x14ac:dyDescent="0.3">
      <c r="A101" s="629">
        <v>45640.156712962962</v>
      </c>
      <c r="B101">
        <v>542361075</v>
      </c>
      <c r="C101" t="s">
        <v>277</v>
      </c>
      <c r="D101" t="s">
        <v>257</v>
      </c>
      <c r="E101">
        <v>158</v>
      </c>
      <c r="F101" t="s">
        <v>258</v>
      </c>
    </row>
    <row r="102" spans="1:6" x14ac:dyDescent="0.3">
      <c r="A102" s="629">
        <v>45640.155138888891</v>
      </c>
      <c r="B102">
        <v>542361075</v>
      </c>
      <c r="C102" t="s">
        <v>277</v>
      </c>
      <c r="D102" t="s">
        <v>257</v>
      </c>
      <c r="E102">
        <v>210</v>
      </c>
      <c r="F102" t="s">
        <v>258</v>
      </c>
    </row>
    <row r="103" spans="1:6" x14ac:dyDescent="0.3">
      <c r="A103" s="629">
        <v>45640.152141203704</v>
      </c>
      <c r="B103">
        <v>542361075</v>
      </c>
      <c r="C103" t="s">
        <v>277</v>
      </c>
      <c r="D103" t="s">
        <v>257</v>
      </c>
      <c r="E103">
        <v>181</v>
      </c>
      <c r="F103" t="s">
        <v>258</v>
      </c>
    </row>
    <row r="104" spans="1:6" x14ac:dyDescent="0.3">
      <c r="A104" s="629">
        <v>45640.136296296296</v>
      </c>
      <c r="B104">
        <v>542361075</v>
      </c>
      <c r="C104" t="s">
        <v>277</v>
      </c>
      <c r="D104" t="s">
        <v>257</v>
      </c>
      <c r="E104">
        <v>33</v>
      </c>
      <c r="F104" t="s">
        <v>258</v>
      </c>
    </row>
    <row r="105" spans="1:6" x14ac:dyDescent="0.3">
      <c r="A105" s="629">
        <v>45640.136192129627</v>
      </c>
      <c r="B105">
        <v>542361075</v>
      </c>
      <c r="C105" t="s">
        <v>277</v>
      </c>
      <c r="D105" t="s">
        <v>257</v>
      </c>
      <c r="E105">
        <v>27</v>
      </c>
      <c r="F105" t="s">
        <v>258</v>
      </c>
    </row>
    <row r="106" spans="1:6" x14ac:dyDescent="0.3">
      <c r="A106" s="629">
        <v>45640.132245370369</v>
      </c>
      <c r="B106">
        <v>542361075</v>
      </c>
      <c r="C106" t="s">
        <v>277</v>
      </c>
      <c r="D106" t="s">
        <v>257</v>
      </c>
      <c r="E106">
        <v>94</v>
      </c>
      <c r="F106" t="s">
        <v>258</v>
      </c>
    </row>
    <row r="107" spans="1:6" x14ac:dyDescent="0.3">
      <c r="A107" s="629">
        <v>45640.130243055559</v>
      </c>
      <c r="B107">
        <v>542361075</v>
      </c>
      <c r="C107" t="s">
        <v>277</v>
      </c>
      <c r="D107" t="s">
        <v>257</v>
      </c>
      <c r="E107">
        <v>181</v>
      </c>
      <c r="F107" t="s">
        <v>258</v>
      </c>
    </row>
    <row r="108" spans="1:6" x14ac:dyDescent="0.3">
      <c r="A108" s="629">
        <v>45640.129340277781</v>
      </c>
      <c r="B108">
        <v>542361075</v>
      </c>
      <c r="C108" t="s">
        <v>277</v>
      </c>
      <c r="D108" t="s">
        <v>257</v>
      </c>
      <c r="E108">
        <v>215</v>
      </c>
      <c r="F108" t="s">
        <v>258</v>
      </c>
    </row>
    <row r="109" spans="1:6" x14ac:dyDescent="0.3">
      <c r="A109" s="629">
        <v>45640.125775462962</v>
      </c>
      <c r="B109">
        <v>542361075</v>
      </c>
      <c r="C109" t="s">
        <v>277</v>
      </c>
      <c r="D109" t="s">
        <v>257</v>
      </c>
      <c r="E109">
        <v>223</v>
      </c>
      <c r="F109" t="s">
        <v>258</v>
      </c>
    </row>
    <row r="110" spans="1:6" x14ac:dyDescent="0.3">
      <c r="A110" s="629">
        <v>45640.114189814813</v>
      </c>
      <c r="B110">
        <v>542361075</v>
      </c>
      <c r="C110" t="s">
        <v>277</v>
      </c>
      <c r="D110" t="s">
        <v>257</v>
      </c>
      <c r="E110">
        <v>215</v>
      </c>
      <c r="F110" t="s">
        <v>258</v>
      </c>
    </row>
    <row r="111" spans="1:6" x14ac:dyDescent="0.3">
      <c r="A111" s="629">
        <v>45640.111620370371</v>
      </c>
      <c r="B111">
        <v>542361075</v>
      </c>
      <c r="C111" t="s">
        <v>277</v>
      </c>
      <c r="D111" t="s">
        <v>257</v>
      </c>
      <c r="E111">
        <v>94</v>
      </c>
      <c r="F111" t="s">
        <v>258</v>
      </c>
    </row>
    <row r="112" spans="1:6" x14ac:dyDescent="0.3">
      <c r="A112" s="629">
        <v>45640.109594907408</v>
      </c>
      <c r="B112">
        <v>542361075</v>
      </c>
      <c r="C112" t="s">
        <v>277</v>
      </c>
      <c r="F112" t="s">
        <v>259</v>
      </c>
    </row>
    <row r="113" spans="1:6" x14ac:dyDescent="0.3">
      <c r="A113" s="629">
        <v>45640.107951388891</v>
      </c>
      <c r="B113">
        <v>542361075</v>
      </c>
      <c r="C113" t="s">
        <v>277</v>
      </c>
      <c r="D113" t="s">
        <v>257</v>
      </c>
      <c r="E113">
        <v>214</v>
      </c>
      <c r="F113" t="s">
        <v>258</v>
      </c>
    </row>
    <row r="114" spans="1:6" x14ac:dyDescent="0.3">
      <c r="A114" s="629">
        <v>45640.106134259258</v>
      </c>
      <c r="B114">
        <v>542361075</v>
      </c>
      <c r="C114" t="s">
        <v>277</v>
      </c>
      <c r="D114" t="s">
        <v>257</v>
      </c>
      <c r="E114">
        <v>91</v>
      </c>
      <c r="F114" t="s">
        <v>258</v>
      </c>
    </row>
    <row r="115" spans="1:6" x14ac:dyDescent="0.3">
      <c r="A115" s="629">
        <v>45640.105798611112</v>
      </c>
      <c r="B115">
        <v>542361075</v>
      </c>
      <c r="C115" t="s">
        <v>277</v>
      </c>
      <c r="D115" t="s">
        <v>257</v>
      </c>
      <c r="E115">
        <v>223</v>
      </c>
      <c r="F115" t="s">
        <v>258</v>
      </c>
    </row>
    <row r="116" spans="1:6" x14ac:dyDescent="0.3">
      <c r="A116" s="629">
        <v>45640.089016203703</v>
      </c>
      <c r="B116">
        <v>542361075</v>
      </c>
      <c r="C116" t="s">
        <v>277</v>
      </c>
      <c r="D116" t="s">
        <v>257</v>
      </c>
      <c r="E116">
        <v>227</v>
      </c>
      <c r="F116" t="s">
        <v>258</v>
      </c>
    </row>
    <row r="117" spans="1:6" x14ac:dyDescent="0.3">
      <c r="A117" s="629">
        <v>45640.088969907411</v>
      </c>
      <c r="B117">
        <v>542361075</v>
      </c>
      <c r="C117" t="s">
        <v>277</v>
      </c>
      <c r="D117" t="s">
        <v>257</v>
      </c>
      <c r="E117">
        <v>135</v>
      </c>
      <c r="F117" t="s">
        <v>258</v>
      </c>
    </row>
    <row r="118" spans="1:6" x14ac:dyDescent="0.3">
      <c r="A118" s="629">
        <v>45640.088379629633</v>
      </c>
      <c r="B118">
        <v>542361075</v>
      </c>
      <c r="C118" t="s">
        <v>277</v>
      </c>
      <c r="D118" t="s">
        <v>257</v>
      </c>
      <c r="E118">
        <v>214</v>
      </c>
      <c r="F118" t="s">
        <v>258</v>
      </c>
    </row>
    <row r="119" spans="1:6" x14ac:dyDescent="0.3">
      <c r="A119" s="629">
        <v>45640.085787037038</v>
      </c>
      <c r="B119">
        <v>542361075</v>
      </c>
      <c r="C119" t="s">
        <v>277</v>
      </c>
      <c r="D119" t="s">
        <v>257</v>
      </c>
      <c r="E119">
        <v>14</v>
      </c>
      <c r="F119" t="s">
        <v>258</v>
      </c>
    </row>
    <row r="120" spans="1:6" x14ac:dyDescent="0.3">
      <c r="A120" s="629">
        <v>45640.085451388892</v>
      </c>
      <c r="B120">
        <v>542361075</v>
      </c>
      <c r="C120" t="s">
        <v>277</v>
      </c>
      <c r="D120" t="s">
        <v>257</v>
      </c>
      <c r="E120">
        <v>91</v>
      </c>
      <c r="F120" t="s">
        <v>258</v>
      </c>
    </row>
    <row r="121" spans="1:6" x14ac:dyDescent="0.3">
      <c r="A121" s="629">
        <v>45640.083449074074</v>
      </c>
      <c r="B121">
        <v>542361075</v>
      </c>
      <c r="C121" t="s">
        <v>277</v>
      </c>
      <c r="D121" t="s">
        <v>257</v>
      </c>
      <c r="E121">
        <v>29</v>
      </c>
      <c r="F121" t="s">
        <v>258</v>
      </c>
    </row>
    <row r="122" spans="1:6" x14ac:dyDescent="0.3">
      <c r="A122" s="629">
        <v>45640.083402777775</v>
      </c>
      <c r="B122">
        <v>542361075</v>
      </c>
      <c r="C122" t="s">
        <v>277</v>
      </c>
      <c r="D122" t="s">
        <v>257</v>
      </c>
      <c r="E122">
        <v>74</v>
      </c>
      <c r="F122" t="s">
        <v>258</v>
      </c>
    </row>
    <row r="123" spans="1:6" x14ac:dyDescent="0.3">
      <c r="A123" s="629">
        <v>45640.08253472222</v>
      </c>
      <c r="B123">
        <v>542361075</v>
      </c>
      <c r="C123" t="s">
        <v>277</v>
      </c>
      <c r="D123" t="s">
        <v>257</v>
      </c>
      <c r="E123">
        <v>251</v>
      </c>
      <c r="F123" t="s">
        <v>258</v>
      </c>
    </row>
    <row r="124" spans="1:6" x14ac:dyDescent="0.3">
      <c r="A124" s="629">
        <v>45640.068182870367</v>
      </c>
      <c r="B124">
        <v>542361075</v>
      </c>
      <c r="C124" t="s">
        <v>277</v>
      </c>
      <c r="D124" t="s">
        <v>257</v>
      </c>
      <c r="E124">
        <v>227</v>
      </c>
      <c r="F124" t="s">
        <v>258</v>
      </c>
    </row>
    <row r="125" spans="1:6" x14ac:dyDescent="0.3">
      <c r="A125" s="629">
        <v>45640.068148148152</v>
      </c>
      <c r="B125">
        <v>542361075</v>
      </c>
      <c r="C125" t="s">
        <v>277</v>
      </c>
      <c r="D125" t="s">
        <v>257</v>
      </c>
      <c r="E125">
        <v>135</v>
      </c>
      <c r="F125" t="s">
        <v>258</v>
      </c>
    </row>
    <row r="126" spans="1:6" x14ac:dyDescent="0.3">
      <c r="A126" s="629">
        <v>45640.065416666665</v>
      </c>
      <c r="B126">
        <v>542361075</v>
      </c>
      <c r="C126" t="s">
        <v>277</v>
      </c>
      <c r="D126" t="s">
        <v>257</v>
      </c>
      <c r="E126">
        <v>14</v>
      </c>
      <c r="F126" t="s">
        <v>258</v>
      </c>
    </row>
    <row r="127" spans="1:6" x14ac:dyDescent="0.3">
      <c r="A127" s="629">
        <v>45640.063217592593</v>
      </c>
      <c r="B127">
        <v>542361075</v>
      </c>
      <c r="C127" t="s">
        <v>277</v>
      </c>
      <c r="D127" t="s">
        <v>257</v>
      </c>
      <c r="E127">
        <v>74</v>
      </c>
      <c r="F127" t="s">
        <v>258</v>
      </c>
    </row>
    <row r="128" spans="1:6" x14ac:dyDescent="0.3">
      <c r="A128" s="629">
        <v>45640.063171296293</v>
      </c>
      <c r="B128">
        <v>542361075</v>
      </c>
      <c r="C128" t="s">
        <v>277</v>
      </c>
      <c r="D128" t="s">
        <v>257</v>
      </c>
      <c r="E128">
        <v>29</v>
      </c>
      <c r="F128" t="s">
        <v>258</v>
      </c>
    </row>
    <row r="129" spans="1:6" x14ac:dyDescent="0.3">
      <c r="A129" s="629">
        <v>45640.061631944445</v>
      </c>
      <c r="B129">
        <v>542361075</v>
      </c>
      <c r="C129" t="s">
        <v>277</v>
      </c>
      <c r="D129" t="s">
        <v>257</v>
      </c>
      <c r="E129">
        <v>251</v>
      </c>
      <c r="F129" t="s">
        <v>258</v>
      </c>
    </row>
    <row r="130" spans="1:6" x14ac:dyDescent="0.3">
      <c r="A130" s="629">
        <v>45640.002326388887</v>
      </c>
      <c r="B130">
        <v>542361075</v>
      </c>
      <c r="C130" t="s">
        <v>277</v>
      </c>
      <c r="D130" t="s">
        <v>257</v>
      </c>
      <c r="E130">
        <v>231</v>
      </c>
      <c r="F130" t="s">
        <v>258</v>
      </c>
    </row>
    <row r="131" spans="1:6" x14ac:dyDescent="0.3">
      <c r="A131" s="629">
        <v>45639.988136574073</v>
      </c>
      <c r="B131">
        <v>542361075</v>
      </c>
      <c r="C131" t="s">
        <v>277</v>
      </c>
      <c r="D131" t="s">
        <v>257</v>
      </c>
      <c r="E131">
        <v>210</v>
      </c>
      <c r="F131" t="s">
        <v>258</v>
      </c>
    </row>
    <row r="132" spans="1:6" x14ac:dyDescent="0.3">
      <c r="A132" s="629">
        <v>45639.984872685185</v>
      </c>
      <c r="B132">
        <v>542361075</v>
      </c>
      <c r="C132" t="s">
        <v>277</v>
      </c>
      <c r="D132" t="s">
        <v>257</v>
      </c>
      <c r="E132">
        <v>135</v>
      </c>
      <c r="F132" t="s">
        <v>258</v>
      </c>
    </row>
    <row r="133" spans="1:6" x14ac:dyDescent="0.3">
      <c r="A133" s="629">
        <v>45639.984212962961</v>
      </c>
      <c r="B133">
        <v>542361075</v>
      </c>
      <c r="C133" t="s">
        <v>277</v>
      </c>
      <c r="D133" t="s">
        <v>257</v>
      </c>
      <c r="E133">
        <v>227</v>
      </c>
      <c r="F133" t="s">
        <v>258</v>
      </c>
    </row>
    <row r="134" spans="1:6" x14ac:dyDescent="0.3">
      <c r="A134" s="629">
        <v>45639.983206018522</v>
      </c>
      <c r="B134">
        <v>542361075</v>
      </c>
      <c r="C134" t="s">
        <v>277</v>
      </c>
      <c r="D134" t="s">
        <v>257</v>
      </c>
      <c r="E134">
        <v>107</v>
      </c>
      <c r="F134" t="s">
        <v>258</v>
      </c>
    </row>
    <row r="135" spans="1:6" x14ac:dyDescent="0.3">
      <c r="A135" s="629">
        <v>45639.98028935185</v>
      </c>
      <c r="B135">
        <v>542361075</v>
      </c>
      <c r="C135" t="s">
        <v>277</v>
      </c>
      <c r="D135" t="s">
        <v>257</v>
      </c>
      <c r="E135">
        <v>226</v>
      </c>
      <c r="F135" t="s">
        <v>258</v>
      </c>
    </row>
    <row r="136" spans="1:6" x14ac:dyDescent="0.3">
      <c r="A136" s="629">
        <v>45639.980254629627</v>
      </c>
      <c r="B136">
        <v>542361075</v>
      </c>
      <c r="C136" t="s">
        <v>277</v>
      </c>
      <c r="D136" t="s">
        <v>257</v>
      </c>
      <c r="E136">
        <v>235</v>
      </c>
      <c r="F136" t="s">
        <v>258</v>
      </c>
    </row>
    <row r="137" spans="1:6" x14ac:dyDescent="0.3">
      <c r="A137" s="629">
        <v>45639.980208333334</v>
      </c>
      <c r="B137">
        <v>542361075</v>
      </c>
      <c r="C137" t="s">
        <v>277</v>
      </c>
      <c r="D137" t="s">
        <v>257</v>
      </c>
      <c r="E137">
        <v>69</v>
      </c>
      <c r="F137" t="s">
        <v>258</v>
      </c>
    </row>
    <row r="138" spans="1:6" x14ac:dyDescent="0.3">
      <c r="A138" s="629">
        <v>45639.979710648149</v>
      </c>
      <c r="B138">
        <v>542361075</v>
      </c>
      <c r="C138" t="s">
        <v>277</v>
      </c>
      <c r="D138" t="s">
        <v>257</v>
      </c>
      <c r="E138">
        <v>132</v>
      </c>
      <c r="F138" t="s">
        <v>258</v>
      </c>
    </row>
    <row r="139" spans="1:6" x14ac:dyDescent="0.3">
      <c r="A139" s="629">
        <v>45639.979664351849</v>
      </c>
      <c r="B139">
        <v>542361075</v>
      </c>
      <c r="C139" t="s">
        <v>277</v>
      </c>
      <c r="D139" t="s">
        <v>257</v>
      </c>
      <c r="E139">
        <v>207</v>
      </c>
      <c r="F139" t="s">
        <v>258</v>
      </c>
    </row>
    <row r="140" spans="1:6" x14ac:dyDescent="0.3">
      <c r="A140" s="629">
        <v>45639.97960648148</v>
      </c>
      <c r="B140">
        <v>542361075</v>
      </c>
      <c r="C140" t="s">
        <v>277</v>
      </c>
      <c r="D140" t="s">
        <v>257</v>
      </c>
      <c r="E140">
        <v>250</v>
      </c>
      <c r="F140" t="s">
        <v>258</v>
      </c>
    </row>
    <row r="141" spans="1:6" x14ac:dyDescent="0.3">
      <c r="A141" s="629">
        <v>45639.979548611111</v>
      </c>
      <c r="B141">
        <v>542361075</v>
      </c>
      <c r="C141" t="s">
        <v>277</v>
      </c>
      <c r="D141" t="s">
        <v>257</v>
      </c>
      <c r="E141">
        <v>242</v>
      </c>
      <c r="F141" t="s">
        <v>258</v>
      </c>
    </row>
    <row r="142" spans="1:6" x14ac:dyDescent="0.3">
      <c r="A142" s="629">
        <v>45639.979502314818</v>
      </c>
      <c r="B142">
        <v>542361075</v>
      </c>
      <c r="C142" t="s">
        <v>277</v>
      </c>
      <c r="D142" t="s">
        <v>257</v>
      </c>
      <c r="E142">
        <v>232</v>
      </c>
      <c r="F142" t="s">
        <v>258</v>
      </c>
    </row>
    <row r="143" spans="1:6" x14ac:dyDescent="0.3">
      <c r="A143" s="629">
        <v>45639.979178240741</v>
      </c>
      <c r="B143">
        <v>542361075</v>
      </c>
      <c r="C143" t="s">
        <v>277</v>
      </c>
      <c r="D143" t="s">
        <v>257</v>
      </c>
      <c r="E143">
        <v>45</v>
      </c>
      <c r="F143" t="s">
        <v>258</v>
      </c>
    </row>
    <row r="144" spans="1:6" x14ac:dyDescent="0.3">
      <c r="A144" s="629">
        <v>45639.979143518518</v>
      </c>
      <c r="B144">
        <v>542361075</v>
      </c>
      <c r="C144" t="s">
        <v>277</v>
      </c>
      <c r="D144" t="s">
        <v>257</v>
      </c>
      <c r="E144">
        <v>251</v>
      </c>
      <c r="F144" t="s">
        <v>258</v>
      </c>
    </row>
    <row r="145" spans="1:6" x14ac:dyDescent="0.3">
      <c r="A145" s="629">
        <v>45639.979108796295</v>
      </c>
      <c r="B145">
        <v>542361075</v>
      </c>
      <c r="C145" t="s">
        <v>277</v>
      </c>
      <c r="D145" t="s">
        <v>257</v>
      </c>
      <c r="E145">
        <v>215</v>
      </c>
      <c r="F145" t="s">
        <v>258</v>
      </c>
    </row>
    <row r="146" spans="1:6" x14ac:dyDescent="0.3">
      <c r="A146" s="629">
        <v>45639.979062500002</v>
      </c>
      <c r="B146">
        <v>542361075</v>
      </c>
      <c r="C146" t="s">
        <v>277</v>
      </c>
      <c r="D146" t="s">
        <v>257</v>
      </c>
      <c r="E146">
        <v>74</v>
      </c>
      <c r="F146" t="s">
        <v>258</v>
      </c>
    </row>
    <row r="147" spans="1:6" x14ac:dyDescent="0.3">
      <c r="A147" s="629">
        <v>45639.974131944444</v>
      </c>
      <c r="B147">
        <v>542361075</v>
      </c>
      <c r="C147" t="s">
        <v>277</v>
      </c>
      <c r="D147" t="s">
        <v>257</v>
      </c>
      <c r="E147">
        <v>158</v>
      </c>
      <c r="F147" t="s">
        <v>258</v>
      </c>
    </row>
    <row r="148" spans="1:6" x14ac:dyDescent="0.3">
      <c r="A148" s="629">
        <v>45639.973923611113</v>
      </c>
      <c r="B148">
        <v>542361075</v>
      </c>
      <c r="C148" t="s">
        <v>277</v>
      </c>
      <c r="D148" t="s">
        <v>257</v>
      </c>
      <c r="E148">
        <v>214</v>
      </c>
      <c r="F148" t="s">
        <v>258</v>
      </c>
    </row>
    <row r="149" spans="1:6" x14ac:dyDescent="0.3">
      <c r="A149" s="629">
        <v>45639.973055555558</v>
      </c>
      <c r="B149">
        <v>542361075</v>
      </c>
      <c r="C149" t="s">
        <v>277</v>
      </c>
      <c r="D149" t="s">
        <v>257</v>
      </c>
      <c r="E149">
        <v>29</v>
      </c>
      <c r="F149" t="s">
        <v>258</v>
      </c>
    </row>
    <row r="150" spans="1:6" x14ac:dyDescent="0.3">
      <c r="A150" s="629">
        <v>45639.972708333335</v>
      </c>
      <c r="B150">
        <v>542361075</v>
      </c>
      <c r="C150" t="s">
        <v>277</v>
      </c>
      <c r="F150" t="s">
        <v>259</v>
      </c>
    </row>
    <row r="151" spans="1:6" x14ac:dyDescent="0.3">
      <c r="A151" s="629">
        <v>45639.972615740742</v>
      </c>
      <c r="B151">
        <v>542361075</v>
      </c>
      <c r="C151" t="s">
        <v>277</v>
      </c>
      <c r="D151" t="s">
        <v>257</v>
      </c>
      <c r="E151">
        <v>223</v>
      </c>
      <c r="F151" t="s">
        <v>258</v>
      </c>
    </row>
    <row r="152" spans="1:6" x14ac:dyDescent="0.3">
      <c r="A152" s="629">
        <v>45639.972557870373</v>
      </c>
      <c r="B152">
        <v>542361075</v>
      </c>
      <c r="C152" t="s">
        <v>277</v>
      </c>
      <c r="D152" t="s">
        <v>257</v>
      </c>
      <c r="E152">
        <v>181</v>
      </c>
      <c r="F152" t="s">
        <v>258</v>
      </c>
    </row>
    <row r="153" spans="1:6" x14ac:dyDescent="0.3">
      <c r="A153" s="629">
        <v>45639.971770833334</v>
      </c>
      <c r="B153">
        <v>542361075</v>
      </c>
      <c r="C153" t="s">
        <v>277</v>
      </c>
      <c r="D153" t="s">
        <v>257</v>
      </c>
      <c r="E153">
        <v>91</v>
      </c>
      <c r="F153" t="s">
        <v>258</v>
      </c>
    </row>
    <row r="154" spans="1:6" x14ac:dyDescent="0.3">
      <c r="A154" s="629">
        <v>45639.971655092595</v>
      </c>
      <c r="B154">
        <v>542361075</v>
      </c>
      <c r="C154" t="s">
        <v>277</v>
      </c>
      <c r="D154" t="s">
        <v>257</v>
      </c>
      <c r="E154">
        <v>33</v>
      </c>
      <c r="F154" t="s">
        <v>258</v>
      </c>
    </row>
    <row r="155" spans="1:6" x14ac:dyDescent="0.3">
      <c r="A155" s="629">
        <v>45639.97152777778</v>
      </c>
      <c r="B155">
        <v>542361075</v>
      </c>
      <c r="C155" t="s">
        <v>277</v>
      </c>
      <c r="D155" t="s">
        <v>257</v>
      </c>
      <c r="E155">
        <v>27</v>
      </c>
      <c r="F155" t="s">
        <v>258</v>
      </c>
    </row>
    <row r="156" spans="1:6" x14ac:dyDescent="0.3">
      <c r="A156" s="629">
        <v>45639.971238425926</v>
      </c>
      <c r="B156">
        <v>542361075</v>
      </c>
      <c r="C156" t="s">
        <v>277</v>
      </c>
      <c r="D156" t="s">
        <v>257</v>
      </c>
      <c r="E156">
        <v>37</v>
      </c>
      <c r="F156" t="s">
        <v>258</v>
      </c>
    </row>
    <row r="157" spans="1:6" x14ac:dyDescent="0.3">
      <c r="A157" s="629">
        <v>45639.964166666665</v>
      </c>
      <c r="B157">
        <v>542361075</v>
      </c>
      <c r="C157" t="s">
        <v>277</v>
      </c>
      <c r="D157" t="s">
        <v>257</v>
      </c>
      <c r="E157">
        <v>94</v>
      </c>
      <c r="F157" t="s">
        <v>258</v>
      </c>
    </row>
    <row r="158" spans="1:6" x14ac:dyDescent="0.3">
      <c r="A158" s="629">
        <v>45639.963541666664</v>
      </c>
      <c r="B158">
        <v>542361075</v>
      </c>
      <c r="C158" t="s">
        <v>277</v>
      </c>
      <c r="D158" t="s">
        <v>257</v>
      </c>
      <c r="E158">
        <v>14</v>
      </c>
      <c r="F158" t="s">
        <v>258</v>
      </c>
    </row>
    <row r="159" spans="1:6" x14ac:dyDescent="0.3">
      <c r="A159" s="629">
        <v>45639.962465277778</v>
      </c>
      <c r="B159">
        <v>542361075</v>
      </c>
      <c r="C159" t="s">
        <v>277</v>
      </c>
      <c r="D159" t="s">
        <v>257</v>
      </c>
      <c r="E159">
        <v>159</v>
      </c>
      <c r="F159" t="s">
        <v>258</v>
      </c>
    </row>
    <row r="160" spans="1:6" x14ac:dyDescent="0.3">
      <c r="A160" s="629">
        <v>45639.962430555555</v>
      </c>
      <c r="B160">
        <v>542361075</v>
      </c>
      <c r="C160" t="s">
        <v>277</v>
      </c>
      <c r="D160" t="s">
        <v>257</v>
      </c>
      <c r="E160">
        <v>7</v>
      </c>
      <c r="F160" t="s">
        <v>258</v>
      </c>
    </row>
    <row r="161" spans="1:6" x14ac:dyDescent="0.3">
      <c r="A161" s="629">
        <v>45639.782986111109</v>
      </c>
      <c r="B161">
        <v>542361075</v>
      </c>
      <c r="C161" t="s">
        <v>277</v>
      </c>
      <c r="D161" t="s">
        <v>257</v>
      </c>
      <c r="E161">
        <v>34</v>
      </c>
      <c r="F161" t="s">
        <v>258</v>
      </c>
    </row>
    <row r="162" spans="1:6" x14ac:dyDescent="0.3">
      <c r="A162" s="629">
        <v>45639.731793981482</v>
      </c>
      <c r="B162">
        <v>542361075</v>
      </c>
      <c r="C162" t="s">
        <v>277</v>
      </c>
      <c r="D162" t="s">
        <v>257</v>
      </c>
      <c r="E162">
        <v>32</v>
      </c>
      <c r="F162" t="s">
        <v>258</v>
      </c>
    </row>
    <row r="163" spans="1:6" x14ac:dyDescent="0.3">
      <c r="A163" s="629">
        <v>45639.729467592595</v>
      </c>
      <c r="B163">
        <v>542361075</v>
      </c>
      <c r="C163" t="s">
        <v>277</v>
      </c>
      <c r="D163" t="s">
        <v>257</v>
      </c>
      <c r="E163">
        <v>245</v>
      </c>
      <c r="F163" t="s">
        <v>258</v>
      </c>
    </row>
    <row r="164" spans="1:6" x14ac:dyDescent="0.3">
      <c r="A164" s="629">
        <v>45639.712037037039</v>
      </c>
      <c r="B164">
        <v>542361075</v>
      </c>
      <c r="C164" t="s">
        <v>277</v>
      </c>
      <c r="D164" t="s">
        <v>257</v>
      </c>
      <c r="E164">
        <v>41</v>
      </c>
      <c r="F164" t="s">
        <v>258</v>
      </c>
    </row>
    <row r="165" spans="1:6" x14ac:dyDescent="0.3">
      <c r="A165" s="629">
        <v>45639.712002314816</v>
      </c>
      <c r="B165">
        <v>542361075</v>
      </c>
      <c r="C165" t="s">
        <v>277</v>
      </c>
      <c r="D165" t="s">
        <v>257</v>
      </c>
      <c r="E165">
        <v>97</v>
      </c>
      <c r="F165" t="s">
        <v>258</v>
      </c>
    </row>
    <row r="166" spans="1:6" x14ac:dyDescent="0.3">
      <c r="A166" s="629">
        <v>45639.711956018517</v>
      </c>
      <c r="B166">
        <v>542361075</v>
      </c>
      <c r="C166" t="s">
        <v>277</v>
      </c>
      <c r="D166" t="s">
        <v>257</v>
      </c>
      <c r="E166">
        <v>58</v>
      </c>
      <c r="F166" t="s">
        <v>258</v>
      </c>
    </row>
    <row r="167" spans="1:6" x14ac:dyDescent="0.3">
      <c r="A167" s="629">
        <v>45639.711909722224</v>
      </c>
      <c r="B167">
        <v>542361075</v>
      </c>
      <c r="C167" t="s">
        <v>277</v>
      </c>
      <c r="D167" t="s">
        <v>257</v>
      </c>
      <c r="E167">
        <v>30</v>
      </c>
      <c r="F167" t="s">
        <v>258</v>
      </c>
    </row>
    <row r="168" spans="1:6" x14ac:dyDescent="0.3">
      <c r="A168" s="629">
        <v>45639.710682870369</v>
      </c>
      <c r="B168">
        <v>542361075</v>
      </c>
      <c r="C168" t="s">
        <v>277</v>
      </c>
      <c r="F168" t="s">
        <v>454</v>
      </c>
    </row>
    <row r="169" spans="1:6" x14ac:dyDescent="0.3">
      <c r="A169" s="629">
        <v>45639.710173611114</v>
      </c>
      <c r="B169">
        <v>542361075</v>
      </c>
      <c r="C169" t="s">
        <v>277</v>
      </c>
      <c r="D169" t="s">
        <v>257</v>
      </c>
      <c r="E169">
        <v>2</v>
      </c>
      <c r="F169" t="s">
        <v>258</v>
      </c>
    </row>
    <row r="170" spans="1:6" x14ac:dyDescent="0.3">
      <c r="A170" s="629">
        <v>45639.710127314815</v>
      </c>
      <c r="B170">
        <v>542361075</v>
      </c>
      <c r="C170" t="s">
        <v>277</v>
      </c>
      <c r="D170" t="s">
        <v>257</v>
      </c>
      <c r="E170">
        <v>195</v>
      </c>
      <c r="F170" t="s">
        <v>258</v>
      </c>
    </row>
    <row r="171" spans="1:6" x14ac:dyDescent="0.3">
      <c r="A171" s="629">
        <v>45639.708877314813</v>
      </c>
      <c r="B171">
        <v>542361075</v>
      </c>
      <c r="C171" t="s">
        <v>277</v>
      </c>
      <c r="D171" t="s">
        <v>257</v>
      </c>
      <c r="E171">
        <v>212</v>
      </c>
      <c r="F171" t="s">
        <v>258</v>
      </c>
    </row>
    <row r="172" spans="1:6" x14ac:dyDescent="0.3">
      <c r="A172" s="629">
        <v>45639.708831018521</v>
      </c>
      <c r="B172">
        <v>542361075</v>
      </c>
      <c r="C172" t="s">
        <v>277</v>
      </c>
      <c r="D172" t="s">
        <v>257</v>
      </c>
      <c r="E172">
        <v>220</v>
      </c>
      <c r="F172" t="s">
        <v>258</v>
      </c>
    </row>
    <row r="173" spans="1:6" x14ac:dyDescent="0.3">
      <c r="A173" s="629">
        <v>45639.708773148152</v>
      </c>
      <c r="B173">
        <v>542361075</v>
      </c>
      <c r="C173" t="s">
        <v>277</v>
      </c>
      <c r="D173" t="s">
        <v>257</v>
      </c>
      <c r="E173">
        <v>222</v>
      </c>
      <c r="F173" t="s">
        <v>258</v>
      </c>
    </row>
    <row r="174" spans="1:6" x14ac:dyDescent="0.3">
      <c r="A174" s="629">
        <v>45639.708738425928</v>
      </c>
      <c r="B174">
        <v>542361075</v>
      </c>
      <c r="C174" t="s">
        <v>277</v>
      </c>
      <c r="D174" t="s">
        <v>257</v>
      </c>
      <c r="E174">
        <v>39</v>
      </c>
      <c r="F174" t="s">
        <v>258</v>
      </c>
    </row>
    <row r="175" spans="1:6" x14ac:dyDescent="0.3">
      <c r="A175" s="629">
        <v>45639.708692129629</v>
      </c>
      <c r="B175">
        <v>542361075</v>
      </c>
      <c r="C175" t="s">
        <v>277</v>
      </c>
      <c r="D175" t="s">
        <v>257</v>
      </c>
      <c r="E175">
        <v>166</v>
      </c>
      <c r="F175" t="s">
        <v>258</v>
      </c>
    </row>
    <row r="176" spans="1:6" x14ac:dyDescent="0.3">
      <c r="A176" s="629">
        <v>45639.708657407406</v>
      </c>
      <c r="B176">
        <v>542361075</v>
      </c>
      <c r="C176" t="s">
        <v>277</v>
      </c>
      <c r="D176" t="s">
        <v>257</v>
      </c>
      <c r="E176">
        <v>141</v>
      </c>
      <c r="F176" t="s">
        <v>258</v>
      </c>
    </row>
    <row r="177" spans="1:6" x14ac:dyDescent="0.3">
      <c r="A177" s="629">
        <v>45639.708622685182</v>
      </c>
      <c r="B177">
        <v>542361075</v>
      </c>
      <c r="C177" t="s">
        <v>277</v>
      </c>
      <c r="D177" t="s">
        <v>257</v>
      </c>
      <c r="E177">
        <v>116</v>
      </c>
      <c r="F177" t="s">
        <v>258</v>
      </c>
    </row>
    <row r="178" spans="1:6" x14ac:dyDescent="0.3">
      <c r="A178" s="629">
        <v>45639.70857638889</v>
      </c>
      <c r="B178">
        <v>542361075</v>
      </c>
      <c r="C178" t="s">
        <v>277</v>
      </c>
      <c r="D178" t="s">
        <v>257</v>
      </c>
      <c r="E178">
        <v>237</v>
      </c>
      <c r="F178" t="s">
        <v>258</v>
      </c>
    </row>
    <row r="179" spans="1:6" x14ac:dyDescent="0.3">
      <c r="A179" s="629">
        <v>45639.708541666667</v>
      </c>
      <c r="B179">
        <v>542361075</v>
      </c>
      <c r="C179" t="s">
        <v>277</v>
      </c>
      <c r="D179" t="s">
        <v>257</v>
      </c>
      <c r="E179">
        <v>26</v>
      </c>
      <c r="F179" t="s">
        <v>258</v>
      </c>
    </row>
    <row r="180" spans="1:6" x14ac:dyDescent="0.3">
      <c r="A180" s="629">
        <v>45639.708506944444</v>
      </c>
      <c r="B180">
        <v>542361075</v>
      </c>
      <c r="C180" t="s">
        <v>277</v>
      </c>
      <c r="D180" t="s">
        <v>257</v>
      </c>
      <c r="E180">
        <v>169</v>
      </c>
      <c r="F180" t="s">
        <v>258</v>
      </c>
    </row>
    <row r="181" spans="1:6" x14ac:dyDescent="0.3">
      <c r="A181" s="629">
        <v>45639.708449074074</v>
      </c>
      <c r="B181">
        <v>542361075</v>
      </c>
      <c r="C181" t="s">
        <v>277</v>
      </c>
      <c r="D181" t="s">
        <v>257</v>
      </c>
      <c r="E181">
        <v>28</v>
      </c>
      <c r="F181" t="s">
        <v>258</v>
      </c>
    </row>
    <row r="182" spans="1:6" x14ac:dyDescent="0.3">
      <c r="A182" s="629">
        <v>45639.708402777775</v>
      </c>
      <c r="B182">
        <v>542361075</v>
      </c>
      <c r="C182" t="s">
        <v>277</v>
      </c>
      <c r="D182" t="s">
        <v>257</v>
      </c>
      <c r="E182">
        <v>59</v>
      </c>
      <c r="F182" t="s">
        <v>258</v>
      </c>
    </row>
    <row r="183" spans="1:6" x14ac:dyDescent="0.3">
      <c r="A183" s="629">
        <v>45639.708379629628</v>
      </c>
      <c r="B183">
        <v>542361075</v>
      </c>
      <c r="C183" t="s">
        <v>277</v>
      </c>
      <c r="D183" t="s">
        <v>257</v>
      </c>
      <c r="E183">
        <v>9</v>
      </c>
      <c r="F183" t="s">
        <v>258</v>
      </c>
    </row>
    <row r="184" spans="1:6" x14ac:dyDescent="0.3">
      <c r="A184" s="629">
        <v>45639.70758101852</v>
      </c>
      <c r="B184">
        <v>542361075</v>
      </c>
      <c r="C184" t="s">
        <v>277</v>
      </c>
      <c r="D184" t="s">
        <v>257</v>
      </c>
      <c r="E184">
        <v>51</v>
      </c>
      <c r="F184" t="s">
        <v>258</v>
      </c>
    </row>
    <row r="185" spans="1:6" x14ac:dyDescent="0.3">
      <c r="A185" s="629">
        <v>45639.706145833334</v>
      </c>
      <c r="B185">
        <v>542361075</v>
      </c>
      <c r="C185" t="s">
        <v>277</v>
      </c>
      <c r="D185" t="s">
        <v>257</v>
      </c>
      <c r="E185">
        <v>89</v>
      </c>
      <c r="F185" t="s">
        <v>258</v>
      </c>
    </row>
    <row r="186" spans="1:6" x14ac:dyDescent="0.3">
      <c r="A186" s="629">
        <v>45639.706111111111</v>
      </c>
      <c r="B186">
        <v>542361075</v>
      </c>
      <c r="C186" t="s">
        <v>277</v>
      </c>
      <c r="F186" t="s">
        <v>259</v>
      </c>
    </row>
    <row r="187" spans="1:6" x14ac:dyDescent="0.3">
      <c r="A187" s="629">
        <v>45639.705983796295</v>
      </c>
      <c r="B187">
        <v>542361075</v>
      </c>
      <c r="C187" t="s">
        <v>277</v>
      </c>
      <c r="D187" t="s">
        <v>257</v>
      </c>
      <c r="E187">
        <v>234</v>
      </c>
      <c r="F187" t="s">
        <v>258</v>
      </c>
    </row>
    <row r="188" spans="1:6" x14ac:dyDescent="0.3">
      <c r="A188" s="629">
        <v>45639.705960648149</v>
      </c>
      <c r="B188">
        <v>542361075</v>
      </c>
      <c r="C188" t="s">
        <v>277</v>
      </c>
      <c r="D188" t="s">
        <v>257</v>
      </c>
      <c r="E188">
        <v>146</v>
      </c>
      <c r="F188" t="s">
        <v>258</v>
      </c>
    </row>
    <row r="189" spans="1:6" x14ac:dyDescent="0.3">
      <c r="A189" s="629">
        <v>45639.705914351849</v>
      </c>
      <c r="B189">
        <v>542361075</v>
      </c>
      <c r="C189" t="s">
        <v>277</v>
      </c>
      <c r="D189" t="s">
        <v>257</v>
      </c>
      <c r="E189">
        <v>236</v>
      </c>
      <c r="F189" t="s">
        <v>258</v>
      </c>
    </row>
    <row r="190" spans="1:6" x14ac:dyDescent="0.3">
      <c r="A190" s="629">
        <v>45639.705868055556</v>
      </c>
      <c r="B190">
        <v>542361075</v>
      </c>
      <c r="C190" t="s">
        <v>277</v>
      </c>
      <c r="D190" t="s">
        <v>257</v>
      </c>
      <c r="E190">
        <v>95</v>
      </c>
      <c r="F190" t="s">
        <v>258</v>
      </c>
    </row>
    <row r="191" spans="1:6" x14ac:dyDescent="0.3">
      <c r="A191" s="629">
        <v>45639.705011574071</v>
      </c>
      <c r="B191">
        <v>542361075</v>
      </c>
      <c r="C191" t="s">
        <v>277</v>
      </c>
      <c r="D191" t="s">
        <v>257</v>
      </c>
      <c r="E191">
        <v>12</v>
      </c>
      <c r="F191" t="s">
        <v>258</v>
      </c>
    </row>
    <row r="192" spans="1:6" x14ac:dyDescent="0.3">
      <c r="A192" s="629">
        <v>45639.696331018517</v>
      </c>
      <c r="B192">
        <v>542361075</v>
      </c>
      <c r="C192" t="s">
        <v>277</v>
      </c>
      <c r="F192" t="s">
        <v>455</v>
      </c>
    </row>
    <row r="193" spans="1:6" x14ac:dyDescent="0.3">
      <c r="A193" s="629">
        <v>45639.696261574078</v>
      </c>
      <c r="B193">
        <v>542361075</v>
      </c>
      <c r="C193" t="s">
        <v>277</v>
      </c>
      <c r="F193" t="s">
        <v>454</v>
      </c>
    </row>
    <row r="194" spans="1:6" x14ac:dyDescent="0.3">
      <c r="A194" s="629">
        <v>45639.66269675926</v>
      </c>
      <c r="B194">
        <v>542361075</v>
      </c>
      <c r="C194" t="s">
        <v>277</v>
      </c>
      <c r="D194" t="s">
        <v>257</v>
      </c>
      <c r="E194">
        <v>244</v>
      </c>
      <c r="F194" t="s">
        <v>258</v>
      </c>
    </row>
    <row r="195" spans="1:6" x14ac:dyDescent="0.3">
      <c r="A195" s="629">
        <v>45639.647245370368</v>
      </c>
      <c r="B195">
        <v>542361075</v>
      </c>
      <c r="C195" t="s">
        <v>277</v>
      </c>
      <c r="D195" t="s">
        <v>257</v>
      </c>
      <c r="E195">
        <v>205</v>
      </c>
      <c r="F195" t="s">
        <v>258</v>
      </c>
    </row>
    <row r="196" spans="1:6" x14ac:dyDescent="0.3">
      <c r="A196" s="629">
        <v>45639.647083333337</v>
      </c>
      <c r="B196">
        <v>542361075</v>
      </c>
      <c r="C196" t="s">
        <v>277</v>
      </c>
      <c r="D196" t="s">
        <v>257</v>
      </c>
      <c r="E196">
        <v>132</v>
      </c>
      <c r="F196" t="s">
        <v>258</v>
      </c>
    </row>
    <row r="197" spans="1:6" x14ac:dyDescent="0.3">
      <c r="A197" s="629">
        <v>45639.647048611114</v>
      </c>
      <c r="B197">
        <v>542361075</v>
      </c>
      <c r="C197" t="s">
        <v>277</v>
      </c>
      <c r="D197" t="s">
        <v>257</v>
      </c>
      <c r="E197">
        <v>207</v>
      </c>
      <c r="F197" t="s">
        <v>258</v>
      </c>
    </row>
    <row r="198" spans="1:6" x14ac:dyDescent="0.3">
      <c r="A198" s="629">
        <v>45639.646724537037</v>
      </c>
      <c r="B198">
        <v>542361075</v>
      </c>
      <c r="C198" t="s">
        <v>277</v>
      </c>
      <c r="D198" t="s">
        <v>257</v>
      </c>
      <c r="E198">
        <v>232</v>
      </c>
      <c r="F198" t="s">
        <v>258</v>
      </c>
    </row>
    <row r="199" spans="1:6" x14ac:dyDescent="0.3">
      <c r="A199" s="629">
        <v>45639.646643518521</v>
      </c>
      <c r="B199">
        <v>542361075</v>
      </c>
      <c r="C199" t="s">
        <v>277</v>
      </c>
      <c r="D199" t="s">
        <v>257</v>
      </c>
      <c r="E199">
        <v>69</v>
      </c>
      <c r="F199" t="s">
        <v>258</v>
      </c>
    </row>
    <row r="200" spans="1:6" x14ac:dyDescent="0.3">
      <c r="A200" s="629">
        <v>45639.646585648145</v>
      </c>
      <c r="B200">
        <v>542361075</v>
      </c>
      <c r="C200" t="s">
        <v>277</v>
      </c>
      <c r="D200" t="s">
        <v>257</v>
      </c>
      <c r="E200">
        <v>230</v>
      </c>
      <c r="F200" t="s">
        <v>258</v>
      </c>
    </row>
    <row r="201" spans="1:6" x14ac:dyDescent="0.3">
      <c r="A201" s="629">
        <v>45639.646527777775</v>
      </c>
      <c r="B201">
        <v>542361075</v>
      </c>
      <c r="C201" t="s">
        <v>277</v>
      </c>
      <c r="D201" t="s">
        <v>257</v>
      </c>
      <c r="E201">
        <v>73</v>
      </c>
      <c r="F201" t="s">
        <v>258</v>
      </c>
    </row>
    <row r="202" spans="1:6" x14ac:dyDescent="0.3">
      <c r="A202" s="629">
        <v>45639.646481481483</v>
      </c>
      <c r="B202">
        <v>542361075</v>
      </c>
      <c r="C202" t="s">
        <v>277</v>
      </c>
      <c r="D202" t="s">
        <v>257</v>
      </c>
      <c r="E202">
        <v>111</v>
      </c>
      <c r="F202" t="s">
        <v>258</v>
      </c>
    </row>
    <row r="203" spans="1:6" x14ac:dyDescent="0.3">
      <c r="A203" s="629">
        <v>45639.64634259259</v>
      </c>
      <c r="B203">
        <v>542361075</v>
      </c>
      <c r="C203" t="s">
        <v>277</v>
      </c>
      <c r="D203" t="s">
        <v>257</v>
      </c>
      <c r="E203">
        <v>241</v>
      </c>
      <c r="F203" t="s">
        <v>258</v>
      </c>
    </row>
    <row r="204" spans="1:6" x14ac:dyDescent="0.3">
      <c r="A204" s="629">
        <v>45639.646284722221</v>
      </c>
      <c r="B204">
        <v>542361075</v>
      </c>
      <c r="C204" t="s">
        <v>277</v>
      </c>
      <c r="D204" t="s">
        <v>257</v>
      </c>
      <c r="E204">
        <v>239</v>
      </c>
      <c r="F204" t="s">
        <v>258</v>
      </c>
    </row>
    <row r="205" spans="1:6" x14ac:dyDescent="0.3">
      <c r="A205" s="629">
        <v>45639.643611111111</v>
      </c>
      <c r="B205">
        <v>542361075</v>
      </c>
      <c r="C205" t="s">
        <v>277</v>
      </c>
      <c r="D205" t="s">
        <v>257</v>
      </c>
      <c r="E205">
        <v>226</v>
      </c>
      <c r="F205" t="s">
        <v>258</v>
      </c>
    </row>
    <row r="206" spans="1:6" x14ac:dyDescent="0.3">
      <c r="A206" s="629">
        <v>45639.643576388888</v>
      </c>
      <c r="B206">
        <v>542361075</v>
      </c>
      <c r="C206" t="s">
        <v>277</v>
      </c>
      <c r="D206" t="s">
        <v>257</v>
      </c>
      <c r="E206">
        <v>235</v>
      </c>
      <c r="F206" t="s">
        <v>258</v>
      </c>
    </row>
    <row r="207" spans="1:6" x14ac:dyDescent="0.3">
      <c r="A207" s="629">
        <v>45639.643495370372</v>
      </c>
      <c r="B207">
        <v>542361075</v>
      </c>
      <c r="C207" t="s">
        <v>277</v>
      </c>
      <c r="D207" t="s">
        <v>257</v>
      </c>
      <c r="E207">
        <v>250</v>
      </c>
      <c r="F207" t="s">
        <v>258</v>
      </c>
    </row>
    <row r="208" spans="1:6" x14ac:dyDescent="0.3">
      <c r="A208" s="629">
        <v>45639.643425925926</v>
      </c>
      <c r="B208">
        <v>542361075</v>
      </c>
      <c r="C208" t="s">
        <v>277</v>
      </c>
      <c r="D208" t="s">
        <v>257</v>
      </c>
      <c r="E208">
        <v>107</v>
      </c>
      <c r="F208" t="s">
        <v>258</v>
      </c>
    </row>
    <row r="209" spans="1:6" x14ac:dyDescent="0.3">
      <c r="A209" s="629">
        <v>45639.572418981479</v>
      </c>
      <c r="B209">
        <v>542361075</v>
      </c>
      <c r="C209" t="s">
        <v>277</v>
      </c>
      <c r="D209" t="s">
        <v>257</v>
      </c>
      <c r="E209">
        <v>28</v>
      </c>
      <c r="F209" t="s">
        <v>258</v>
      </c>
    </row>
    <row r="210" spans="1:6" x14ac:dyDescent="0.3">
      <c r="A210" s="629">
        <v>45639.572245370371</v>
      </c>
      <c r="B210">
        <v>542361075</v>
      </c>
      <c r="C210" t="s">
        <v>277</v>
      </c>
      <c r="D210" t="s">
        <v>257</v>
      </c>
      <c r="E210">
        <v>9</v>
      </c>
      <c r="F210" t="s">
        <v>258</v>
      </c>
    </row>
    <row r="211" spans="1:6" x14ac:dyDescent="0.3">
      <c r="A211" s="629">
        <v>45639.572013888886</v>
      </c>
      <c r="B211">
        <v>542361075</v>
      </c>
      <c r="C211" t="s">
        <v>277</v>
      </c>
      <c r="D211" t="s">
        <v>257</v>
      </c>
      <c r="E211">
        <v>28</v>
      </c>
      <c r="F211" t="s">
        <v>258</v>
      </c>
    </row>
    <row r="212" spans="1:6" x14ac:dyDescent="0.3">
      <c r="A212" s="629">
        <v>45639.570092592592</v>
      </c>
      <c r="B212">
        <v>542361075</v>
      </c>
      <c r="C212" t="s">
        <v>277</v>
      </c>
      <c r="D212" t="s">
        <v>257</v>
      </c>
      <c r="E212">
        <v>59</v>
      </c>
      <c r="F212" t="s">
        <v>258</v>
      </c>
    </row>
    <row r="213" spans="1:6" x14ac:dyDescent="0.3">
      <c r="A213" s="629">
        <v>45639.54923611111</v>
      </c>
      <c r="B213">
        <v>542361075</v>
      </c>
      <c r="C213" t="s">
        <v>277</v>
      </c>
      <c r="D213" t="s">
        <v>257</v>
      </c>
      <c r="E213">
        <v>28</v>
      </c>
      <c r="F213" t="s">
        <v>258</v>
      </c>
    </row>
    <row r="214" spans="1:6" x14ac:dyDescent="0.3">
      <c r="A214" s="629">
        <v>45639.519618055558</v>
      </c>
      <c r="B214">
        <v>542361075</v>
      </c>
      <c r="C214" t="s">
        <v>277</v>
      </c>
      <c r="D214" t="s">
        <v>257</v>
      </c>
      <c r="E214">
        <v>12</v>
      </c>
      <c r="F214" t="s">
        <v>258</v>
      </c>
    </row>
    <row r="215" spans="1:6" x14ac:dyDescent="0.3">
      <c r="A215" s="629">
        <v>45639.518969907411</v>
      </c>
      <c r="B215">
        <v>542361075</v>
      </c>
      <c r="C215" t="s">
        <v>277</v>
      </c>
      <c r="D215" t="s">
        <v>257</v>
      </c>
      <c r="E215">
        <v>241</v>
      </c>
      <c r="F215" t="s">
        <v>258</v>
      </c>
    </row>
    <row r="216" spans="1:6" x14ac:dyDescent="0.3">
      <c r="A216" s="629">
        <v>45639.506307870368</v>
      </c>
      <c r="B216">
        <v>542361075</v>
      </c>
      <c r="C216" t="s">
        <v>277</v>
      </c>
      <c r="D216" t="s">
        <v>257</v>
      </c>
      <c r="E216">
        <v>241</v>
      </c>
      <c r="F216" t="s">
        <v>258</v>
      </c>
    </row>
    <row r="217" spans="1:6" x14ac:dyDescent="0.3">
      <c r="A217" s="629">
        <v>45639.501354166663</v>
      </c>
      <c r="B217">
        <v>542361075</v>
      </c>
      <c r="C217" t="s">
        <v>277</v>
      </c>
      <c r="D217" t="s">
        <v>257</v>
      </c>
      <c r="E217">
        <v>237</v>
      </c>
      <c r="F217" t="s">
        <v>258</v>
      </c>
    </row>
    <row r="218" spans="1:6" x14ac:dyDescent="0.3">
      <c r="A218" s="629">
        <v>45639.500960648147</v>
      </c>
      <c r="B218">
        <v>542361075</v>
      </c>
      <c r="C218" t="s">
        <v>277</v>
      </c>
      <c r="D218" t="s">
        <v>257</v>
      </c>
      <c r="E218">
        <v>12</v>
      </c>
      <c r="F218" t="s">
        <v>258</v>
      </c>
    </row>
    <row r="219" spans="1:6" x14ac:dyDescent="0.3">
      <c r="A219" s="629">
        <v>45639.498298611114</v>
      </c>
      <c r="B219">
        <v>542361075</v>
      </c>
      <c r="C219" t="s">
        <v>277</v>
      </c>
      <c r="D219" t="s">
        <v>257</v>
      </c>
      <c r="E219">
        <v>32</v>
      </c>
      <c r="F219" t="s">
        <v>258</v>
      </c>
    </row>
    <row r="220" spans="1:6" x14ac:dyDescent="0.3">
      <c r="A220" s="629">
        <v>45639.49796296296</v>
      </c>
      <c r="B220">
        <v>542361075</v>
      </c>
      <c r="C220" t="s">
        <v>277</v>
      </c>
      <c r="D220" t="s">
        <v>257</v>
      </c>
      <c r="E220">
        <v>245</v>
      </c>
      <c r="F220" t="s">
        <v>258</v>
      </c>
    </row>
    <row r="221" spans="1:6" x14ac:dyDescent="0.3">
      <c r="A221" s="629">
        <v>45639.490856481483</v>
      </c>
      <c r="B221">
        <v>542361075</v>
      </c>
      <c r="C221" t="s">
        <v>277</v>
      </c>
      <c r="D221" t="s">
        <v>257</v>
      </c>
      <c r="E221">
        <v>141</v>
      </c>
      <c r="F221" t="s">
        <v>258</v>
      </c>
    </row>
    <row r="222" spans="1:6" x14ac:dyDescent="0.3">
      <c r="A222" s="629">
        <v>45639.49082175926</v>
      </c>
      <c r="B222">
        <v>542361075</v>
      </c>
      <c r="C222" t="s">
        <v>277</v>
      </c>
      <c r="D222" t="s">
        <v>257</v>
      </c>
      <c r="E222">
        <v>39</v>
      </c>
      <c r="F222" t="s">
        <v>258</v>
      </c>
    </row>
    <row r="223" spans="1:6" x14ac:dyDescent="0.3">
      <c r="A223" s="629">
        <v>45639.490787037037</v>
      </c>
      <c r="B223">
        <v>542361075</v>
      </c>
      <c r="C223" t="s">
        <v>277</v>
      </c>
      <c r="D223" t="s">
        <v>257</v>
      </c>
      <c r="E223">
        <v>166</v>
      </c>
      <c r="F223" t="s">
        <v>258</v>
      </c>
    </row>
    <row r="224" spans="1:6" x14ac:dyDescent="0.3">
      <c r="A224" s="629">
        <v>45639.490370370368</v>
      </c>
      <c r="B224">
        <v>542361075</v>
      </c>
      <c r="C224" t="s">
        <v>277</v>
      </c>
      <c r="D224" t="s">
        <v>257</v>
      </c>
      <c r="E224">
        <v>205</v>
      </c>
      <c r="F224" t="s">
        <v>258</v>
      </c>
    </row>
    <row r="225" spans="1:6" x14ac:dyDescent="0.3">
      <c r="A225" s="629">
        <v>45639.490312499998</v>
      </c>
      <c r="B225">
        <v>542361075</v>
      </c>
      <c r="C225" t="s">
        <v>277</v>
      </c>
      <c r="D225" t="s">
        <v>257</v>
      </c>
      <c r="E225">
        <v>2</v>
      </c>
      <c r="F225" t="s">
        <v>258</v>
      </c>
    </row>
    <row r="226" spans="1:6" x14ac:dyDescent="0.3">
      <c r="A226" s="629">
        <v>45639.49013888889</v>
      </c>
      <c r="B226">
        <v>542361075</v>
      </c>
      <c r="C226" t="s">
        <v>277</v>
      </c>
      <c r="D226" t="s">
        <v>257</v>
      </c>
      <c r="E226">
        <v>26</v>
      </c>
      <c r="F226" t="s">
        <v>258</v>
      </c>
    </row>
    <row r="227" spans="1:6" x14ac:dyDescent="0.3">
      <c r="A227" s="629">
        <v>45639.48265046296</v>
      </c>
      <c r="B227">
        <v>542361075</v>
      </c>
      <c r="C227" t="s">
        <v>277</v>
      </c>
      <c r="D227" t="s">
        <v>257</v>
      </c>
      <c r="E227">
        <v>146</v>
      </c>
      <c r="F227" t="s">
        <v>258</v>
      </c>
    </row>
    <row r="228" spans="1:6" x14ac:dyDescent="0.3">
      <c r="A228" s="629">
        <v>45639.47997685185</v>
      </c>
      <c r="B228">
        <v>542361075</v>
      </c>
      <c r="C228" t="s">
        <v>277</v>
      </c>
      <c r="D228" t="s">
        <v>257</v>
      </c>
      <c r="E228">
        <v>220</v>
      </c>
      <c r="F228" t="s">
        <v>258</v>
      </c>
    </row>
    <row r="229" spans="1:6" x14ac:dyDescent="0.3">
      <c r="A229" s="629">
        <v>45639.479930555557</v>
      </c>
      <c r="B229">
        <v>542361075</v>
      </c>
      <c r="C229" t="s">
        <v>277</v>
      </c>
      <c r="D229" t="s">
        <v>257</v>
      </c>
      <c r="E229">
        <v>237</v>
      </c>
      <c r="F229" t="s">
        <v>258</v>
      </c>
    </row>
    <row r="230" spans="1:6" x14ac:dyDescent="0.3">
      <c r="A230" s="629">
        <v>45639.468333333331</v>
      </c>
      <c r="B230">
        <v>542361075</v>
      </c>
      <c r="C230" t="s">
        <v>277</v>
      </c>
      <c r="D230" t="s">
        <v>257</v>
      </c>
      <c r="E230">
        <v>2</v>
      </c>
      <c r="F230" t="s">
        <v>258</v>
      </c>
    </row>
    <row r="231" spans="1:6" x14ac:dyDescent="0.3">
      <c r="A231" s="629">
        <v>45639.46597222222</v>
      </c>
      <c r="B231">
        <v>542361075</v>
      </c>
      <c r="C231" t="s">
        <v>277</v>
      </c>
      <c r="D231" t="s">
        <v>257</v>
      </c>
      <c r="E231">
        <v>146</v>
      </c>
      <c r="F231" t="s">
        <v>258</v>
      </c>
    </row>
    <row r="232" spans="1:6" x14ac:dyDescent="0.3">
      <c r="A232" s="629">
        <v>45639.465289351851</v>
      </c>
      <c r="B232">
        <v>542361075</v>
      </c>
      <c r="C232" t="s">
        <v>277</v>
      </c>
      <c r="D232" t="s">
        <v>257</v>
      </c>
      <c r="E232">
        <v>26</v>
      </c>
      <c r="F232" t="s">
        <v>258</v>
      </c>
    </row>
    <row r="233" spans="1:6" x14ac:dyDescent="0.3">
      <c r="A233" s="629">
        <v>45639.463958333334</v>
      </c>
      <c r="B233">
        <v>542361075</v>
      </c>
      <c r="C233" t="s">
        <v>277</v>
      </c>
      <c r="D233" t="s">
        <v>257</v>
      </c>
      <c r="E233">
        <v>141</v>
      </c>
      <c r="F233" t="s">
        <v>258</v>
      </c>
    </row>
    <row r="234" spans="1:6" x14ac:dyDescent="0.3">
      <c r="A234" s="629">
        <v>45639.463923611111</v>
      </c>
      <c r="B234">
        <v>542361075</v>
      </c>
      <c r="C234" t="s">
        <v>277</v>
      </c>
      <c r="D234" t="s">
        <v>257</v>
      </c>
      <c r="E234">
        <v>39</v>
      </c>
      <c r="F234" t="s">
        <v>258</v>
      </c>
    </row>
    <row r="235" spans="1:6" x14ac:dyDescent="0.3">
      <c r="A235" s="629">
        <v>45639.463865740741</v>
      </c>
      <c r="B235">
        <v>542361075</v>
      </c>
      <c r="C235" t="s">
        <v>277</v>
      </c>
      <c r="D235" t="s">
        <v>257</v>
      </c>
      <c r="E235">
        <v>166</v>
      </c>
      <c r="F235" t="s">
        <v>258</v>
      </c>
    </row>
    <row r="236" spans="1:6" x14ac:dyDescent="0.3">
      <c r="A236" s="629">
        <v>45639.46365740741</v>
      </c>
      <c r="B236">
        <v>542361075</v>
      </c>
      <c r="C236" t="s">
        <v>277</v>
      </c>
      <c r="D236" t="s">
        <v>257</v>
      </c>
      <c r="E236">
        <v>212</v>
      </c>
      <c r="F236" t="s">
        <v>258</v>
      </c>
    </row>
    <row r="237" spans="1:6" x14ac:dyDescent="0.3">
      <c r="A237" s="629">
        <v>45639.461377314816</v>
      </c>
      <c r="B237">
        <v>542361075</v>
      </c>
      <c r="C237" t="s">
        <v>277</v>
      </c>
      <c r="D237" t="s">
        <v>257</v>
      </c>
      <c r="E237">
        <v>51</v>
      </c>
      <c r="F237" t="s">
        <v>258</v>
      </c>
    </row>
    <row r="238" spans="1:6" x14ac:dyDescent="0.3">
      <c r="A238" s="629">
        <v>45639.460868055554</v>
      </c>
      <c r="B238">
        <v>542361075</v>
      </c>
      <c r="C238" t="s">
        <v>277</v>
      </c>
      <c r="D238" t="s">
        <v>257</v>
      </c>
      <c r="E238">
        <v>236</v>
      </c>
      <c r="F238" t="s">
        <v>258</v>
      </c>
    </row>
    <row r="239" spans="1:6" x14ac:dyDescent="0.3">
      <c r="A239" s="629">
        <v>45639.457719907405</v>
      </c>
      <c r="B239">
        <v>542361075</v>
      </c>
      <c r="C239" t="s">
        <v>277</v>
      </c>
      <c r="D239" t="s">
        <v>257</v>
      </c>
      <c r="E239">
        <v>220</v>
      </c>
      <c r="F239" t="s">
        <v>258</v>
      </c>
    </row>
    <row r="240" spans="1:6" x14ac:dyDescent="0.3">
      <c r="A240" s="629">
        <v>45639.442650462966</v>
      </c>
      <c r="B240">
        <v>542361075</v>
      </c>
      <c r="C240" t="s">
        <v>277</v>
      </c>
      <c r="D240" t="s">
        <v>257</v>
      </c>
      <c r="E240">
        <v>212</v>
      </c>
      <c r="F240" t="s">
        <v>258</v>
      </c>
    </row>
    <row r="241" spans="1:6" x14ac:dyDescent="0.3">
      <c r="A241" s="629">
        <v>45639.440868055557</v>
      </c>
      <c r="B241">
        <v>542361075</v>
      </c>
      <c r="C241" t="s">
        <v>277</v>
      </c>
      <c r="D241" t="s">
        <v>257</v>
      </c>
      <c r="E241">
        <v>169</v>
      </c>
      <c r="F241" t="s">
        <v>258</v>
      </c>
    </row>
    <row r="242" spans="1:6" x14ac:dyDescent="0.3">
      <c r="A242" s="629">
        <v>45639.440821759257</v>
      </c>
      <c r="B242">
        <v>542361075</v>
      </c>
      <c r="C242" t="s">
        <v>277</v>
      </c>
      <c r="D242" t="s">
        <v>257</v>
      </c>
      <c r="E242">
        <v>236</v>
      </c>
      <c r="F242" t="s">
        <v>258</v>
      </c>
    </row>
    <row r="243" spans="1:6" x14ac:dyDescent="0.3">
      <c r="A243" s="629">
        <v>45639.44027777778</v>
      </c>
      <c r="B243">
        <v>542361075</v>
      </c>
      <c r="C243" t="s">
        <v>277</v>
      </c>
      <c r="D243" t="s">
        <v>257</v>
      </c>
      <c r="E243">
        <v>95</v>
      </c>
      <c r="F243" t="s">
        <v>258</v>
      </c>
    </row>
    <row r="244" spans="1:6" x14ac:dyDescent="0.3">
      <c r="A244" s="629">
        <v>45639.439872685187</v>
      </c>
      <c r="B244">
        <v>542361075</v>
      </c>
      <c r="C244" t="s">
        <v>277</v>
      </c>
      <c r="D244" t="s">
        <v>257</v>
      </c>
      <c r="E244">
        <v>116</v>
      </c>
      <c r="F244" t="s">
        <v>258</v>
      </c>
    </row>
    <row r="245" spans="1:6" x14ac:dyDescent="0.3">
      <c r="A245" s="629">
        <v>45639.439675925925</v>
      </c>
      <c r="B245">
        <v>542361075</v>
      </c>
      <c r="C245" t="s">
        <v>277</v>
      </c>
      <c r="D245" t="s">
        <v>257</v>
      </c>
      <c r="E245">
        <v>64</v>
      </c>
      <c r="F245" t="s">
        <v>258</v>
      </c>
    </row>
    <row r="246" spans="1:6" x14ac:dyDescent="0.3">
      <c r="A246" s="629">
        <v>45639.439560185187</v>
      </c>
      <c r="B246">
        <v>542361075</v>
      </c>
      <c r="C246" t="s">
        <v>277</v>
      </c>
      <c r="D246" t="s">
        <v>257</v>
      </c>
      <c r="E246">
        <v>222</v>
      </c>
      <c r="F246" t="s">
        <v>258</v>
      </c>
    </row>
    <row r="247" spans="1:6" x14ac:dyDescent="0.3">
      <c r="A247" s="629">
        <v>45639.439525462964</v>
      </c>
      <c r="B247">
        <v>542361075</v>
      </c>
      <c r="C247" t="s">
        <v>277</v>
      </c>
      <c r="D247" t="s">
        <v>257</v>
      </c>
      <c r="E247">
        <v>234</v>
      </c>
      <c r="F247" t="s">
        <v>258</v>
      </c>
    </row>
    <row r="248" spans="1:6" x14ac:dyDescent="0.3">
      <c r="A248" s="629">
        <v>45639.418611111112</v>
      </c>
      <c r="B248">
        <v>542361075</v>
      </c>
      <c r="C248" t="s">
        <v>277</v>
      </c>
      <c r="D248" t="s">
        <v>257</v>
      </c>
      <c r="E248">
        <v>234</v>
      </c>
      <c r="F248" t="s">
        <v>258</v>
      </c>
    </row>
    <row r="249" spans="1:6" x14ac:dyDescent="0.3">
      <c r="A249" s="629">
        <v>45639.417581018519</v>
      </c>
      <c r="B249">
        <v>542361075</v>
      </c>
      <c r="C249" t="s">
        <v>277</v>
      </c>
      <c r="D249" t="s">
        <v>257</v>
      </c>
      <c r="E249">
        <v>222</v>
      </c>
      <c r="F249" t="s">
        <v>258</v>
      </c>
    </row>
    <row r="250" spans="1:6" x14ac:dyDescent="0.3">
      <c r="A250" s="629">
        <v>45639.417372685188</v>
      </c>
      <c r="B250">
        <v>542361075</v>
      </c>
      <c r="C250" t="s">
        <v>277</v>
      </c>
      <c r="D250" t="s">
        <v>257</v>
      </c>
      <c r="E250">
        <v>116</v>
      </c>
      <c r="F250" t="s">
        <v>258</v>
      </c>
    </row>
    <row r="251" spans="1:6" x14ac:dyDescent="0.3">
      <c r="A251" s="629">
        <v>45639.417337962965</v>
      </c>
      <c r="B251">
        <v>542361075</v>
      </c>
      <c r="C251" t="s">
        <v>277</v>
      </c>
      <c r="D251" t="s">
        <v>257</v>
      </c>
      <c r="E251">
        <v>116</v>
      </c>
      <c r="F251" t="s">
        <v>258</v>
      </c>
    </row>
    <row r="252" spans="1:6" x14ac:dyDescent="0.3">
      <c r="A252" s="629">
        <v>45639.417141203703</v>
      </c>
      <c r="B252">
        <v>542361075</v>
      </c>
      <c r="C252" t="s">
        <v>277</v>
      </c>
      <c r="D252" t="s">
        <v>257</v>
      </c>
      <c r="E252">
        <v>95</v>
      </c>
      <c r="F252" t="s">
        <v>258</v>
      </c>
    </row>
    <row r="253" spans="1:6" x14ac:dyDescent="0.3">
      <c r="A253" s="629">
        <v>45639.351122685184</v>
      </c>
      <c r="B253">
        <v>542361075</v>
      </c>
      <c r="C253" t="s">
        <v>277</v>
      </c>
      <c r="F253" t="s">
        <v>455</v>
      </c>
    </row>
    <row r="254" spans="1:6" x14ac:dyDescent="0.3">
      <c r="A254" s="629">
        <v>45639.350844907407</v>
      </c>
      <c r="B254">
        <v>542361075</v>
      </c>
      <c r="C254" t="s">
        <v>277</v>
      </c>
      <c r="D254" t="s">
        <v>257</v>
      </c>
      <c r="E254">
        <v>97</v>
      </c>
      <c r="F254" t="s">
        <v>258</v>
      </c>
    </row>
    <row r="255" spans="1:6" x14ac:dyDescent="0.3">
      <c r="A255" s="629">
        <v>45639.349849537037</v>
      </c>
      <c r="B255">
        <v>542361075</v>
      </c>
      <c r="C255" t="s">
        <v>277</v>
      </c>
      <c r="F255" t="s">
        <v>454</v>
      </c>
    </row>
    <row r="256" spans="1:6" x14ac:dyDescent="0.3">
      <c r="A256" s="629">
        <v>45639.337881944448</v>
      </c>
      <c r="B256">
        <v>542361075</v>
      </c>
      <c r="C256" t="s">
        <v>277</v>
      </c>
      <c r="F256" t="s">
        <v>455</v>
      </c>
    </row>
    <row r="257" spans="1:6" x14ac:dyDescent="0.3">
      <c r="A257" s="629">
        <v>45639.336805555555</v>
      </c>
      <c r="B257">
        <v>542361075</v>
      </c>
      <c r="C257" t="s">
        <v>277</v>
      </c>
      <c r="D257" t="s">
        <v>257</v>
      </c>
      <c r="E257">
        <v>41</v>
      </c>
      <c r="F257" t="s">
        <v>258</v>
      </c>
    </row>
    <row r="258" spans="1:6" x14ac:dyDescent="0.3">
      <c r="A258" s="629">
        <v>45639.336678240739</v>
      </c>
      <c r="B258">
        <v>542361075</v>
      </c>
      <c r="C258" t="s">
        <v>277</v>
      </c>
      <c r="D258" t="s">
        <v>257</v>
      </c>
      <c r="E258">
        <v>34</v>
      </c>
      <c r="F258" t="s">
        <v>258</v>
      </c>
    </row>
    <row r="259" spans="1:6" x14ac:dyDescent="0.3">
      <c r="A259" s="629">
        <v>45639.325416666667</v>
      </c>
      <c r="B259">
        <v>542361075</v>
      </c>
      <c r="C259" t="s">
        <v>277</v>
      </c>
      <c r="D259" t="s">
        <v>257</v>
      </c>
      <c r="E259">
        <v>94</v>
      </c>
      <c r="F259" t="s">
        <v>258</v>
      </c>
    </row>
    <row r="260" spans="1:6" x14ac:dyDescent="0.3">
      <c r="A260" s="629">
        <v>45639.325312499997</v>
      </c>
      <c r="B260">
        <v>542361075</v>
      </c>
      <c r="C260" t="s">
        <v>277</v>
      </c>
      <c r="D260" t="s">
        <v>257</v>
      </c>
      <c r="E260">
        <v>45</v>
      </c>
      <c r="F260" t="s">
        <v>258</v>
      </c>
    </row>
    <row r="261" spans="1:6" x14ac:dyDescent="0.3">
      <c r="A261" s="629">
        <v>45639.32408564815</v>
      </c>
      <c r="B261">
        <v>542361075</v>
      </c>
      <c r="C261" t="s">
        <v>277</v>
      </c>
      <c r="D261" t="s">
        <v>257</v>
      </c>
      <c r="E261">
        <v>35</v>
      </c>
      <c r="F261" t="s">
        <v>258</v>
      </c>
    </row>
    <row r="262" spans="1:6" x14ac:dyDescent="0.3">
      <c r="A262" s="629">
        <v>45639.324050925927</v>
      </c>
      <c r="B262">
        <v>542361075</v>
      </c>
      <c r="C262" t="s">
        <v>277</v>
      </c>
      <c r="D262" t="s">
        <v>257</v>
      </c>
      <c r="E262">
        <v>35</v>
      </c>
      <c r="F262" t="s">
        <v>258</v>
      </c>
    </row>
    <row r="263" spans="1:6" x14ac:dyDescent="0.3">
      <c r="A263" s="629">
        <v>45639.322881944441</v>
      </c>
      <c r="B263">
        <v>542361075</v>
      </c>
      <c r="C263" t="s">
        <v>277</v>
      </c>
      <c r="D263" t="s">
        <v>257</v>
      </c>
      <c r="E263">
        <v>89</v>
      </c>
      <c r="F263" t="s">
        <v>258</v>
      </c>
    </row>
    <row r="264" spans="1:6" x14ac:dyDescent="0.3">
      <c r="A264" s="629">
        <v>45639.319664351853</v>
      </c>
      <c r="B264">
        <v>542361075</v>
      </c>
      <c r="C264" t="s">
        <v>277</v>
      </c>
      <c r="D264" t="s">
        <v>257</v>
      </c>
      <c r="E264">
        <v>210</v>
      </c>
      <c r="F264" t="s">
        <v>258</v>
      </c>
    </row>
    <row r="265" spans="1:6" x14ac:dyDescent="0.3">
      <c r="A265" s="629">
        <v>45639.31890046296</v>
      </c>
      <c r="B265">
        <v>542361075</v>
      </c>
      <c r="C265" t="s">
        <v>277</v>
      </c>
      <c r="D265" t="s">
        <v>257</v>
      </c>
      <c r="E265">
        <v>195</v>
      </c>
      <c r="F265" t="s">
        <v>258</v>
      </c>
    </row>
    <row r="266" spans="1:6" x14ac:dyDescent="0.3">
      <c r="A266" s="629">
        <v>45639.318865740737</v>
      </c>
      <c r="B266">
        <v>542361075</v>
      </c>
      <c r="C266" t="s">
        <v>277</v>
      </c>
      <c r="D266" t="s">
        <v>257</v>
      </c>
      <c r="E266">
        <v>30</v>
      </c>
      <c r="F266" t="s">
        <v>258</v>
      </c>
    </row>
    <row r="267" spans="1:6" x14ac:dyDescent="0.3">
      <c r="A267" s="629">
        <v>45639.318344907406</v>
      </c>
      <c r="B267">
        <v>542361075</v>
      </c>
      <c r="C267" t="s">
        <v>277</v>
      </c>
      <c r="D267" t="s">
        <v>257</v>
      </c>
      <c r="E267">
        <v>242</v>
      </c>
      <c r="F267" t="s">
        <v>258</v>
      </c>
    </row>
    <row r="268" spans="1:6" x14ac:dyDescent="0.3">
      <c r="A268" s="629">
        <v>45639.318287037036</v>
      </c>
      <c r="B268">
        <v>542361075</v>
      </c>
      <c r="C268" t="s">
        <v>277</v>
      </c>
      <c r="D268" t="s">
        <v>257</v>
      </c>
      <c r="E268">
        <v>159</v>
      </c>
      <c r="F268" t="s">
        <v>258</v>
      </c>
    </row>
    <row r="269" spans="1:6" x14ac:dyDescent="0.3">
      <c r="A269" s="629">
        <v>45639.317453703705</v>
      </c>
      <c r="B269">
        <v>542361075</v>
      </c>
      <c r="C269" t="s">
        <v>277</v>
      </c>
      <c r="D269" t="s">
        <v>257</v>
      </c>
      <c r="E269">
        <v>63</v>
      </c>
      <c r="F269" t="s">
        <v>258</v>
      </c>
    </row>
    <row r="270" spans="1:6" x14ac:dyDescent="0.3">
      <c r="A270" s="629">
        <v>45639.316284722219</v>
      </c>
      <c r="B270">
        <v>542361075</v>
      </c>
      <c r="C270" t="s">
        <v>277</v>
      </c>
      <c r="D270" t="s">
        <v>257</v>
      </c>
      <c r="E270">
        <v>37</v>
      </c>
      <c r="F270" t="s">
        <v>258</v>
      </c>
    </row>
    <row r="271" spans="1:6" x14ac:dyDescent="0.3">
      <c r="A271" s="629">
        <v>45639.315983796296</v>
      </c>
      <c r="B271">
        <v>542361075</v>
      </c>
      <c r="C271" t="s">
        <v>277</v>
      </c>
      <c r="D271" t="s">
        <v>257</v>
      </c>
      <c r="E271">
        <v>33</v>
      </c>
      <c r="F271" t="s">
        <v>258</v>
      </c>
    </row>
    <row r="272" spans="1:6" x14ac:dyDescent="0.3">
      <c r="A272" s="629">
        <v>45639.315798611111</v>
      </c>
      <c r="B272">
        <v>542361075</v>
      </c>
      <c r="C272" t="s">
        <v>277</v>
      </c>
      <c r="D272" t="s">
        <v>257</v>
      </c>
      <c r="E272">
        <v>116</v>
      </c>
      <c r="F272" t="s">
        <v>258</v>
      </c>
    </row>
    <row r="273" spans="1:6" x14ac:dyDescent="0.3">
      <c r="A273" s="629">
        <v>45639.315439814818</v>
      </c>
      <c r="B273">
        <v>542361075</v>
      </c>
      <c r="C273" t="s">
        <v>277</v>
      </c>
      <c r="D273" t="s">
        <v>257</v>
      </c>
      <c r="E273">
        <v>158</v>
      </c>
      <c r="F273" t="s">
        <v>258</v>
      </c>
    </row>
    <row r="274" spans="1:6" x14ac:dyDescent="0.3">
      <c r="A274" s="629">
        <v>45639.31527777778</v>
      </c>
      <c r="B274">
        <v>542361075</v>
      </c>
      <c r="C274" t="s">
        <v>277</v>
      </c>
      <c r="D274" t="s">
        <v>257</v>
      </c>
      <c r="E274">
        <v>247</v>
      </c>
      <c r="F274" t="s">
        <v>258</v>
      </c>
    </row>
    <row r="275" spans="1:6" x14ac:dyDescent="0.3">
      <c r="A275" s="629">
        <v>45639.315127314818</v>
      </c>
      <c r="B275">
        <v>542361075</v>
      </c>
      <c r="C275" t="s">
        <v>277</v>
      </c>
      <c r="D275" t="s">
        <v>257</v>
      </c>
      <c r="E275">
        <v>58</v>
      </c>
      <c r="F275" t="s">
        <v>258</v>
      </c>
    </row>
    <row r="276" spans="1:6" x14ac:dyDescent="0.3">
      <c r="A276" s="629">
        <v>45639.314895833333</v>
      </c>
      <c r="B276">
        <v>542361075</v>
      </c>
      <c r="C276" t="s">
        <v>277</v>
      </c>
      <c r="D276" t="s">
        <v>257</v>
      </c>
      <c r="E276">
        <v>228</v>
      </c>
      <c r="F276" t="s">
        <v>258</v>
      </c>
    </row>
    <row r="277" spans="1:6" x14ac:dyDescent="0.3">
      <c r="A277" s="629">
        <v>45639.314664351848</v>
      </c>
      <c r="B277">
        <v>542361075</v>
      </c>
      <c r="C277" t="s">
        <v>277</v>
      </c>
      <c r="D277" t="s">
        <v>257</v>
      </c>
      <c r="E277">
        <v>231</v>
      </c>
      <c r="F277" t="s">
        <v>258</v>
      </c>
    </row>
    <row r="278" spans="1:6" x14ac:dyDescent="0.3">
      <c r="A278" s="629">
        <v>45639.314513888887</v>
      </c>
      <c r="B278">
        <v>542361075</v>
      </c>
      <c r="C278" t="s">
        <v>277</v>
      </c>
      <c r="D278" t="s">
        <v>257</v>
      </c>
      <c r="E278">
        <v>111</v>
      </c>
      <c r="F278" t="s">
        <v>258</v>
      </c>
    </row>
    <row r="279" spans="1:6" x14ac:dyDescent="0.3">
      <c r="A279" s="629">
        <v>45639.314270833333</v>
      </c>
      <c r="B279">
        <v>542361075</v>
      </c>
      <c r="C279" t="s">
        <v>277</v>
      </c>
      <c r="D279" t="s">
        <v>257</v>
      </c>
      <c r="E279">
        <v>27</v>
      </c>
      <c r="F279" t="s">
        <v>258</v>
      </c>
    </row>
    <row r="280" spans="1:6" x14ac:dyDescent="0.3">
      <c r="A280" s="629">
        <v>45639.31422453704</v>
      </c>
      <c r="B280">
        <v>542361075</v>
      </c>
      <c r="C280" t="s">
        <v>277</v>
      </c>
      <c r="D280" t="s">
        <v>257</v>
      </c>
      <c r="E280">
        <v>29</v>
      </c>
      <c r="F280" t="s">
        <v>258</v>
      </c>
    </row>
    <row r="281" spans="1:6" x14ac:dyDescent="0.3">
      <c r="A281" s="629">
        <v>45639.314108796294</v>
      </c>
      <c r="B281">
        <v>542361075</v>
      </c>
      <c r="C281" t="s">
        <v>277</v>
      </c>
      <c r="D281" t="s">
        <v>257</v>
      </c>
      <c r="E281">
        <v>51</v>
      </c>
      <c r="F281" t="s">
        <v>258</v>
      </c>
    </row>
    <row r="282" spans="1:6" x14ac:dyDescent="0.3">
      <c r="A282" s="629">
        <v>45639.314062500001</v>
      </c>
      <c r="B282">
        <v>542361075</v>
      </c>
      <c r="C282" t="s">
        <v>277</v>
      </c>
      <c r="D282" t="s">
        <v>257</v>
      </c>
      <c r="E282">
        <v>2</v>
      </c>
      <c r="F282" t="s">
        <v>258</v>
      </c>
    </row>
    <row r="283" spans="1:6" x14ac:dyDescent="0.3">
      <c r="A283" s="629">
        <v>45639.314016203702</v>
      </c>
      <c r="B283">
        <v>542361075</v>
      </c>
      <c r="C283" t="s">
        <v>277</v>
      </c>
      <c r="D283" t="s">
        <v>257</v>
      </c>
      <c r="E283">
        <v>237</v>
      </c>
      <c r="F283" t="s">
        <v>258</v>
      </c>
    </row>
    <row r="284" spans="1:6" x14ac:dyDescent="0.3">
      <c r="A284" s="629">
        <v>45639.313981481479</v>
      </c>
      <c r="B284">
        <v>542361075</v>
      </c>
      <c r="C284" t="s">
        <v>277</v>
      </c>
      <c r="D284" t="s">
        <v>257</v>
      </c>
      <c r="E284">
        <v>14</v>
      </c>
      <c r="F284" t="s">
        <v>258</v>
      </c>
    </row>
    <row r="285" spans="1:6" x14ac:dyDescent="0.3">
      <c r="A285" s="629">
        <v>45639.313946759263</v>
      </c>
      <c r="B285">
        <v>542361075</v>
      </c>
      <c r="C285" t="s">
        <v>277</v>
      </c>
      <c r="D285" t="s">
        <v>257</v>
      </c>
      <c r="E285">
        <v>227</v>
      </c>
      <c r="F285" t="s">
        <v>258</v>
      </c>
    </row>
    <row r="286" spans="1:6" x14ac:dyDescent="0.3">
      <c r="A286" s="629">
        <v>45639.31391203704</v>
      </c>
      <c r="B286">
        <v>542361075</v>
      </c>
      <c r="C286" t="s">
        <v>277</v>
      </c>
      <c r="D286" t="s">
        <v>257</v>
      </c>
      <c r="E286">
        <v>135</v>
      </c>
      <c r="F286" t="s">
        <v>258</v>
      </c>
    </row>
    <row r="287" spans="1:6" x14ac:dyDescent="0.3">
      <c r="A287" s="629">
        <v>45639.31386574074</v>
      </c>
      <c r="B287">
        <v>542361075</v>
      </c>
      <c r="C287" t="s">
        <v>277</v>
      </c>
      <c r="D287" t="s">
        <v>257</v>
      </c>
      <c r="E287">
        <v>70</v>
      </c>
      <c r="F287" t="s">
        <v>258</v>
      </c>
    </row>
    <row r="288" spans="1:6" x14ac:dyDescent="0.3">
      <c r="A288" s="629">
        <v>45639.313796296294</v>
      </c>
      <c r="B288">
        <v>542361075</v>
      </c>
      <c r="C288" t="s">
        <v>277</v>
      </c>
      <c r="D288" t="s">
        <v>257</v>
      </c>
      <c r="E288">
        <v>75</v>
      </c>
      <c r="F288" t="s">
        <v>258</v>
      </c>
    </row>
    <row r="289" spans="1:6" x14ac:dyDescent="0.3">
      <c r="A289" s="629">
        <v>45639.313680555555</v>
      </c>
      <c r="B289">
        <v>542361075</v>
      </c>
      <c r="C289" t="s">
        <v>277</v>
      </c>
      <c r="D289" t="s">
        <v>257</v>
      </c>
      <c r="E289">
        <v>214</v>
      </c>
      <c r="F289" t="s">
        <v>258</v>
      </c>
    </row>
    <row r="290" spans="1:6" x14ac:dyDescent="0.3">
      <c r="A290" s="629">
        <v>45639.313402777778</v>
      </c>
      <c r="B290">
        <v>542361075</v>
      </c>
      <c r="C290" t="s">
        <v>277</v>
      </c>
      <c r="D290" t="s">
        <v>257</v>
      </c>
      <c r="E290">
        <v>251</v>
      </c>
      <c r="F290" t="s">
        <v>258</v>
      </c>
    </row>
    <row r="291" spans="1:6" x14ac:dyDescent="0.3">
      <c r="A291" s="629">
        <v>45639.312939814816</v>
      </c>
      <c r="B291">
        <v>542361075</v>
      </c>
      <c r="C291" t="s">
        <v>277</v>
      </c>
      <c r="D291" t="s">
        <v>257</v>
      </c>
      <c r="E291">
        <v>7</v>
      </c>
      <c r="F291" t="s">
        <v>258</v>
      </c>
    </row>
    <row r="292" spans="1:6" x14ac:dyDescent="0.3">
      <c r="A292" s="629">
        <v>45639.312523148146</v>
      </c>
      <c r="B292">
        <v>542361075</v>
      </c>
      <c r="C292" t="s">
        <v>277</v>
      </c>
      <c r="D292" t="s">
        <v>257</v>
      </c>
      <c r="E292">
        <v>223</v>
      </c>
      <c r="F292" t="s">
        <v>258</v>
      </c>
    </row>
    <row r="293" spans="1:6" x14ac:dyDescent="0.3">
      <c r="A293" s="629">
        <v>45639.3125</v>
      </c>
      <c r="B293">
        <v>542361075</v>
      </c>
      <c r="C293" t="s">
        <v>277</v>
      </c>
      <c r="D293" t="s">
        <v>257</v>
      </c>
      <c r="E293">
        <v>220</v>
      </c>
      <c r="F293" t="s">
        <v>258</v>
      </c>
    </row>
    <row r="294" spans="1:6" x14ac:dyDescent="0.3">
      <c r="A294" s="629">
        <v>45639.312210648146</v>
      </c>
      <c r="B294">
        <v>542361075</v>
      </c>
      <c r="C294" t="s">
        <v>277</v>
      </c>
      <c r="D294" t="s">
        <v>257</v>
      </c>
      <c r="E294">
        <v>244</v>
      </c>
      <c r="F294" t="s">
        <v>258</v>
      </c>
    </row>
    <row r="295" spans="1:6" x14ac:dyDescent="0.3">
      <c r="A295" s="629">
        <v>45639.312152777777</v>
      </c>
      <c r="B295">
        <v>542361075</v>
      </c>
      <c r="C295" t="s">
        <v>277</v>
      </c>
      <c r="D295" t="s">
        <v>257</v>
      </c>
      <c r="E295">
        <v>205</v>
      </c>
      <c r="F295" t="s">
        <v>258</v>
      </c>
    </row>
    <row r="296" spans="1:6" x14ac:dyDescent="0.3">
      <c r="A296" s="629">
        <v>45639.311840277776</v>
      </c>
      <c r="B296">
        <v>542361075</v>
      </c>
      <c r="C296" t="s">
        <v>277</v>
      </c>
      <c r="D296" t="s">
        <v>257</v>
      </c>
      <c r="E296">
        <v>236</v>
      </c>
      <c r="F296" t="s">
        <v>258</v>
      </c>
    </row>
    <row r="297" spans="1:6" x14ac:dyDescent="0.3">
      <c r="A297" s="629">
        <v>45639.311006944445</v>
      </c>
      <c r="B297">
        <v>542361075</v>
      </c>
      <c r="C297" t="s">
        <v>277</v>
      </c>
      <c r="D297" t="s">
        <v>257</v>
      </c>
      <c r="E297">
        <v>169</v>
      </c>
      <c r="F297" t="s">
        <v>258</v>
      </c>
    </row>
    <row r="298" spans="1:6" x14ac:dyDescent="0.3">
      <c r="A298" s="629">
        <v>45639.310358796298</v>
      </c>
      <c r="B298">
        <v>542361075</v>
      </c>
      <c r="C298" t="s">
        <v>277</v>
      </c>
      <c r="D298" t="s">
        <v>257</v>
      </c>
      <c r="E298">
        <v>212</v>
      </c>
      <c r="F298" t="s">
        <v>258</v>
      </c>
    </row>
    <row r="299" spans="1:6" x14ac:dyDescent="0.3">
      <c r="A299" s="629">
        <v>45639.310289351852</v>
      </c>
      <c r="B299">
        <v>542361075</v>
      </c>
      <c r="C299" t="s">
        <v>277</v>
      </c>
      <c r="D299" t="s">
        <v>257</v>
      </c>
      <c r="E299">
        <v>95</v>
      </c>
      <c r="F299" t="s">
        <v>258</v>
      </c>
    </row>
    <row r="300" spans="1:6" x14ac:dyDescent="0.3">
      <c r="A300" s="629">
        <v>45639.309467592589</v>
      </c>
      <c r="B300">
        <v>542361075</v>
      </c>
      <c r="C300" t="s">
        <v>277</v>
      </c>
      <c r="D300" t="s">
        <v>257</v>
      </c>
      <c r="E300">
        <v>181</v>
      </c>
      <c r="F300" t="s">
        <v>258</v>
      </c>
    </row>
    <row r="301" spans="1:6" x14ac:dyDescent="0.3">
      <c r="A301" s="629">
        <v>45639.309398148151</v>
      </c>
      <c r="B301">
        <v>542361075</v>
      </c>
      <c r="C301" t="s">
        <v>277</v>
      </c>
      <c r="D301" t="s">
        <v>257</v>
      </c>
      <c r="E301">
        <v>141</v>
      </c>
      <c r="F301" t="s">
        <v>258</v>
      </c>
    </row>
    <row r="302" spans="1:6" x14ac:dyDescent="0.3">
      <c r="A302" s="629">
        <v>45639.309351851851</v>
      </c>
      <c r="B302">
        <v>542361075</v>
      </c>
      <c r="C302" t="s">
        <v>277</v>
      </c>
      <c r="D302" t="s">
        <v>257</v>
      </c>
      <c r="E302">
        <v>166</v>
      </c>
      <c r="F302" t="s">
        <v>258</v>
      </c>
    </row>
    <row r="303" spans="1:6" x14ac:dyDescent="0.3">
      <c r="A303" s="629">
        <v>45639.308287037034</v>
      </c>
      <c r="B303">
        <v>542361075</v>
      </c>
      <c r="C303" t="s">
        <v>277</v>
      </c>
      <c r="D303" t="s">
        <v>257</v>
      </c>
      <c r="E303">
        <v>234</v>
      </c>
      <c r="F303" t="s">
        <v>258</v>
      </c>
    </row>
    <row r="304" spans="1:6" x14ac:dyDescent="0.3">
      <c r="A304" s="629">
        <v>45639.308067129627</v>
      </c>
      <c r="B304">
        <v>542361075</v>
      </c>
      <c r="C304" t="s">
        <v>277</v>
      </c>
      <c r="D304" t="s">
        <v>257</v>
      </c>
      <c r="E304">
        <v>32</v>
      </c>
      <c r="F304" t="s">
        <v>258</v>
      </c>
    </row>
    <row r="305" spans="1:6" x14ac:dyDescent="0.3">
      <c r="A305" s="629">
        <v>45639.307523148149</v>
      </c>
      <c r="B305">
        <v>542361075</v>
      </c>
      <c r="C305" t="s">
        <v>277</v>
      </c>
      <c r="D305" t="s">
        <v>257</v>
      </c>
      <c r="E305">
        <v>39</v>
      </c>
      <c r="F305" t="s">
        <v>258</v>
      </c>
    </row>
    <row r="306" spans="1:6" x14ac:dyDescent="0.3">
      <c r="A306" s="629">
        <v>45639.30741898148</v>
      </c>
      <c r="B306">
        <v>542361075</v>
      </c>
      <c r="C306" t="s">
        <v>277</v>
      </c>
      <c r="D306" t="s">
        <v>257</v>
      </c>
      <c r="E306">
        <v>9</v>
      </c>
      <c r="F306" t="s">
        <v>258</v>
      </c>
    </row>
    <row r="307" spans="1:6" x14ac:dyDescent="0.3">
      <c r="A307" s="629">
        <v>45639.307118055556</v>
      </c>
      <c r="B307">
        <v>542361075</v>
      </c>
      <c r="C307" t="s">
        <v>277</v>
      </c>
      <c r="D307" t="s">
        <v>257</v>
      </c>
      <c r="E307">
        <v>222</v>
      </c>
      <c r="F307" t="s">
        <v>258</v>
      </c>
    </row>
    <row r="308" spans="1:6" x14ac:dyDescent="0.3">
      <c r="A308" s="629">
        <v>45639.307060185187</v>
      </c>
      <c r="B308">
        <v>542361075</v>
      </c>
      <c r="C308" t="s">
        <v>277</v>
      </c>
      <c r="D308" t="s">
        <v>257</v>
      </c>
      <c r="E308">
        <v>146</v>
      </c>
      <c r="F308" t="s">
        <v>258</v>
      </c>
    </row>
    <row r="309" spans="1:6" x14ac:dyDescent="0.3">
      <c r="A309" s="629">
        <v>45639.306597222225</v>
      </c>
      <c r="B309">
        <v>542361075</v>
      </c>
      <c r="C309" t="s">
        <v>277</v>
      </c>
      <c r="D309" t="s">
        <v>257</v>
      </c>
      <c r="E309">
        <v>239</v>
      </c>
      <c r="F309" t="s">
        <v>258</v>
      </c>
    </row>
    <row r="310" spans="1:6" x14ac:dyDescent="0.3">
      <c r="A310" s="629">
        <v>45639.306550925925</v>
      </c>
      <c r="B310">
        <v>542361075</v>
      </c>
      <c r="C310" t="s">
        <v>277</v>
      </c>
      <c r="D310" t="s">
        <v>257</v>
      </c>
      <c r="E310">
        <v>230</v>
      </c>
      <c r="F310" t="s">
        <v>258</v>
      </c>
    </row>
    <row r="311" spans="1:6" x14ac:dyDescent="0.3">
      <c r="A311" s="629">
        <v>45639.306504629632</v>
      </c>
      <c r="B311">
        <v>542361075</v>
      </c>
      <c r="C311" t="s">
        <v>277</v>
      </c>
      <c r="D311" t="s">
        <v>257</v>
      </c>
      <c r="E311">
        <v>64</v>
      </c>
      <c r="F311" t="s">
        <v>258</v>
      </c>
    </row>
    <row r="312" spans="1:6" x14ac:dyDescent="0.3">
      <c r="A312" s="629">
        <v>45639.306469907409</v>
      </c>
      <c r="B312">
        <v>542361075</v>
      </c>
      <c r="C312" t="s">
        <v>277</v>
      </c>
      <c r="D312" t="s">
        <v>257</v>
      </c>
      <c r="E312">
        <v>73</v>
      </c>
      <c r="F312" t="s">
        <v>258</v>
      </c>
    </row>
    <row r="313" spans="1:6" x14ac:dyDescent="0.3">
      <c r="A313" s="629">
        <v>45639.306018518517</v>
      </c>
      <c r="B313">
        <v>542361075</v>
      </c>
      <c r="C313" t="s">
        <v>277</v>
      </c>
      <c r="D313" t="s">
        <v>257</v>
      </c>
      <c r="E313">
        <v>26</v>
      </c>
      <c r="F313" t="s">
        <v>258</v>
      </c>
    </row>
    <row r="314" spans="1:6" x14ac:dyDescent="0.3">
      <c r="A314" s="629">
        <v>45639.30572916667</v>
      </c>
      <c r="B314">
        <v>542361075</v>
      </c>
      <c r="C314" t="s">
        <v>277</v>
      </c>
      <c r="D314" t="s">
        <v>257</v>
      </c>
      <c r="E314">
        <v>59</v>
      </c>
      <c r="F314" t="s">
        <v>258</v>
      </c>
    </row>
    <row r="315" spans="1:6" x14ac:dyDescent="0.3">
      <c r="A315" s="629">
        <v>45639.305486111109</v>
      </c>
      <c r="B315">
        <v>542361075</v>
      </c>
      <c r="C315" t="s">
        <v>277</v>
      </c>
      <c r="D315" t="s">
        <v>257</v>
      </c>
      <c r="E315">
        <v>28</v>
      </c>
      <c r="F315" t="s">
        <v>258</v>
      </c>
    </row>
    <row r="316" spans="1:6" x14ac:dyDescent="0.3">
      <c r="A316" s="629">
        <v>45639.301979166667</v>
      </c>
      <c r="B316">
        <v>542361075</v>
      </c>
      <c r="C316" t="s">
        <v>277</v>
      </c>
      <c r="D316" t="s">
        <v>257</v>
      </c>
      <c r="E316">
        <v>12</v>
      </c>
      <c r="F316" t="s">
        <v>258</v>
      </c>
    </row>
    <row r="317" spans="1:6" x14ac:dyDescent="0.3">
      <c r="A317" s="629">
        <v>45639.298587962963</v>
      </c>
      <c r="B317">
        <v>542361075</v>
      </c>
      <c r="C317" t="s">
        <v>277</v>
      </c>
      <c r="D317" t="s">
        <v>257</v>
      </c>
      <c r="E317">
        <v>241</v>
      </c>
      <c r="F317" t="s">
        <v>258</v>
      </c>
    </row>
    <row r="318" spans="1:6" x14ac:dyDescent="0.3">
      <c r="A318" s="629">
        <v>45639.293449074074</v>
      </c>
      <c r="B318">
        <v>542361075</v>
      </c>
      <c r="C318" t="s">
        <v>277</v>
      </c>
      <c r="D318" t="s">
        <v>257</v>
      </c>
      <c r="E318">
        <v>245</v>
      </c>
      <c r="F318" t="s">
        <v>258</v>
      </c>
    </row>
    <row r="319" spans="1:6" x14ac:dyDescent="0.3">
      <c r="A319" s="629">
        <v>45639.205937500003</v>
      </c>
      <c r="B319">
        <v>542361075</v>
      </c>
      <c r="C319" t="s">
        <v>277</v>
      </c>
      <c r="D319" t="s">
        <v>257</v>
      </c>
      <c r="E319">
        <v>159</v>
      </c>
      <c r="F319" t="s">
        <v>258</v>
      </c>
    </row>
    <row r="320" spans="1:6" x14ac:dyDescent="0.3">
      <c r="A320" s="629">
        <v>45639.205891203703</v>
      </c>
      <c r="B320">
        <v>542361075</v>
      </c>
      <c r="C320" t="s">
        <v>277</v>
      </c>
      <c r="D320" t="s">
        <v>257</v>
      </c>
      <c r="E320">
        <v>242</v>
      </c>
      <c r="F320" t="s">
        <v>258</v>
      </c>
    </row>
    <row r="321" spans="1:6" x14ac:dyDescent="0.3">
      <c r="A321" s="629">
        <v>45639.194664351853</v>
      </c>
      <c r="B321">
        <v>542361075</v>
      </c>
      <c r="C321" t="s">
        <v>277</v>
      </c>
      <c r="D321" t="s">
        <v>257</v>
      </c>
      <c r="E321">
        <v>158</v>
      </c>
      <c r="F321" t="s">
        <v>258</v>
      </c>
    </row>
    <row r="322" spans="1:6" x14ac:dyDescent="0.3">
      <c r="A322" s="629">
        <v>45639.180717592593</v>
      </c>
      <c r="B322">
        <v>542361075</v>
      </c>
      <c r="C322" t="s">
        <v>277</v>
      </c>
      <c r="D322" t="s">
        <v>257</v>
      </c>
      <c r="E322">
        <v>242</v>
      </c>
      <c r="F322" t="s">
        <v>258</v>
      </c>
    </row>
    <row r="323" spans="1:6" x14ac:dyDescent="0.3">
      <c r="A323" s="629">
        <v>45639.180555555555</v>
      </c>
      <c r="B323">
        <v>542361075</v>
      </c>
      <c r="C323" t="s">
        <v>277</v>
      </c>
      <c r="D323" t="s">
        <v>257</v>
      </c>
      <c r="E323">
        <v>159</v>
      </c>
      <c r="F323" t="s">
        <v>258</v>
      </c>
    </row>
    <row r="324" spans="1:6" x14ac:dyDescent="0.3">
      <c r="A324" s="629">
        <v>45639.167650462965</v>
      </c>
      <c r="B324">
        <v>542361075</v>
      </c>
      <c r="C324" t="s">
        <v>277</v>
      </c>
      <c r="D324" t="s">
        <v>257</v>
      </c>
      <c r="E324">
        <v>158</v>
      </c>
      <c r="F324" t="s">
        <v>258</v>
      </c>
    </row>
    <row r="325" spans="1:6" x14ac:dyDescent="0.3">
      <c r="A325" s="629">
        <v>45639.164143518516</v>
      </c>
      <c r="B325">
        <v>542361075</v>
      </c>
      <c r="C325" t="s">
        <v>277</v>
      </c>
      <c r="D325" t="s">
        <v>257</v>
      </c>
      <c r="E325">
        <v>228</v>
      </c>
      <c r="F325" t="s">
        <v>258</v>
      </c>
    </row>
    <row r="326" spans="1:6" x14ac:dyDescent="0.3">
      <c r="A326" s="629">
        <v>45639.163993055554</v>
      </c>
      <c r="B326">
        <v>542361075</v>
      </c>
      <c r="C326" t="s">
        <v>277</v>
      </c>
      <c r="D326" t="s">
        <v>257</v>
      </c>
      <c r="E326">
        <v>210</v>
      </c>
      <c r="F326" t="s">
        <v>258</v>
      </c>
    </row>
    <row r="327" spans="1:6" x14ac:dyDescent="0.3">
      <c r="A327" s="629">
        <v>45639.156550925924</v>
      </c>
      <c r="B327">
        <v>542361075</v>
      </c>
      <c r="C327" t="s">
        <v>277</v>
      </c>
      <c r="D327" t="s">
        <v>257</v>
      </c>
      <c r="E327">
        <v>27</v>
      </c>
      <c r="F327" t="s">
        <v>258</v>
      </c>
    </row>
    <row r="328" spans="1:6" x14ac:dyDescent="0.3">
      <c r="A328" s="629">
        <v>45639.146736111114</v>
      </c>
      <c r="B328">
        <v>542361075</v>
      </c>
      <c r="C328" t="s">
        <v>277</v>
      </c>
      <c r="D328" t="s">
        <v>257</v>
      </c>
      <c r="E328">
        <v>210</v>
      </c>
      <c r="F328" t="s">
        <v>258</v>
      </c>
    </row>
    <row r="329" spans="1:6" x14ac:dyDescent="0.3">
      <c r="A329" s="629">
        <v>45639.146701388891</v>
      </c>
      <c r="B329">
        <v>542361075</v>
      </c>
      <c r="C329" t="s">
        <v>277</v>
      </c>
      <c r="F329" t="s">
        <v>259</v>
      </c>
    </row>
    <row r="330" spans="1:6" x14ac:dyDescent="0.3">
      <c r="A330" s="629">
        <v>45639.144872685189</v>
      </c>
      <c r="B330">
        <v>542361075</v>
      </c>
      <c r="C330" t="s">
        <v>277</v>
      </c>
      <c r="D330" t="s">
        <v>257</v>
      </c>
      <c r="E330">
        <v>228</v>
      </c>
      <c r="F330" t="s">
        <v>258</v>
      </c>
    </row>
    <row r="331" spans="1:6" x14ac:dyDescent="0.3">
      <c r="A331" s="629">
        <v>45639.138564814813</v>
      </c>
      <c r="B331">
        <v>542361075</v>
      </c>
      <c r="C331" t="s">
        <v>277</v>
      </c>
      <c r="D331" t="s">
        <v>257</v>
      </c>
      <c r="E331">
        <v>181</v>
      </c>
      <c r="F331" t="s">
        <v>258</v>
      </c>
    </row>
    <row r="332" spans="1:6" x14ac:dyDescent="0.3">
      <c r="A332" s="629">
        <v>45639.133020833331</v>
      </c>
      <c r="B332">
        <v>542361075</v>
      </c>
      <c r="C332" t="s">
        <v>277</v>
      </c>
      <c r="D332" t="s">
        <v>257</v>
      </c>
      <c r="E332">
        <v>27</v>
      </c>
      <c r="F332" t="s">
        <v>258</v>
      </c>
    </row>
    <row r="333" spans="1:6" x14ac:dyDescent="0.3">
      <c r="A333" s="629">
        <v>45639.115902777776</v>
      </c>
      <c r="B333">
        <v>542361075</v>
      </c>
      <c r="C333" t="s">
        <v>277</v>
      </c>
      <c r="D333" t="s">
        <v>257</v>
      </c>
      <c r="E333">
        <v>94</v>
      </c>
      <c r="F333" t="s">
        <v>258</v>
      </c>
    </row>
    <row r="334" spans="1:6" x14ac:dyDescent="0.3">
      <c r="A334" s="629">
        <v>45639.115729166668</v>
      </c>
      <c r="B334">
        <v>542361075</v>
      </c>
      <c r="C334" t="s">
        <v>277</v>
      </c>
      <c r="D334" t="s">
        <v>257</v>
      </c>
      <c r="E334">
        <v>181</v>
      </c>
      <c r="F334" t="s">
        <v>258</v>
      </c>
    </row>
    <row r="335" spans="1:6" x14ac:dyDescent="0.3">
      <c r="A335" s="629">
        <v>45639.109722222223</v>
      </c>
      <c r="B335">
        <v>542361075</v>
      </c>
      <c r="C335" t="s">
        <v>277</v>
      </c>
      <c r="D335" t="s">
        <v>257</v>
      </c>
      <c r="E335">
        <v>214</v>
      </c>
      <c r="F335" t="s">
        <v>258</v>
      </c>
    </row>
    <row r="336" spans="1:6" x14ac:dyDescent="0.3">
      <c r="A336" s="629">
        <v>45639.105624999997</v>
      </c>
      <c r="B336">
        <v>542361075</v>
      </c>
      <c r="C336" t="s">
        <v>277</v>
      </c>
      <c r="D336" t="s">
        <v>257</v>
      </c>
      <c r="E336">
        <v>75</v>
      </c>
      <c r="F336" t="s">
        <v>258</v>
      </c>
    </row>
    <row r="337" spans="1:6" x14ac:dyDescent="0.3">
      <c r="A337" s="629">
        <v>45639.094837962963</v>
      </c>
      <c r="B337">
        <v>542361075</v>
      </c>
      <c r="C337" t="s">
        <v>277</v>
      </c>
      <c r="D337" t="s">
        <v>257</v>
      </c>
      <c r="E337">
        <v>94</v>
      </c>
      <c r="F337" t="s">
        <v>258</v>
      </c>
    </row>
    <row r="338" spans="1:6" x14ac:dyDescent="0.3">
      <c r="A338" s="629">
        <v>45639.091550925928</v>
      </c>
      <c r="B338">
        <v>542361075</v>
      </c>
      <c r="C338" t="s">
        <v>277</v>
      </c>
      <c r="D338" t="s">
        <v>257</v>
      </c>
      <c r="E338">
        <v>214</v>
      </c>
      <c r="F338" t="s">
        <v>258</v>
      </c>
    </row>
    <row r="339" spans="1:6" x14ac:dyDescent="0.3">
      <c r="A339" s="629">
        <v>45639.088217592594</v>
      </c>
      <c r="B339">
        <v>542361075</v>
      </c>
      <c r="C339" t="s">
        <v>277</v>
      </c>
      <c r="D339" t="s">
        <v>257</v>
      </c>
      <c r="E339">
        <v>227</v>
      </c>
      <c r="F339" t="s">
        <v>258</v>
      </c>
    </row>
    <row r="340" spans="1:6" x14ac:dyDescent="0.3">
      <c r="A340" s="629">
        <v>45639.088182870371</v>
      </c>
      <c r="B340">
        <v>542361075</v>
      </c>
      <c r="C340" t="s">
        <v>277</v>
      </c>
      <c r="D340" t="s">
        <v>257</v>
      </c>
      <c r="E340">
        <v>135</v>
      </c>
      <c r="F340" t="s">
        <v>258</v>
      </c>
    </row>
    <row r="341" spans="1:6" x14ac:dyDescent="0.3">
      <c r="A341" s="629">
        <v>45639.086689814816</v>
      </c>
      <c r="B341">
        <v>542361075</v>
      </c>
      <c r="C341" t="s">
        <v>277</v>
      </c>
      <c r="D341" t="s">
        <v>257</v>
      </c>
      <c r="E341">
        <v>14</v>
      </c>
      <c r="F341" t="s">
        <v>258</v>
      </c>
    </row>
    <row r="342" spans="1:6" x14ac:dyDescent="0.3">
      <c r="A342" s="629">
        <v>45639.085752314815</v>
      </c>
      <c r="B342">
        <v>542361075</v>
      </c>
      <c r="C342" t="s">
        <v>277</v>
      </c>
      <c r="D342" t="s">
        <v>257</v>
      </c>
      <c r="E342">
        <v>29</v>
      </c>
      <c r="F342" t="s">
        <v>258</v>
      </c>
    </row>
    <row r="343" spans="1:6" x14ac:dyDescent="0.3">
      <c r="A343" s="629">
        <v>45639.085555555554</v>
      </c>
      <c r="B343">
        <v>542361075</v>
      </c>
      <c r="C343" t="s">
        <v>277</v>
      </c>
      <c r="D343" t="s">
        <v>257</v>
      </c>
      <c r="E343">
        <v>251</v>
      </c>
      <c r="F343" t="s">
        <v>258</v>
      </c>
    </row>
    <row r="344" spans="1:6" x14ac:dyDescent="0.3">
      <c r="A344" s="629">
        <v>45639.084953703707</v>
      </c>
      <c r="B344">
        <v>542361075</v>
      </c>
      <c r="C344" t="s">
        <v>277</v>
      </c>
      <c r="D344" t="s">
        <v>257</v>
      </c>
      <c r="E344">
        <v>75</v>
      </c>
      <c r="F344" t="s">
        <v>258</v>
      </c>
    </row>
    <row r="345" spans="1:6" x14ac:dyDescent="0.3">
      <c r="A345" s="629">
        <v>45639.069490740738</v>
      </c>
      <c r="B345">
        <v>542361075</v>
      </c>
      <c r="C345" t="s">
        <v>277</v>
      </c>
      <c r="D345" t="s">
        <v>257</v>
      </c>
      <c r="E345">
        <v>227</v>
      </c>
      <c r="F345" t="s">
        <v>258</v>
      </c>
    </row>
    <row r="346" spans="1:6" x14ac:dyDescent="0.3">
      <c r="A346" s="629">
        <v>45639.069456018522</v>
      </c>
      <c r="B346">
        <v>542361075</v>
      </c>
      <c r="C346" t="s">
        <v>277</v>
      </c>
      <c r="D346" t="s">
        <v>257</v>
      </c>
      <c r="E346">
        <v>135</v>
      </c>
      <c r="F346" t="s">
        <v>258</v>
      </c>
    </row>
    <row r="347" spans="1:6" x14ac:dyDescent="0.3">
      <c r="A347" s="629">
        <v>45639.067152777781</v>
      </c>
      <c r="B347">
        <v>542361075</v>
      </c>
      <c r="C347" t="s">
        <v>277</v>
      </c>
      <c r="D347" t="s">
        <v>257</v>
      </c>
      <c r="E347">
        <v>251</v>
      </c>
      <c r="F347" t="s">
        <v>258</v>
      </c>
    </row>
    <row r="348" spans="1:6" x14ac:dyDescent="0.3">
      <c r="A348" s="629">
        <v>45639.066967592589</v>
      </c>
      <c r="B348">
        <v>542361075</v>
      </c>
      <c r="C348" t="s">
        <v>277</v>
      </c>
      <c r="D348" t="s">
        <v>257</v>
      </c>
      <c r="E348">
        <v>14</v>
      </c>
      <c r="F348" t="s">
        <v>258</v>
      </c>
    </row>
    <row r="349" spans="1:6" x14ac:dyDescent="0.3">
      <c r="A349" s="629">
        <v>45639.063981481479</v>
      </c>
      <c r="B349">
        <v>542361075</v>
      </c>
      <c r="C349" t="s">
        <v>277</v>
      </c>
      <c r="D349" t="s">
        <v>257</v>
      </c>
      <c r="E349">
        <v>29</v>
      </c>
      <c r="F349" t="s">
        <v>258</v>
      </c>
    </row>
    <row r="350" spans="1:6" x14ac:dyDescent="0.3">
      <c r="A350" s="629">
        <v>45638.987847222219</v>
      </c>
      <c r="B350">
        <v>542361075</v>
      </c>
      <c r="C350" t="s">
        <v>277</v>
      </c>
      <c r="D350" t="s">
        <v>257</v>
      </c>
      <c r="E350">
        <v>210</v>
      </c>
      <c r="F350" t="s">
        <v>258</v>
      </c>
    </row>
    <row r="351" spans="1:6" x14ac:dyDescent="0.3">
      <c r="A351" s="629">
        <v>45638.987083333333</v>
      </c>
      <c r="B351">
        <v>542361075</v>
      </c>
      <c r="C351" t="s">
        <v>277</v>
      </c>
      <c r="D351" t="s">
        <v>257</v>
      </c>
      <c r="E351">
        <v>231</v>
      </c>
      <c r="F351" t="s">
        <v>258</v>
      </c>
    </row>
    <row r="352" spans="1:6" x14ac:dyDescent="0.3">
      <c r="A352" s="629">
        <v>45638.983055555553</v>
      </c>
      <c r="B352">
        <v>542361075</v>
      </c>
      <c r="C352" t="s">
        <v>277</v>
      </c>
      <c r="D352" t="s">
        <v>257</v>
      </c>
      <c r="E352">
        <v>107</v>
      </c>
      <c r="F352" t="s">
        <v>258</v>
      </c>
    </row>
    <row r="353" spans="1:6" x14ac:dyDescent="0.3">
      <c r="A353" s="629">
        <v>45638.981840277775</v>
      </c>
      <c r="B353">
        <v>542361075</v>
      </c>
      <c r="C353" t="s">
        <v>277</v>
      </c>
      <c r="D353" t="s">
        <v>257</v>
      </c>
      <c r="E353">
        <v>207</v>
      </c>
      <c r="F353" t="s">
        <v>258</v>
      </c>
    </row>
    <row r="354" spans="1:6" x14ac:dyDescent="0.3">
      <c r="A354" s="629">
        <v>45638.981793981482</v>
      </c>
      <c r="B354">
        <v>542361075</v>
      </c>
      <c r="C354" t="s">
        <v>277</v>
      </c>
      <c r="D354" t="s">
        <v>257</v>
      </c>
      <c r="E354">
        <v>232</v>
      </c>
      <c r="F354" t="s">
        <v>258</v>
      </c>
    </row>
    <row r="355" spans="1:6" x14ac:dyDescent="0.3">
      <c r="A355" s="629">
        <v>45638.981736111113</v>
      </c>
      <c r="B355">
        <v>542361075</v>
      </c>
      <c r="C355" t="s">
        <v>277</v>
      </c>
      <c r="D355" t="s">
        <v>257</v>
      </c>
      <c r="E355">
        <v>132</v>
      </c>
      <c r="F355" t="s">
        <v>258</v>
      </c>
    </row>
    <row r="356" spans="1:6" x14ac:dyDescent="0.3">
      <c r="A356" s="629">
        <v>45638.981446759259</v>
      </c>
      <c r="B356">
        <v>542361075</v>
      </c>
      <c r="C356" t="s">
        <v>277</v>
      </c>
      <c r="D356" t="s">
        <v>257</v>
      </c>
      <c r="E356">
        <v>69</v>
      </c>
      <c r="F356" t="s">
        <v>258</v>
      </c>
    </row>
    <row r="357" spans="1:6" x14ac:dyDescent="0.3">
      <c r="A357" s="629">
        <v>45638.981400462966</v>
      </c>
      <c r="B357">
        <v>542361075</v>
      </c>
      <c r="C357" t="s">
        <v>277</v>
      </c>
      <c r="D357" t="s">
        <v>257</v>
      </c>
      <c r="E357">
        <v>235</v>
      </c>
      <c r="F357" t="s">
        <v>258</v>
      </c>
    </row>
    <row r="358" spans="1:6" x14ac:dyDescent="0.3">
      <c r="A358" s="629">
        <v>45638.981226851851</v>
      </c>
      <c r="B358">
        <v>542361075</v>
      </c>
      <c r="C358" t="s">
        <v>277</v>
      </c>
      <c r="D358" t="s">
        <v>257</v>
      </c>
      <c r="E358">
        <v>226</v>
      </c>
      <c r="F358" t="s">
        <v>258</v>
      </c>
    </row>
    <row r="359" spans="1:6" x14ac:dyDescent="0.3">
      <c r="A359" s="629">
        <v>45638.980763888889</v>
      </c>
      <c r="B359">
        <v>542361075</v>
      </c>
      <c r="C359" t="s">
        <v>277</v>
      </c>
      <c r="D359" t="s">
        <v>257</v>
      </c>
      <c r="E359">
        <v>250</v>
      </c>
      <c r="F359" t="s">
        <v>258</v>
      </c>
    </row>
    <row r="360" spans="1:6" x14ac:dyDescent="0.3">
      <c r="A360" s="629">
        <v>45638.980347222219</v>
      </c>
      <c r="B360">
        <v>542361075</v>
      </c>
      <c r="C360" t="s">
        <v>277</v>
      </c>
      <c r="D360" t="s">
        <v>257</v>
      </c>
      <c r="E360">
        <v>70</v>
      </c>
      <c r="F360" t="s">
        <v>258</v>
      </c>
    </row>
    <row r="361" spans="1:6" x14ac:dyDescent="0.3">
      <c r="A361" s="629">
        <v>45638.980173611111</v>
      </c>
      <c r="B361">
        <v>542361075</v>
      </c>
      <c r="C361" t="s">
        <v>277</v>
      </c>
      <c r="D361" t="s">
        <v>257</v>
      </c>
      <c r="E361">
        <v>227</v>
      </c>
      <c r="F361" t="s">
        <v>258</v>
      </c>
    </row>
    <row r="362" spans="1:6" x14ac:dyDescent="0.3">
      <c r="A362" s="629">
        <v>45638.980138888888</v>
      </c>
      <c r="B362">
        <v>542361075</v>
      </c>
      <c r="C362" t="s">
        <v>277</v>
      </c>
      <c r="D362" t="s">
        <v>257</v>
      </c>
      <c r="E362">
        <v>135</v>
      </c>
      <c r="F362" t="s">
        <v>258</v>
      </c>
    </row>
    <row r="363" spans="1:6" x14ac:dyDescent="0.3">
      <c r="A363" s="629">
        <v>45638.979571759257</v>
      </c>
      <c r="B363">
        <v>542361075</v>
      </c>
      <c r="C363" t="s">
        <v>277</v>
      </c>
      <c r="D363" t="s">
        <v>257</v>
      </c>
      <c r="E363">
        <v>158</v>
      </c>
      <c r="F363" t="s">
        <v>258</v>
      </c>
    </row>
    <row r="364" spans="1:6" x14ac:dyDescent="0.3">
      <c r="A364" s="629">
        <v>45638.97928240741</v>
      </c>
      <c r="B364">
        <v>542361075</v>
      </c>
      <c r="C364" t="s">
        <v>277</v>
      </c>
      <c r="D364" t="s">
        <v>257</v>
      </c>
      <c r="E364">
        <v>45</v>
      </c>
      <c r="F364" t="s">
        <v>258</v>
      </c>
    </row>
    <row r="365" spans="1:6" x14ac:dyDescent="0.3">
      <c r="A365" s="629">
        <v>45638.977476851855</v>
      </c>
      <c r="B365">
        <v>542361075</v>
      </c>
      <c r="C365" t="s">
        <v>277</v>
      </c>
      <c r="D365" t="s">
        <v>257</v>
      </c>
      <c r="E365">
        <v>33</v>
      </c>
      <c r="F365" t="s">
        <v>258</v>
      </c>
    </row>
    <row r="366" spans="1:6" x14ac:dyDescent="0.3">
      <c r="A366" s="629">
        <v>45638.977361111109</v>
      </c>
      <c r="B366">
        <v>542361075</v>
      </c>
      <c r="C366" t="s">
        <v>277</v>
      </c>
      <c r="D366" t="s">
        <v>257</v>
      </c>
      <c r="E366">
        <v>228</v>
      </c>
      <c r="F366" t="s">
        <v>258</v>
      </c>
    </row>
    <row r="367" spans="1:6" x14ac:dyDescent="0.3">
      <c r="A367" s="629">
        <v>45638.977314814816</v>
      </c>
      <c r="B367">
        <v>542361075</v>
      </c>
      <c r="C367" t="s">
        <v>277</v>
      </c>
      <c r="D367" t="s">
        <v>257</v>
      </c>
      <c r="E367">
        <v>75</v>
      </c>
      <c r="F367" t="s">
        <v>258</v>
      </c>
    </row>
    <row r="368" spans="1:6" x14ac:dyDescent="0.3">
      <c r="A368" s="629">
        <v>45638.976863425924</v>
      </c>
      <c r="B368">
        <v>542361075</v>
      </c>
      <c r="C368" t="s">
        <v>277</v>
      </c>
      <c r="D368" t="s">
        <v>257</v>
      </c>
      <c r="E368">
        <v>27</v>
      </c>
      <c r="F368" t="s">
        <v>258</v>
      </c>
    </row>
    <row r="369" spans="1:6" x14ac:dyDescent="0.3">
      <c r="A369" s="629">
        <v>45638.975960648146</v>
      </c>
      <c r="B369">
        <v>542361075</v>
      </c>
      <c r="C369" t="s">
        <v>277</v>
      </c>
      <c r="D369" t="s">
        <v>257</v>
      </c>
      <c r="E369">
        <v>214</v>
      </c>
      <c r="F369" t="s">
        <v>258</v>
      </c>
    </row>
    <row r="370" spans="1:6" x14ac:dyDescent="0.3">
      <c r="A370" s="629">
        <v>45638.97587962963</v>
      </c>
      <c r="B370">
        <v>542361075</v>
      </c>
      <c r="C370" t="s">
        <v>277</v>
      </c>
      <c r="D370" t="s">
        <v>257</v>
      </c>
      <c r="E370">
        <v>251</v>
      </c>
      <c r="F370" t="s">
        <v>258</v>
      </c>
    </row>
    <row r="371" spans="1:6" x14ac:dyDescent="0.3">
      <c r="A371" s="629">
        <v>45638.975162037037</v>
      </c>
      <c r="B371">
        <v>542361075</v>
      </c>
      <c r="C371" t="s">
        <v>277</v>
      </c>
      <c r="D371" t="s">
        <v>257</v>
      </c>
      <c r="E371">
        <v>181</v>
      </c>
      <c r="F371" t="s">
        <v>258</v>
      </c>
    </row>
    <row r="372" spans="1:6" x14ac:dyDescent="0.3">
      <c r="A372" s="629">
        <v>45638.975115740737</v>
      </c>
      <c r="B372">
        <v>542361075</v>
      </c>
      <c r="C372" t="s">
        <v>277</v>
      </c>
      <c r="D372" t="s">
        <v>257</v>
      </c>
      <c r="E372">
        <v>223</v>
      </c>
      <c r="F372" t="s">
        <v>258</v>
      </c>
    </row>
    <row r="373" spans="1:6" x14ac:dyDescent="0.3">
      <c r="A373" s="629">
        <v>45638.972905092596</v>
      </c>
      <c r="B373">
        <v>542361075</v>
      </c>
      <c r="C373" t="s">
        <v>277</v>
      </c>
      <c r="D373" t="s">
        <v>257</v>
      </c>
      <c r="E373">
        <v>29</v>
      </c>
      <c r="F373" t="s">
        <v>258</v>
      </c>
    </row>
    <row r="374" spans="1:6" x14ac:dyDescent="0.3">
      <c r="A374" s="629">
        <v>45638.972442129627</v>
      </c>
      <c r="B374">
        <v>542361075</v>
      </c>
      <c r="C374" t="s">
        <v>277</v>
      </c>
      <c r="D374" t="s">
        <v>257</v>
      </c>
      <c r="E374">
        <v>37</v>
      </c>
      <c r="F374" t="s">
        <v>258</v>
      </c>
    </row>
    <row r="375" spans="1:6" x14ac:dyDescent="0.3">
      <c r="A375" s="629">
        <v>45638.972395833334</v>
      </c>
      <c r="B375">
        <v>542361075</v>
      </c>
      <c r="C375" t="s">
        <v>277</v>
      </c>
      <c r="D375" t="s">
        <v>257</v>
      </c>
      <c r="E375">
        <v>242</v>
      </c>
      <c r="F375" t="s">
        <v>258</v>
      </c>
    </row>
    <row r="376" spans="1:6" x14ac:dyDescent="0.3">
      <c r="A376" s="629">
        <v>45638.964745370373</v>
      </c>
      <c r="B376">
        <v>542361075</v>
      </c>
      <c r="C376" t="s">
        <v>277</v>
      </c>
      <c r="D376" t="s">
        <v>257</v>
      </c>
      <c r="E376">
        <v>14</v>
      </c>
      <c r="F376" t="s">
        <v>258</v>
      </c>
    </row>
    <row r="377" spans="1:6" x14ac:dyDescent="0.3">
      <c r="A377" s="629">
        <v>45638.964282407411</v>
      </c>
      <c r="B377">
        <v>542361075</v>
      </c>
      <c r="C377" t="s">
        <v>277</v>
      </c>
      <c r="D377" t="s">
        <v>257</v>
      </c>
      <c r="E377">
        <v>7</v>
      </c>
      <c r="F377" t="s">
        <v>258</v>
      </c>
    </row>
    <row r="378" spans="1:6" x14ac:dyDescent="0.3">
      <c r="A378" s="629">
        <v>45638.96366898148</v>
      </c>
      <c r="B378">
        <v>542361075</v>
      </c>
      <c r="C378" t="s">
        <v>277</v>
      </c>
      <c r="D378" t="s">
        <v>257</v>
      </c>
      <c r="E378">
        <v>159</v>
      </c>
      <c r="F378" t="s">
        <v>258</v>
      </c>
    </row>
    <row r="379" spans="1:6" x14ac:dyDescent="0.3">
      <c r="A379" s="629">
        <v>45638.961701388886</v>
      </c>
      <c r="B379">
        <v>542361075</v>
      </c>
      <c r="C379" t="s">
        <v>277</v>
      </c>
      <c r="D379" t="s">
        <v>257</v>
      </c>
      <c r="E379">
        <v>94</v>
      </c>
      <c r="F379" t="s">
        <v>258</v>
      </c>
    </row>
    <row r="380" spans="1:6" x14ac:dyDescent="0.3">
      <c r="A380" s="629">
        <v>45638.735266203701</v>
      </c>
      <c r="B380">
        <v>542361075</v>
      </c>
      <c r="C380" t="s">
        <v>277</v>
      </c>
      <c r="D380" t="s">
        <v>257</v>
      </c>
      <c r="E380">
        <v>69</v>
      </c>
      <c r="F380" t="s">
        <v>258</v>
      </c>
    </row>
    <row r="381" spans="1:6" x14ac:dyDescent="0.3">
      <c r="A381" s="629">
        <v>45638.713680555556</v>
      </c>
      <c r="B381">
        <v>542361075</v>
      </c>
      <c r="C381" t="s">
        <v>277</v>
      </c>
      <c r="D381" t="s">
        <v>257</v>
      </c>
      <c r="E381">
        <v>97</v>
      </c>
      <c r="F381" t="s">
        <v>258</v>
      </c>
    </row>
    <row r="382" spans="1:6" x14ac:dyDescent="0.3">
      <c r="A382" s="629">
        <v>45638.713541666664</v>
      </c>
      <c r="B382">
        <v>542361075</v>
      </c>
      <c r="C382" t="s">
        <v>277</v>
      </c>
      <c r="D382" t="s">
        <v>257</v>
      </c>
      <c r="E382">
        <v>41</v>
      </c>
      <c r="F382" t="s">
        <v>258</v>
      </c>
    </row>
    <row r="383" spans="1:6" x14ac:dyDescent="0.3">
      <c r="A383" s="629">
        <v>45638.71297453704</v>
      </c>
      <c r="B383">
        <v>542361075</v>
      </c>
      <c r="C383" t="s">
        <v>277</v>
      </c>
      <c r="D383" t="s">
        <v>257</v>
      </c>
      <c r="E383">
        <v>26</v>
      </c>
      <c r="F383" t="s">
        <v>258</v>
      </c>
    </row>
    <row r="384" spans="1:6" x14ac:dyDescent="0.3">
      <c r="A384" s="629">
        <v>45638.711724537039</v>
      </c>
      <c r="B384">
        <v>542361075</v>
      </c>
      <c r="C384" t="s">
        <v>277</v>
      </c>
      <c r="F384" t="s">
        <v>454</v>
      </c>
    </row>
    <row r="385" spans="1:6" x14ac:dyDescent="0.3">
      <c r="A385" s="629">
        <v>45638.711412037039</v>
      </c>
      <c r="B385">
        <v>542361075</v>
      </c>
      <c r="C385" t="s">
        <v>277</v>
      </c>
      <c r="D385" t="s">
        <v>257</v>
      </c>
      <c r="E385">
        <v>30</v>
      </c>
      <c r="F385" t="s">
        <v>258</v>
      </c>
    </row>
    <row r="386" spans="1:6" x14ac:dyDescent="0.3">
      <c r="A386" s="629">
        <v>45638.711365740739</v>
      </c>
      <c r="B386">
        <v>542361075</v>
      </c>
      <c r="C386" t="s">
        <v>277</v>
      </c>
      <c r="D386" t="s">
        <v>257</v>
      </c>
      <c r="E386">
        <v>58</v>
      </c>
      <c r="F386" t="s">
        <v>258</v>
      </c>
    </row>
    <row r="387" spans="1:6" x14ac:dyDescent="0.3">
      <c r="A387" s="629">
        <v>45638.710601851853</v>
      </c>
      <c r="B387">
        <v>542361075</v>
      </c>
      <c r="C387" t="s">
        <v>277</v>
      </c>
      <c r="D387" t="s">
        <v>257</v>
      </c>
      <c r="E387">
        <v>6</v>
      </c>
      <c r="F387" t="s">
        <v>258</v>
      </c>
    </row>
    <row r="388" spans="1:6" x14ac:dyDescent="0.3">
      <c r="A388" s="629">
        <v>45638.710462962961</v>
      </c>
      <c r="B388">
        <v>542361075</v>
      </c>
      <c r="C388" t="s">
        <v>277</v>
      </c>
      <c r="D388" t="s">
        <v>257</v>
      </c>
      <c r="E388">
        <v>19</v>
      </c>
      <c r="F388" t="s">
        <v>258</v>
      </c>
    </row>
    <row r="389" spans="1:6" x14ac:dyDescent="0.3">
      <c r="A389" s="629">
        <v>45638.709907407407</v>
      </c>
      <c r="B389">
        <v>542361075</v>
      </c>
      <c r="C389" t="s">
        <v>277</v>
      </c>
      <c r="D389" t="s">
        <v>257</v>
      </c>
      <c r="E389">
        <v>2</v>
      </c>
      <c r="F389" t="s">
        <v>258</v>
      </c>
    </row>
    <row r="390" spans="1:6" x14ac:dyDescent="0.3">
      <c r="A390" s="629">
        <v>45638.709872685184</v>
      </c>
      <c r="B390">
        <v>542361075</v>
      </c>
      <c r="C390" t="s">
        <v>277</v>
      </c>
      <c r="D390" t="s">
        <v>257</v>
      </c>
      <c r="E390">
        <v>195</v>
      </c>
      <c r="F390" t="s">
        <v>258</v>
      </c>
    </row>
    <row r="391" spans="1:6" x14ac:dyDescent="0.3">
      <c r="A391" s="629">
        <v>45638.709814814814</v>
      </c>
      <c r="B391">
        <v>542361075</v>
      </c>
      <c r="C391" t="s">
        <v>277</v>
      </c>
      <c r="D391" t="s">
        <v>257</v>
      </c>
      <c r="E391">
        <v>39</v>
      </c>
      <c r="F391" t="s">
        <v>258</v>
      </c>
    </row>
    <row r="392" spans="1:6" x14ac:dyDescent="0.3">
      <c r="A392" s="629">
        <v>45638.709814814814</v>
      </c>
      <c r="B392">
        <v>542361075</v>
      </c>
      <c r="C392" t="s">
        <v>277</v>
      </c>
      <c r="F392" t="s">
        <v>259</v>
      </c>
    </row>
    <row r="393" spans="1:6" x14ac:dyDescent="0.3">
      <c r="A393" s="629">
        <v>45638.70957175926</v>
      </c>
      <c r="B393">
        <v>542361075</v>
      </c>
      <c r="C393" t="s">
        <v>277</v>
      </c>
      <c r="D393" t="s">
        <v>257</v>
      </c>
      <c r="E393">
        <v>28</v>
      </c>
      <c r="F393" t="s">
        <v>258</v>
      </c>
    </row>
    <row r="394" spans="1:6" x14ac:dyDescent="0.3">
      <c r="A394" s="629">
        <v>45638.709537037037</v>
      </c>
      <c r="B394">
        <v>542361075</v>
      </c>
      <c r="C394" t="s">
        <v>277</v>
      </c>
      <c r="D394" t="s">
        <v>257</v>
      </c>
      <c r="E394">
        <v>9</v>
      </c>
      <c r="F394" t="s">
        <v>258</v>
      </c>
    </row>
    <row r="395" spans="1:6" x14ac:dyDescent="0.3">
      <c r="A395" s="629">
        <v>45638.709456018521</v>
      </c>
      <c r="B395">
        <v>542361075</v>
      </c>
      <c r="C395" t="s">
        <v>277</v>
      </c>
      <c r="D395" t="s">
        <v>257</v>
      </c>
      <c r="E395">
        <v>166</v>
      </c>
      <c r="F395" t="s">
        <v>258</v>
      </c>
    </row>
    <row r="396" spans="1:6" x14ac:dyDescent="0.3">
      <c r="A396" s="629">
        <v>45638.709398148145</v>
      </c>
      <c r="B396">
        <v>542361075</v>
      </c>
      <c r="C396" t="s">
        <v>277</v>
      </c>
      <c r="D396" t="s">
        <v>257</v>
      </c>
      <c r="E396">
        <v>141</v>
      </c>
      <c r="F396" t="s">
        <v>258</v>
      </c>
    </row>
    <row r="397" spans="1:6" x14ac:dyDescent="0.3">
      <c r="A397" s="629">
        <v>45638.70925925926</v>
      </c>
      <c r="B397">
        <v>542361075</v>
      </c>
      <c r="C397" t="s">
        <v>277</v>
      </c>
      <c r="D397" t="s">
        <v>257</v>
      </c>
      <c r="E397">
        <v>59</v>
      </c>
      <c r="F397" t="s">
        <v>258</v>
      </c>
    </row>
    <row r="398" spans="1:6" x14ac:dyDescent="0.3">
      <c r="A398" s="629">
        <v>45638.708055555559</v>
      </c>
      <c r="B398">
        <v>542361075</v>
      </c>
      <c r="C398" t="s">
        <v>277</v>
      </c>
      <c r="D398" t="s">
        <v>257</v>
      </c>
      <c r="E398">
        <v>220</v>
      </c>
      <c r="F398" t="s">
        <v>258</v>
      </c>
    </row>
    <row r="399" spans="1:6" x14ac:dyDescent="0.3">
      <c r="A399" s="629">
        <v>45638.708009259259</v>
      </c>
      <c r="B399">
        <v>542361075</v>
      </c>
      <c r="C399" t="s">
        <v>277</v>
      </c>
      <c r="D399" t="s">
        <v>257</v>
      </c>
      <c r="E399">
        <v>116</v>
      </c>
      <c r="F399" t="s">
        <v>258</v>
      </c>
    </row>
    <row r="400" spans="1:6" x14ac:dyDescent="0.3">
      <c r="A400" s="629">
        <v>45638.707986111112</v>
      </c>
      <c r="B400">
        <v>542361075</v>
      </c>
      <c r="C400" t="s">
        <v>277</v>
      </c>
      <c r="D400" t="s">
        <v>257</v>
      </c>
      <c r="E400">
        <v>95</v>
      </c>
      <c r="F400" t="s">
        <v>258</v>
      </c>
    </row>
    <row r="401" spans="1:6" x14ac:dyDescent="0.3">
      <c r="A401" s="629">
        <v>45638.707951388889</v>
      </c>
      <c r="B401">
        <v>542361075</v>
      </c>
      <c r="C401" t="s">
        <v>277</v>
      </c>
      <c r="D401" t="s">
        <v>257</v>
      </c>
      <c r="E401">
        <v>169</v>
      </c>
      <c r="F401" t="s">
        <v>258</v>
      </c>
    </row>
    <row r="402" spans="1:6" x14ac:dyDescent="0.3">
      <c r="A402" s="629">
        <v>45638.707812499997</v>
      </c>
      <c r="B402">
        <v>542361075</v>
      </c>
      <c r="C402" t="s">
        <v>277</v>
      </c>
      <c r="D402" t="s">
        <v>257</v>
      </c>
      <c r="E402">
        <v>222</v>
      </c>
      <c r="F402" t="s">
        <v>258</v>
      </c>
    </row>
    <row r="403" spans="1:6" x14ac:dyDescent="0.3">
      <c r="A403" s="629">
        <v>45638.707777777781</v>
      </c>
      <c r="B403">
        <v>542361075</v>
      </c>
      <c r="C403" t="s">
        <v>277</v>
      </c>
      <c r="D403" t="s">
        <v>257</v>
      </c>
      <c r="E403">
        <v>212</v>
      </c>
      <c r="F403" t="s">
        <v>258</v>
      </c>
    </row>
    <row r="404" spans="1:6" x14ac:dyDescent="0.3">
      <c r="A404" s="629">
        <v>45638.707731481481</v>
      </c>
      <c r="B404">
        <v>542361075</v>
      </c>
      <c r="C404" t="s">
        <v>277</v>
      </c>
      <c r="D404" t="s">
        <v>257</v>
      </c>
      <c r="E404">
        <v>205</v>
      </c>
      <c r="F404" t="s">
        <v>258</v>
      </c>
    </row>
    <row r="405" spans="1:6" x14ac:dyDescent="0.3">
      <c r="A405" s="629">
        <v>45638.707673611112</v>
      </c>
      <c r="B405">
        <v>542361075</v>
      </c>
      <c r="C405" t="s">
        <v>277</v>
      </c>
      <c r="D405" t="s">
        <v>257</v>
      </c>
      <c r="E405">
        <v>51</v>
      </c>
      <c r="F405" t="s">
        <v>258</v>
      </c>
    </row>
    <row r="406" spans="1:6" x14ac:dyDescent="0.3">
      <c r="A406" s="629">
        <v>45638.706562500003</v>
      </c>
      <c r="B406">
        <v>542361075</v>
      </c>
      <c r="C406" t="s">
        <v>277</v>
      </c>
      <c r="D406" t="s">
        <v>257</v>
      </c>
      <c r="E406">
        <v>234</v>
      </c>
      <c r="F406" t="s">
        <v>258</v>
      </c>
    </row>
    <row r="407" spans="1:6" x14ac:dyDescent="0.3">
      <c r="A407" s="629">
        <v>45638.70648148148</v>
      </c>
      <c r="B407">
        <v>542361075</v>
      </c>
      <c r="C407" t="s">
        <v>277</v>
      </c>
      <c r="D407" t="s">
        <v>257</v>
      </c>
      <c r="E407">
        <v>12</v>
      </c>
      <c r="F407" t="s">
        <v>258</v>
      </c>
    </row>
    <row r="408" spans="1:6" x14ac:dyDescent="0.3">
      <c r="A408" s="629">
        <v>45638.706331018519</v>
      </c>
      <c r="B408">
        <v>542361075</v>
      </c>
      <c r="C408" t="s">
        <v>277</v>
      </c>
      <c r="D408" t="s">
        <v>257</v>
      </c>
      <c r="E408">
        <v>146</v>
      </c>
      <c r="F408" t="s">
        <v>258</v>
      </c>
    </row>
    <row r="409" spans="1:6" x14ac:dyDescent="0.3">
      <c r="A409" s="629">
        <v>45638.706284722219</v>
      </c>
      <c r="B409">
        <v>542361075</v>
      </c>
      <c r="C409" t="s">
        <v>277</v>
      </c>
      <c r="D409" t="s">
        <v>257</v>
      </c>
      <c r="E409">
        <v>236</v>
      </c>
      <c r="F409" t="s">
        <v>258</v>
      </c>
    </row>
    <row r="410" spans="1:6" x14ac:dyDescent="0.3">
      <c r="A410" s="629">
        <v>45638.706157407411</v>
      </c>
      <c r="B410">
        <v>542361075</v>
      </c>
      <c r="C410" t="s">
        <v>277</v>
      </c>
      <c r="D410" t="s">
        <v>257</v>
      </c>
      <c r="E410">
        <v>89</v>
      </c>
      <c r="F410" t="s">
        <v>258</v>
      </c>
    </row>
    <row r="411" spans="1:6" x14ac:dyDescent="0.3">
      <c r="A411" s="629">
        <v>45638.702488425923</v>
      </c>
      <c r="B411">
        <v>542361075</v>
      </c>
      <c r="C411" t="s">
        <v>277</v>
      </c>
      <c r="D411" t="s">
        <v>257</v>
      </c>
      <c r="E411">
        <v>32</v>
      </c>
      <c r="F411" t="s">
        <v>258</v>
      </c>
    </row>
    <row r="412" spans="1:6" x14ac:dyDescent="0.3">
      <c r="A412" s="629">
        <v>45638.701620370368</v>
      </c>
      <c r="B412">
        <v>542361075</v>
      </c>
      <c r="C412" t="s">
        <v>277</v>
      </c>
      <c r="D412" t="s">
        <v>257</v>
      </c>
      <c r="E412">
        <v>34</v>
      </c>
      <c r="F412" t="s">
        <v>258</v>
      </c>
    </row>
    <row r="413" spans="1:6" x14ac:dyDescent="0.3">
      <c r="A413" s="629">
        <v>45638.697638888887</v>
      </c>
      <c r="B413">
        <v>542361075</v>
      </c>
      <c r="C413" t="s">
        <v>277</v>
      </c>
      <c r="D413" t="s">
        <v>257</v>
      </c>
      <c r="E413">
        <v>245</v>
      </c>
      <c r="F413" t="s">
        <v>258</v>
      </c>
    </row>
    <row r="414" spans="1:6" x14ac:dyDescent="0.3">
      <c r="A414" s="629">
        <v>45638.692442129628</v>
      </c>
      <c r="B414">
        <v>542361075</v>
      </c>
      <c r="C414" t="s">
        <v>277</v>
      </c>
      <c r="D414" t="s">
        <v>257</v>
      </c>
      <c r="E414">
        <v>239</v>
      </c>
      <c r="F414" t="s">
        <v>258</v>
      </c>
    </row>
    <row r="415" spans="1:6" x14ac:dyDescent="0.3">
      <c r="A415" s="629">
        <v>45638.692384259259</v>
      </c>
      <c r="B415">
        <v>542361075</v>
      </c>
      <c r="C415" t="s">
        <v>277</v>
      </c>
      <c r="D415" t="s">
        <v>257</v>
      </c>
      <c r="E415">
        <v>230</v>
      </c>
      <c r="F415" t="s">
        <v>258</v>
      </c>
    </row>
    <row r="416" spans="1:6" x14ac:dyDescent="0.3">
      <c r="A416" s="629">
        <v>45638.648865740739</v>
      </c>
      <c r="B416">
        <v>542361075</v>
      </c>
      <c r="C416" t="s">
        <v>277</v>
      </c>
      <c r="D416" t="s">
        <v>257</v>
      </c>
      <c r="E416">
        <v>111</v>
      </c>
      <c r="F416" t="s">
        <v>258</v>
      </c>
    </row>
    <row r="417" spans="1:6" x14ac:dyDescent="0.3">
      <c r="A417" s="629">
        <v>45638.64880787037</v>
      </c>
      <c r="B417">
        <v>542361075</v>
      </c>
      <c r="C417" t="s">
        <v>277</v>
      </c>
      <c r="D417" t="s">
        <v>257</v>
      </c>
      <c r="E417">
        <v>241</v>
      </c>
      <c r="F417" t="s">
        <v>258</v>
      </c>
    </row>
    <row r="418" spans="1:6" x14ac:dyDescent="0.3">
      <c r="A418" s="629">
        <v>45638.646863425929</v>
      </c>
      <c r="B418">
        <v>542361075</v>
      </c>
      <c r="C418" t="s">
        <v>277</v>
      </c>
      <c r="D418" t="s">
        <v>257</v>
      </c>
      <c r="E418">
        <v>244</v>
      </c>
      <c r="F418" t="s">
        <v>258</v>
      </c>
    </row>
    <row r="419" spans="1:6" x14ac:dyDescent="0.3">
      <c r="A419" s="629">
        <v>45638.646817129629</v>
      </c>
      <c r="B419">
        <v>542361075</v>
      </c>
      <c r="C419" t="s">
        <v>277</v>
      </c>
      <c r="D419" t="s">
        <v>257</v>
      </c>
      <c r="E419">
        <v>216</v>
      </c>
      <c r="F419" t="s">
        <v>258</v>
      </c>
    </row>
    <row r="420" spans="1:6" x14ac:dyDescent="0.3">
      <c r="A420" s="629">
        <v>45638.645798611113</v>
      </c>
      <c r="B420">
        <v>542361075</v>
      </c>
      <c r="C420" t="s">
        <v>277</v>
      </c>
      <c r="D420" t="s">
        <v>257</v>
      </c>
      <c r="E420">
        <v>226</v>
      </c>
      <c r="F420" t="s">
        <v>258</v>
      </c>
    </row>
    <row r="421" spans="1:6" x14ac:dyDescent="0.3">
      <c r="A421" s="629">
        <v>45638.645358796297</v>
      </c>
      <c r="B421">
        <v>542361075</v>
      </c>
      <c r="C421" t="s">
        <v>277</v>
      </c>
      <c r="D421" t="s">
        <v>257</v>
      </c>
      <c r="E421">
        <v>235</v>
      </c>
      <c r="F421" t="s">
        <v>258</v>
      </c>
    </row>
    <row r="422" spans="1:6" x14ac:dyDescent="0.3">
      <c r="A422" s="629">
        <v>45638.645115740743</v>
      </c>
      <c r="B422">
        <v>542361075</v>
      </c>
      <c r="C422" t="s">
        <v>277</v>
      </c>
      <c r="D422" t="s">
        <v>257</v>
      </c>
      <c r="E422">
        <v>207</v>
      </c>
      <c r="F422" t="s">
        <v>258</v>
      </c>
    </row>
    <row r="423" spans="1:6" x14ac:dyDescent="0.3">
      <c r="A423" s="629">
        <v>45638.645069444443</v>
      </c>
      <c r="B423">
        <v>542361075</v>
      </c>
      <c r="C423" t="s">
        <v>277</v>
      </c>
      <c r="D423" t="s">
        <v>257</v>
      </c>
      <c r="E423">
        <v>132</v>
      </c>
      <c r="F423" t="s">
        <v>258</v>
      </c>
    </row>
    <row r="424" spans="1:6" x14ac:dyDescent="0.3">
      <c r="A424" s="629">
        <v>45638.64502314815</v>
      </c>
      <c r="B424">
        <v>542361075</v>
      </c>
      <c r="C424" t="s">
        <v>277</v>
      </c>
      <c r="D424" t="s">
        <v>257</v>
      </c>
      <c r="E424">
        <v>232</v>
      </c>
      <c r="F424" t="s">
        <v>258</v>
      </c>
    </row>
    <row r="425" spans="1:6" x14ac:dyDescent="0.3">
      <c r="A425" s="629">
        <v>45638.644548611112</v>
      </c>
      <c r="B425">
        <v>542361075</v>
      </c>
      <c r="C425" t="s">
        <v>277</v>
      </c>
      <c r="D425" t="s">
        <v>257</v>
      </c>
      <c r="E425">
        <v>107</v>
      </c>
      <c r="F425" t="s">
        <v>258</v>
      </c>
    </row>
    <row r="426" spans="1:6" x14ac:dyDescent="0.3">
      <c r="A426" s="629">
        <v>45638.638854166667</v>
      </c>
      <c r="B426">
        <v>542361075</v>
      </c>
      <c r="C426" t="s">
        <v>277</v>
      </c>
      <c r="D426" t="s">
        <v>257</v>
      </c>
      <c r="E426">
        <v>250</v>
      </c>
      <c r="F426" t="s">
        <v>258</v>
      </c>
    </row>
    <row r="427" spans="1:6" x14ac:dyDescent="0.3">
      <c r="A427" s="629">
        <v>45638.569108796299</v>
      </c>
      <c r="B427">
        <v>542361075</v>
      </c>
      <c r="C427" t="s">
        <v>277</v>
      </c>
      <c r="D427" t="s">
        <v>257</v>
      </c>
      <c r="E427">
        <v>9</v>
      </c>
      <c r="F427" t="s">
        <v>258</v>
      </c>
    </row>
    <row r="428" spans="1:6" x14ac:dyDescent="0.3">
      <c r="A428" s="629">
        <v>45638.561562499999</v>
      </c>
      <c r="B428">
        <v>542361075</v>
      </c>
      <c r="C428" t="s">
        <v>277</v>
      </c>
      <c r="D428" t="s">
        <v>257</v>
      </c>
      <c r="E428">
        <v>19</v>
      </c>
      <c r="F428" t="s">
        <v>258</v>
      </c>
    </row>
    <row r="429" spans="1:6" x14ac:dyDescent="0.3">
      <c r="A429" s="629">
        <v>45638.539513888885</v>
      </c>
      <c r="B429">
        <v>542361075</v>
      </c>
      <c r="C429" t="s">
        <v>277</v>
      </c>
      <c r="D429" t="s">
        <v>257</v>
      </c>
      <c r="E429">
        <v>9</v>
      </c>
      <c r="F429" t="s">
        <v>258</v>
      </c>
    </row>
    <row r="430" spans="1:6" x14ac:dyDescent="0.3">
      <c r="A430" s="629">
        <v>45638.534328703703</v>
      </c>
      <c r="B430">
        <v>542361075</v>
      </c>
      <c r="C430" t="s">
        <v>277</v>
      </c>
      <c r="D430" t="s">
        <v>257</v>
      </c>
      <c r="E430">
        <v>28</v>
      </c>
      <c r="F430" t="s">
        <v>258</v>
      </c>
    </row>
    <row r="431" spans="1:6" x14ac:dyDescent="0.3">
      <c r="A431" s="629">
        <v>45638.53429398148</v>
      </c>
      <c r="B431">
        <v>542361075</v>
      </c>
      <c r="C431" t="s">
        <v>277</v>
      </c>
      <c r="D431" t="s">
        <v>257</v>
      </c>
      <c r="E431">
        <v>51</v>
      </c>
      <c r="F431" t="s">
        <v>258</v>
      </c>
    </row>
    <row r="432" spans="1:6" x14ac:dyDescent="0.3">
      <c r="A432" s="629">
        <v>45638.527280092596</v>
      </c>
      <c r="B432">
        <v>542361075</v>
      </c>
      <c r="C432" t="s">
        <v>277</v>
      </c>
      <c r="D432" t="s">
        <v>257</v>
      </c>
      <c r="E432">
        <v>12</v>
      </c>
      <c r="F432" t="s">
        <v>258</v>
      </c>
    </row>
    <row r="433" spans="1:6" x14ac:dyDescent="0.3">
      <c r="A433" s="629">
        <v>45638.52270833333</v>
      </c>
      <c r="B433">
        <v>542361075</v>
      </c>
      <c r="C433" t="s">
        <v>277</v>
      </c>
      <c r="D433" t="s">
        <v>257</v>
      </c>
      <c r="E433">
        <v>216</v>
      </c>
      <c r="F433" t="s">
        <v>258</v>
      </c>
    </row>
    <row r="434" spans="1:6" x14ac:dyDescent="0.3">
      <c r="A434" s="629">
        <v>45638.522557870368</v>
      </c>
      <c r="B434">
        <v>542361075</v>
      </c>
      <c r="C434" t="s">
        <v>277</v>
      </c>
      <c r="D434" t="s">
        <v>257</v>
      </c>
      <c r="E434">
        <v>32</v>
      </c>
      <c r="F434" t="s">
        <v>258</v>
      </c>
    </row>
    <row r="435" spans="1:6" x14ac:dyDescent="0.3">
      <c r="A435" s="629">
        <v>45638.522141203706</v>
      </c>
      <c r="B435">
        <v>542361075</v>
      </c>
      <c r="C435" t="s">
        <v>277</v>
      </c>
      <c r="D435" t="s">
        <v>257</v>
      </c>
      <c r="E435">
        <v>245</v>
      </c>
      <c r="F435" t="s">
        <v>258</v>
      </c>
    </row>
    <row r="436" spans="1:6" x14ac:dyDescent="0.3">
      <c r="A436" s="629">
        <v>45638.518807870372</v>
      </c>
      <c r="B436">
        <v>542361075</v>
      </c>
      <c r="C436" t="s">
        <v>277</v>
      </c>
      <c r="D436" t="s">
        <v>257</v>
      </c>
      <c r="E436">
        <v>241</v>
      </c>
      <c r="F436" t="s">
        <v>258</v>
      </c>
    </row>
    <row r="437" spans="1:6" x14ac:dyDescent="0.3">
      <c r="A437" s="629">
        <v>45638.503819444442</v>
      </c>
      <c r="B437">
        <v>542361075</v>
      </c>
      <c r="C437" t="s">
        <v>277</v>
      </c>
      <c r="D437" t="s">
        <v>257</v>
      </c>
      <c r="E437">
        <v>12</v>
      </c>
      <c r="F437" t="s">
        <v>258</v>
      </c>
    </row>
    <row r="438" spans="1:6" x14ac:dyDescent="0.3">
      <c r="A438" s="629">
        <v>45638.503611111111</v>
      </c>
      <c r="B438">
        <v>542361075</v>
      </c>
      <c r="C438" t="s">
        <v>277</v>
      </c>
      <c r="D438" t="s">
        <v>257</v>
      </c>
      <c r="E438">
        <v>241</v>
      </c>
      <c r="F438" t="s">
        <v>258</v>
      </c>
    </row>
    <row r="439" spans="1:6" x14ac:dyDescent="0.3">
      <c r="A439" s="629">
        <v>45638.500543981485</v>
      </c>
      <c r="B439">
        <v>542361075</v>
      </c>
      <c r="C439" t="s">
        <v>277</v>
      </c>
      <c r="D439" t="s">
        <v>257</v>
      </c>
      <c r="E439">
        <v>237</v>
      </c>
      <c r="F439" t="s">
        <v>258</v>
      </c>
    </row>
    <row r="440" spans="1:6" x14ac:dyDescent="0.3">
      <c r="A440" s="629">
        <v>45638.497847222221</v>
      </c>
      <c r="B440">
        <v>542361075</v>
      </c>
      <c r="C440" t="s">
        <v>277</v>
      </c>
      <c r="D440" t="s">
        <v>257</v>
      </c>
      <c r="E440">
        <v>32</v>
      </c>
      <c r="F440" t="s">
        <v>258</v>
      </c>
    </row>
    <row r="441" spans="1:6" x14ac:dyDescent="0.3">
      <c r="A441" s="629">
        <v>45638.494606481479</v>
      </c>
      <c r="B441">
        <v>542361075</v>
      </c>
      <c r="C441" t="s">
        <v>277</v>
      </c>
      <c r="D441" t="s">
        <v>257</v>
      </c>
      <c r="E441">
        <v>216</v>
      </c>
      <c r="F441" t="s">
        <v>258</v>
      </c>
    </row>
    <row r="442" spans="1:6" x14ac:dyDescent="0.3">
      <c r="A442" s="629">
        <v>45638.493969907409</v>
      </c>
      <c r="B442">
        <v>542361075</v>
      </c>
      <c r="C442" t="s">
        <v>277</v>
      </c>
      <c r="D442" t="s">
        <v>257</v>
      </c>
      <c r="E442">
        <v>2</v>
      </c>
      <c r="F442" t="s">
        <v>258</v>
      </c>
    </row>
    <row r="443" spans="1:6" x14ac:dyDescent="0.3">
      <c r="A443" s="629">
        <v>45638.493923611109</v>
      </c>
      <c r="B443">
        <v>542361075</v>
      </c>
      <c r="C443" t="s">
        <v>277</v>
      </c>
      <c r="D443" t="s">
        <v>257</v>
      </c>
      <c r="E443">
        <v>205</v>
      </c>
      <c r="F443" t="s">
        <v>258</v>
      </c>
    </row>
    <row r="444" spans="1:6" x14ac:dyDescent="0.3">
      <c r="A444" s="629">
        <v>45638.493888888886</v>
      </c>
      <c r="B444">
        <v>542361075</v>
      </c>
      <c r="C444" t="s">
        <v>277</v>
      </c>
      <c r="D444" t="s">
        <v>257</v>
      </c>
      <c r="E444">
        <v>6</v>
      </c>
      <c r="F444" t="s">
        <v>258</v>
      </c>
    </row>
    <row r="445" spans="1:6" x14ac:dyDescent="0.3">
      <c r="A445" s="629">
        <v>45638.493541666663</v>
      </c>
      <c r="B445">
        <v>542361075</v>
      </c>
      <c r="C445" t="s">
        <v>277</v>
      </c>
      <c r="D445" t="s">
        <v>257</v>
      </c>
      <c r="E445">
        <v>245</v>
      </c>
      <c r="F445" t="s">
        <v>258</v>
      </c>
    </row>
    <row r="446" spans="1:6" x14ac:dyDescent="0.3">
      <c r="A446" s="629">
        <v>45638.491956018515</v>
      </c>
      <c r="B446">
        <v>542361075</v>
      </c>
      <c r="C446" t="s">
        <v>277</v>
      </c>
      <c r="D446" t="s">
        <v>257</v>
      </c>
      <c r="E446">
        <v>141</v>
      </c>
      <c r="F446" t="s">
        <v>258</v>
      </c>
    </row>
    <row r="447" spans="1:6" x14ac:dyDescent="0.3">
      <c r="A447" s="629">
        <v>45638.4919212963</v>
      </c>
      <c r="B447">
        <v>542361075</v>
      </c>
      <c r="C447" t="s">
        <v>277</v>
      </c>
      <c r="D447" t="s">
        <v>257</v>
      </c>
      <c r="E447">
        <v>39</v>
      </c>
      <c r="F447" t="s">
        <v>258</v>
      </c>
    </row>
    <row r="448" spans="1:6" x14ac:dyDescent="0.3">
      <c r="A448" s="629">
        <v>45638.491886574076</v>
      </c>
      <c r="B448">
        <v>542361075</v>
      </c>
      <c r="C448" t="s">
        <v>277</v>
      </c>
      <c r="D448" t="s">
        <v>257</v>
      </c>
      <c r="E448">
        <v>166</v>
      </c>
      <c r="F448" t="s">
        <v>258</v>
      </c>
    </row>
    <row r="449" spans="1:6" x14ac:dyDescent="0.3">
      <c r="A449" s="629">
        <v>45638.48951388889</v>
      </c>
      <c r="B449">
        <v>542361075</v>
      </c>
      <c r="C449" t="s">
        <v>277</v>
      </c>
      <c r="D449" t="s">
        <v>257</v>
      </c>
      <c r="E449">
        <v>1446</v>
      </c>
      <c r="F449" t="s">
        <v>258</v>
      </c>
    </row>
    <row r="450" spans="1:6" x14ac:dyDescent="0.3">
      <c r="A450" s="629">
        <v>45638.485543981478</v>
      </c>
      <c r="B450">
        <v>542361075</v>
      </c>
      <c r="C450" t="s">
        <v>277</v>
      </c>
      <c r="D450" t="s">
        <v>257</v>
      </c>
      <c r="E450">
        <v>26</v>
      </c>
      <c r="F450" t="s">
        <v>258</v>
      </c>
    </row>
    <row r="451" spans="1:6" x14ac:dyDescent="0.3">
      <c r="A451" s="629">
        <v>45638.484224537038</v>
      </c>
      <c r="B451">
        <v>542361075</v>
      </c>
      <c r="C451" t="s">
        <v>277</v>
      </c>
      <c r="D451" t="s">
        <v>257</v>
      </c>
      <c r="E451">
        <v>146</v>
      </c>
      <c r="F451" t="s">
        <v>258</v>
      </c>
    </row>
    <row r="452" spans="1:6" x14ac:dyDescent="0.3">
      <c r="A452" s="629">
        <v>45638.479351851849</v>
      </c>
      <c r="B452">
        <v>542361075</v>
      </c>
      <c r="C452" t="s">
        <v>277</v>
      </c>
      <c r="D452" t="s">
        <v>257</v>
      </c>
      <c r="E452">
        <v>237</v>
      </c>
      <c r="F452" t="s">
        <v>258</v>
      </c>
    </row>
    <row r="453" spans="1:6" x14ac:dyDescent="0.3">
      <c r="A453" s="629">
        <v>45638.478402777779</v>
      </c>
      <c r="B453">
        <v>542361075</v>
      </c>
      <c r="C453" t="s">
        <v>277</v>
      </c>
      <c r="D453" t="s">
        <v>257</v>
      </c>
      <c r="E453">
        <v>220</v>
      </c>
      <c r="F453" t="s">
        <v>258</v>
      </c>
    </row>
    <row r="454" spans="1:6" x14ac:dyDescent="0.3">
      <c r="A454" s="629">
        <v>45638.466423611113</v>
      </c>
      <c r="B454">
        <v>542361075</v>
      </c>
      <c r="C454" t="s">
        <v>277</v>
      </c>
      <c r="D454" t="s">
        <v>257</v>
      </c>
      <c r="E454">
        <v>146</v>
      </c>
      <c r="F454" t="s">
        <v>258</v>
      </c>
    </row>
    <row r="455" spans="1:6" x14ac:dyDescent="0.3">
      <c r="A455" s="629">
        <v>45638.465879629628</v>
      </c>
      <c r="B455">
        <v>542361075</v>
      </c>
      <c r="C455" t="s">
        <v>277</v>
      </c>
      <c r="D455" t="s">
        <v>257</v>
      </c>
      <c r="E455">
        <v>205</v>
      </c>
      <c r="F455" t="s">
        <v>258</v>
      </c>
    </row>
    <row r="456" spans="1:6" x14ac:dyDescent="0.3">
      <c r="A456" s="629">
        <v>45638.464814814812</v>
      </c>
      <c r="B456">
        <v>542361075</v>
      </c>
      <c r="C456" t="s">
        <v>277</v>
      </c>
      <c r="D456" t="s">
        <v>257</v>
      </c>
      <c r="E456">
        <v>2</v>
      </c>
      <c r="F456" t="s">
        <v>258</v>
      </c>
    </row>
    <row r="457" spans="1:6" x14ac:dyDescent="0.3">
      <c r="A457" s="629">
        <v>45638.462939814817</v>
      </c>
      <c r="B457">
        <v>542361075</v>
      </c>
      <c r="C457" t="s">
        <v>277</v>
      </c>
      <c r="D457" t="s">
        <v>257</v>
      </c>
      <c r="E457">
        <v>141</v>
      </c>
      <c r="F457" t="s">
        <v>258</v>
      </c>
    </row>
    <row r="458" spans="1:6" x14ac:dyDescent="0.3">
      <c r="A458" s="629">
        <v>45638.462777777779</v>
      </c>
      <c r="B458">
        <v>542361075</v>
      </c>
      <c r="C458" t="s">
        <v>277</v>
      </c>
      <c r="D458" t="s">
        <v>257</v>
      </c>
      <c r="E458">
        <v>39</v>
      </c>
      <c r="F458" t="s">
        <v>258</v>
      </c>
    </row>
    <row r="459" spans="1:6" x14ac:dyDescent="0.3">
      <c r="A459" s="629">
        <v>45638.462743055556</v>
      </c>
      <c r="B459">
        <v>542361075</v>
      </c>
      <c r="C459" t="s">
        <v>277</v>
      </c>
      <c r="D459" t="s">
        <v>257</v>
      </c>
      <c r="E459">
        <v>166</v>
      </c>
      <c r="F459" t="s">
        <v>258</v>
      </c>
    </row>
    <row r="460" spans="1:6" x14ac:dyDescent="0.3">
      <c r="A460" s="629">
        <v>45638.462314814817</v>
      </c>
      <c r="B460">
        <v>542361075</v>
      </c>
      <c r="C460" t="s">
        <v>277</v>
      </c>
      <c r="D460" t="s">
        <v>257</v>
      </c>
      <c r="E460">
        <v>26</v>
      </c>
      <c r="F460" t="s">
        <v>258</v>
      </c>
    </row>
    <row r="461" spans="1:6" x14ac:dyDescent="0.3">
      <c r="A461" s="629">
        <v>45638.461909722224</v>
      </c>
      <c r="B461">
        <v>542361075</v>
      </c>
      <c r="C461" t="s">
        <v>277</v>
      </c>
      <c r="D461" t="s">
        <v>257</v>
      </c>
      <c r="E461">
        <v>169</v>
      </c>
      <c r="F461" t="s">
        <v>258</v>
      </c>
    </row>
    <row r="462" spans="1:6" x14ac:dyDescent="0.3">
      <c r="A462" s="629">
        <v>45638.461087962962</v>
      </c>
      <c r="B462">
        <v>542361075</v>
      </c>
      <c r="C462" t="s">
        <v>277</v>
      </c>
      <c r="D462" t="s">
        <v>257</v>
      </c>
      <c r="E462">
        <v>212</v>
      </c>
      <c r="F462" t="s">
        <v>258</v>
      </c>
    </row>
    <row r="463" spans="1:6" x14ac:dyDescent="0.3">
      <c r="A463" s="629">
        <v>45638.460358796299</v>
      </c>
      <c r="B463">
        <v>542361075</v>
      </c>
      <c r="C463" t="s">
        <v>277</v>
      </c>
      <c r="D463" t="s">
        <v>257</v>
      </c>
      <c r="E463">
        <v>236</v>
      </c>
      <c r="F463" t="s">
        <v>258</v>
      </c>
    </row>
    <row r="464" spans="1:6" x14ac:dyDescent="0.3">
      <c r="A464" s="629">
        <v>45638.458969907406</v>
      </c>
      <c r="B464">
        <v>542361075</v>
      </c>
      <c r="C464" t="s">
        <v>277</v>
      </c>
      <c r="D464" t="s">
        <v>257</v>
      </c>
      <c r="E464">
        <v>6</v>
      </c>
      <c r="F464" t="s">
        <v>258</v>
      </c>
    </row>
    <row r="465" spans="1:6" x14ac:dyDescent="0.3">
      <c r="A465" s="629">
        <v>45638.457766203705</v>
      </c>
      <c r="B465">
        <v>542361075</v>
      </c>
      <c r="C465" t="s">
        <v>277</v>
      </c>
      <c r="D465" t="s">
        <v>257</v>
      </c>
      <c r="E465">
        <v>220</v>
      </c>
      <c r="F465" t="s">
        <v>258</v>
      </c>
    </row>
    <row r="466" spans="1:6" x14ac:dyDescent="0.3">
      <c r="A466" s="629">
        <v>45638.440636574072</v>
      </c>
      <c r="B466">
        <v>542361075</v>
      </c>
      <c r="C466" t="s">
        <v>277</v>
      </c>
      <c r="D466" t="s">
        <v>257</v>
      </c>
      <c r="E466">
        <v>212</v>
      </c>
      <c r="F466" t="s">
        <v>258</v>
      </c>
    </row>
    <row r="467" spans="1:6" x14ac:dyDescent="0.3">
      <c r="A467" s="629">
        <v>45638.440439814818</v>
      </c>
      <c r="B467">
        <v>542361075</v>
      </c>
      <c r="C467" t="s">
        <v>277</v>
      </c>
      <c r="D467" t="s">
        <v>257</v>
      </c>
      <c r="E467">
        <v>236</v>
      </c>
      <c r="F467" t="s">
        <v>258</v>
      </c>
    </row>
    <row r="468" spans="1:6" x14ac:dyDescent="0.3">
      <c r="A468" s="629">
        <v>45638.439872685187</v>
      </c>
      <c r="B468">
        <v>542361075</v>
      </c>
      <c r="C468" t="s">
        <v>277</v>
      </c>
      <c r="D468" t="s">
        <v>257</v>
      </c>
      <c r="E468">
        <v>169</v>
      </c>
      <c r="F468" t="s">
        <v>258</v>
      </c>
    </row>
    <row r="469" spans="1:6" x14ac:dyDescent="0.3">
      <c r="A469" s="629">
        <v>45638.438888888886</v>
      </c>
      <c r="B469">
        <v>542361075</v>
      </c>
      <c r="C469" t="s">
        <v>277</v>
      </c>
      <c r="D469" t="s">
        <v>257</v>
      </c>
      <c r="E469">
        <v>116</v>
      </c>
      <c r="F469" t="s">
        <v>258</v>
      </c>
    </row>
    <row r="470" spans="1:6" x14ac:dyDescent="0.3">
      <c r="A470" s="629">
        <v>45638.438854166663</v>
      </c>
      <c r="B470">
        <v>542361075</v>
      </c>
      <c r="C470" t="s">
        <v>277</v>
      </c>
      <c r="D470" t="s">
        <v>257</v>
      </c>
      <c r="E470">
        <v>222</v>
      </c>
      <c r="F470" t="s">
        <v>258</v>
      </c>
    </row>
    <row r="471" spans="1:6" x14ac:dyDescent="0.3">
      <c r="A471" s="629">
        <v>45638.438356481478</v>
      </c>
      <c r="B471">
        <v>542361075</v>
      </c>
      <c r="C471" t="s">
        <v>277</v>
      </c>
      <c r="D471" t="s">
        <v>257</v>
      </c>
      <c r="E471">
        <v>234</v>
      </c>
      <c r="F471" t="s">
        <v>258</v>
      </c>
    </row>
    <row r="472" spans="1:6" x14ac:dyDescent="0.3">
      <c r="A472" s="629">
        <v>45638.417523148149</v>
      </c>
      <c r="B472">
        <v>542361075</v>
      </c>
      <c r="C472" t="s">
        <v>277</v>
      </c>
      <c r="D472" t="s">
        <v>257</v>
      </c>
      <c r="E472">
        <v>95</v>
      </c>
      <c r="F472" t="s">
        <v>258</v>
      </c>
    </row>
    <row r="473" spans="1:6" x14ac:dyDescent="0.3">
      <c r="A473" s="629">
        <v>45638.417314814818</v>
      </c>
      <c r="B473">
        <v>542361075</v>
      </c>
      <c r="C473" t="s">
        <v>277</v>
      </c>
      <c r="D473" t="s">
        <v>257</v>
      </c>
      <c r="E473">
        <v>222</v>
      </c>
      <c r="F473" t="s">
        <v>258</v>
      </c>
    </row>
    <row r="474" spans="1:6" x14ac:dyDescent="0.3">
      <c r="A474" s="629">
        <v>45638.416805555556</v>
      </c>
      <c r="B474">
        <v>542361075</v>
      </c>
      <c r="C474" t="s">
        <v>277</v>
      </c>
      <c r="D474" t="s">
        <v>257</v>
      </c>
      <c r="E474">
        <v>234</v>
      </c>
      <c r="F474" t="s">
        <v>258</v>
      </c>
    </row>
    <row r="475" spans="1:6" x14ac:dyDescent="0.3">
      <c r="A475" s="629">
        <v>45638.416689814818</v>
      </c>
      <c r="B475">
        <v>542361075</v>
      </c>
      <c r="C475" t="s">
        <v>277</v>
      </c>
      <c r="D475" t="s">
        <v>257</v>
      </c>
      <c r="E475">
        <v>116</v>
      </c>
      <c r="F475" t="s">
        <v>258</v>
      </c>
    </row>
    <row r="476" spans="1:6" x14ac:dyDescent="0.3">
      <c r="A476" s="629">
        <v>45638.41028935185</v>
      </c>
      <c r="B476">
        <v>542361075</v>
      </c>
      <c r="C476" t="s">
        <v>277</v>
      </c>
      <c r="D476" t="s">
        <v>257</v>
      </c>
      <c r="E476">
        <v>1446</v>
      </c>
      <c r="F476" t="s">
        <v>258</v>
      </c>
    </row>
    <row r="477" spans="1:6" x14ac:dyDescent="0.3">
      <c r="A477" s="629">
        <v>45638.355891203704</v>
      </c>
      <c r="B477">
        <v>542361075</v>
      </c>
      <c r="C477" t="s">
        <v>277</v>
      </c>
      <c r="D477" t="s">
        <v>257</v>
      </c>
      <c r="E477">
        <v>97</v>
      </c>
      <c r="F477" t="s">
        <v>258</v>
      </c>
    </row>
    <row r="478" spans="1:6" x14ac:dyDescent="0.3">
      <c r="A478" s="629">
        <v>45638.347453703704</v>
      </c>
      <c r="B478">
        <v>542361075</v>
      </c>
      <c r="C478" t="s">
        <v>277</v>
      </c>
      <c r="F478" t="s">
        <v>455</v>
      </c>
    </row>
    <row r="479" spans="1:6" x14ac:dyDescent="0.3">
      <c r="A479" s="629">
        <v>45638.346284722225</v>
      </c>
      <c r="B479">
        <v>542361075</v>
      </c>
      <c r="C479" t="s">
        <v>277</v>
      </c>
      <c r="D479" t="s">
        <v>257</v>
      </c>
      <c r="E479">
        <v>41</v>
      </c>
      <c r="F479" t="s">
        <v>258</v>
      </c>
    </row>
    <row r="480" spans="1:6" x14ac:dyDescent="0.3">
      <c r="A480" s="629">
        <v>45638.34511574074</v>
      </c>
      <c r="B480">
        <v>542361075</v>
      </c>
      <c r="C480" t="s">
        <v>277</v>
      </c>
      <c r="D480" t="s">
        <v>257</v>
      </c>
      <c r="E480">
        <v>34</v>
      </c>
      <c r="F480" t="s">
        <v>258</v>
      </c>
    </row>
    <row r="481" spans="1:6" x14ac:dyDescent="0.3">
      <c r="A481" s="629">
        <v>45638.324432870373</v>
      </c>
      <c r="B481">
        <v>542361075</v>
      </c>
      <c r="C481" t="s">
        <v>277</v>
      </c>
      <c r="D481" t="s">
        <v>257</v>
      </c>
      <c r="E481">
        <v>35</v>
      </c>
      <c r="F481" t="s">
        <v>258</v>
      </c>
    </row>
    <row r="482" spans="1:6" x14ac:dyDescent="0.3">
      <c r="A482" s="629">
        <v>45638.32439814815</v>
      </c>
      <c r="B482">
        <v>542361075</v>
      </c>
      <c r="C482" t="s">
        <v>277</v>
      </c>
      <c r="D482" t="s">
        <v>257</v>
      </c>
      <c r="E482">
        <v>35</v>
      </c>
      <c r="F482" t="s">
        <v>258</v>
      </c>
    </row>
    <row r="483" spans="1:6" x14ac:dyDescent="0.3">
      <c r="A483" s="629">
        <v>45638.324363425927</v>
      </c>
      <c r="B483">
        <v>542361075</v>
      </c>
      <c r="C483" t="s">
        <v>277</v>
      </c>
      <c r="D483" t="s">
        <v>257</v>
      </c>
      <c r="E483">
        <v>35</v>
      </c>
      <c r="F483" t="s">
        <v>258</v>
      </c>
    </row>
    <row r="484" spans="1:6" x14ac:dyDescent="0.3">
      <c r="A484" s="629">
        <v>45638.32335648148</v>
      </c>
      <c r="B484">
        <v>542361075</v>
      </c>
      <c r="C484" t="s">
        <v>277</v>
      </c>
      <c r="D484" t="s">
        <v>257</v>
      </c>
      <c r="E484">
        <v>37</v>
      </c>
      <c r="F484" t="s">
        <v>258</v>
      </c>
    </row>
    <row r="485" spans="1:6" x14ac:dyDescent="0.3">
      <c r="A485" s="629">
        <v>45638.322245370371</v>
      </c>
      <c r="B485">
        <v>542361075</v>
      </c>
      <c r="C485" t="s">
        <v>277</v>
      </c>
      <c r="D485" t="s">
        <v>257</v>
      </c>
      <c r="E485">
        <v>89</v>
      </c>
      <c r="F485" t="s">
        <v>258</v>
      </c>
    </row>
    <row r="486" spans="1:6" x14ac:dyDescent="0.3">
      <c r="A486" s="629">
        <v>45638.320925925924</v>
      </c>
      <c r="B486">
        <v>542361075</v>
      </c>
      <c r="C486" t="s">
        <v>277</v>
      </c>
      <c r="D486" t="s">
        <v>257</v>
      </c>
      <c r="E486">
        <v>242</v>
      </c>
      <c r="F486" t="s">
        <v>258</v>
      </c>
    </row>
    <row r="487" spans="1:6" x14ac:dyDescent="0.3">
      <c r="A487" s="629">
        <v>45638.319722222222</v>
      </c>
      <c r="B487">
        <v>542361075</v>
      </c>
      <c r="C487" t="s">
        <v>277</v>
      </c>
      <c r="D487" t="s">
        <v>257</v>
      </c>
      <c r="E487">
        <v>30</v>
      </c>
      <c r="F487" t="s">
        <v>258</v>
      </c>
    </row>
    <row r="488" spans="1:6" x14ac:dyDescent="0.3">
      <c r="A488" s="629">
        <v>45638.319490740738</v>
      </c>
      <c r="B488">
        <v>542361075</v>
      </c>
      <c r="C488" t="s">
        <v>277</v>
      </c>
      <c r="D488" t="s">
        <v>257</v>
      </c>
      <c r="E488">
        <v>195</v>
      </c>
      <c r="F488" t="s">
        <v>258</v>
      </c>
    </row>
    <row r="489" spans="1:6" x14ac:dyDescent="0.3">
      <c r="A489" s="629">
        <v>45638.319340277776</v>
      </c>
      <c r="B489">
        <v>542361075</v>
      </c>
      <c r="C489" t="s">
        <v>277</v>
      </c>
      <c r="D489" t="s">
        <v>257</v>
      </c>
      <c r="E489">
        <v>159</v>
      </c>
      <c r="F489" t="s">
        <v>258</v>
      </c>
    </row>
    <row r="490" spans="1:6" x14ac:dyDescent="0.3">
      <c r="A490" s="629">
        <v>45638.318414351852</v>
      </c>
      <c r="B490">
        <v>542361075</v>
      </c>
      <c r="C490" t="s">
        <v>277</v>
      </c>
      <c r="D490" t="s">
        <v>257</v>
      </c>
      <c r="E490">
        <v>91</v>
      </c>
      <c r="F490" t="s">
        <v>258</v>
      </c>
    </row>
    <row r="491" spans="1:6" x14ac:dyDescent="0.3">
      <c r="A491" s="629">
        <v>45638.317893518521</v>
      </c>
      <c r="B491">
        <v>542361075</v>
      </c>
      <c r="C491" t="s">
        <v>277</v>
      </c>
      <c r="D491" t="s">
        <v>257</v>
      </c>
      <c r="E491">
        <v>6</v>
      </c>
      <c r="F491" t="s">
        <v>258</v>
      </c>
    </row>
    <row r="492" spans="1:6" x14ac:dyDescent="0.3">
      <c r="A492" s="629">
        <v>45638.317847222221</v>
      </c>
      <c r="B492">
        <v>542361075</v>
      </c>
      <c r="C492" t="s">
        <v>277</v>
      </c>
      <c r="D492" t="s">
        <v>257</v>
      </c>
      <c r="E492">
        <v>33</v>
      </c>
      <c r="F492" t="s">
        <v>258</v>
      </c>
    </row>
    <row r="493" spans="1:6" x14ac:dyDescent="0.3">
      <c r="A493" s="629">
        <v>45638.317800925928</v>
      </c>
      <c r="B493">
        <v>542361075</v>
      </c>
      <c r="C493" t="s">
        <v>277</v>
      </c>
      <c r="D493" t="s">
        <v>257</v>
      </c>
      <c r="E493">
        <v>27</v>
      </c>
      <c r="F493" t="s">
        <v>258</v>
      </c>
    </row>
    <row r="494" spans="1:6" x14ac:dyDescent="0.3">
      <c r="A494" s="629">
        <v>45638.317766203705</v>
      </c>
      <c r="B494">
        <v>542361075</v>
      </c>
      <c r="C494" t="s">
        <v>277</v>
      </c>
      <c r="D494" t="s">
        <v>257</v>
      </c>
      <c r="E494">
        <v>19</v>
      </c>
      <c r="F494" t="s">
        <v>258</v>
      </c>
    </row>
    <row r="495" spans="1:6" x14ac:dyDescent="0.3">
      <c r="A495" s="629">
        <v>45638.317615740743</v>
      </c>
      <c r="B495">
        <v>542361075</v>
      </c>
      <c r="C495" t="s">
        <v>277</v>
      </c>
      <c r="D495" t="s">
        <v>257</v>
      </c>
      <c r="E495">
        <v>216</v>
      </c>
      <c r="F495" t="s">
        <v>258</v>
      </c>
    </row>
    <row r="496" spans="1:6" x14ac:dyDescent="0.3">
      <c r="A496" s="629">
        <v>45638.317453703705</v>
      </c>
      <c r="B496">
        <v>542361075</v>
      </c>
      <c r="C496" t="s">
        <v>277</v>
      </c>
      <c r="D496" t="s">
        <v>257</v>
      </c>
      <c r="E496">
        <v>223</v>
      </c>
      <c r="F496" t="s">
        <v>258</v>
      </c>
    </row>
    <row r="497" spans="1:6" x14ac:dyDescent="0.3">
      <c r="A497" s="629">
        <v>45638.317326388889</v>
      </c>
      <c r="B497">
        <v>542361075</v>
      </c>
      <c r="C497" t="s">
        <v>277</v>
      </c>
      <c r="D497" t="s">
        <v>257</v>
      </c>
      <c r="E497">
        <v>75</v>
      </c>
      <c r="F497" t="s">
        <v>258</v>
      </c>
    </row>
    <row r="498" spans="1:6" x14ac:dyDescent="0.3">
      <c r="A498" s="629">
        <v>45638.317118055558</v>
      </c>
      <c r="B498">
        <v>542361075</v>
      </c>
      <c r="C498" t="s">
        <v>277</v>
      </c>
      <c r="D498" t="s">
        <v>257</v>
      </c>
      <c r="E498">
        <v>29</v>
      </c>
      <c r="F498" t="s">
        <v>258</v>
      </c>
    </row>
    <row r="499" spans="1:6" x14ac:dyDescent="0.3">
      <c r="A499" s="629">
        <v>45638.317013888889</v>
      </c>
      <c r="B499">
        <v>542361075</v>
      </c>
      <c r="C499" t="s">
        <v>277</v>
      </c>
      <c r="D499" t="s">
        <v>257</v>
      </c>
      <c r="E499">
        <v>236</v>
      </c>
      <c r="F499" t="s">
        <v>258</v>
      </c>
    </row>
    <row r="500" spans="1:6" x14ac:dyDescent="0.3">
      <c r="A500" s="629">
        <v>45638.316701388889</v>
      </c>
      <c r="B500">
        <v>542361075</v>
      </c>
      <c r="C500" t="s">
        <v>277</v>
      </c>
      <c r="D500" t="s">
        <v>257</v>
      </c>
      <c r="E500">
        <v>14</v>
      </c>
      <c r="F500" t="s">
        <v>258</v>
      </c>
    </row>
    <row r="501" spans="1:6" x14ac:dyDescent="0.3">
      <c r="A501" s="629">
        <v>45638.316145833334</v>
      </c>
      <c r="B501">
        <v>542361075</v>
      </c>
      <c r="C501" t="s">
        <v>277</v>
      </c>
      <c r="D501" t="s">
        <v>257</v>
      </c>
      <c r="E501">
        <v>210</v>
      </c>
      <c r="F501" t="s">
        <v>258</v>
      </c>
    </row>
    <row r="502" spans="1:6" x14ac:dyDescent="0.3">
      <c r="A502" s="629">
        <v>45638.314965277779</v>
      </c>
      <c r="B502">
        <v>542361075</v>
      </c>
      <c r="C502" t="s">
        <v>277</v>
      </c>
      <c r="D502" t="s">
        <v>257</v>
      </c>
      <c r="E502">
        <v>158</v>
      </c>
      <c r="F502" t="s">
        <v>258</v>
      </c>
    </row>
    <row r="503" spans="1:6" x14ac:dyDescent="0.3">
      <c r="A503" s="629">
        <v>45638.314895833333</v>
      </c>
      <c r="B503">
        <v>542361075</v>
      </c>
      <c r="C503" t="s">
        <v>277</v>
      </c>
      <c r="D503" t="s">
        <v>257</v>
      </c>
      <c r="E503">
        <v>7</v>
      </c>
      <c r="F503" t="s">
        <v>258</v>
      </c>
    </row>
    <row r="504" spans="1:6" x14ac:dyDescent="0.3">
      <c r="A504" s="629">
        <v>45638.314421296294</v>
      </c>
      <c r="B504">
        <v>542361075</v>
      </c>
      <c r="C504" t="s">
        <v>277</v>
      </c>
      <c r="D504" t="s">
        <v>257</v>
      </c>
      <c r="E504">
        <v>63</v>
      </c>
      <c r="F504" t="s">
        <v>258</v>
      </c>
    </row>
    <row r="505" spans="1:6" x14ac:dyDescent="0.3">
      <c r="A505" s="629">
        <v>45638.314340277779</v>
      </c>
      <c r="B505">
        <v>542361075</v>
      </c>
      <c r="C505" t="s">
        <v>277</v>
      </c>
      <c r="D505" t="s">
        <v>257</v>
      </c>
      <c r="E505">
        <v>94</v>
      </c>
      <c r="F505" t="s">
        <v>258</v>
      </c>
    </row>
    <row r="506" spans="1:6" x14ac:dyDescent="0.3">
      <c r="A506" s="629">
        <v>45638.314293981479</v>
      </c>
      <c r="B506">
        <v>542361075</v>
      </c>
      <c r="C506" t="s">
        <v>277</v>
      </c>
      <c r="D506" t="s">
        <v>257</v>
      </c>
      <c r="E506">
        <v>45</v>
      </c>
      <c r="F506" t="s">
        <v>258</v>
      </c>
    </row>
    <row r="507" spans="1:6" x14ac:dyDescent="0.3">
      <c r="A507" s="629">
        <v>45638.314189814817</v>
      </c>
      <c r="B507">
        <v>542361075</v>
      </c>
      <c r="C507" t="s">
        <v>277</v>
      </c>
      <c r="D507" t="s">
        <v>257</v>
      </c>
      <c r="E507">
        <v>111</v>
      </c>
      <c r="F507" t="s">
        <v>258</v>
      </c>
    </row>
    <row r="508" spans="1:6" x14ac:dyDescent="0.3">
      <c r="A508" s="629">
        <v>45638.313703703701</v>
      </c>
      <c r="B508">
        <v>542361075</v>
      </c>
      <c r="C508" t="s">
        <v>277</v>
      </c>
      <c r="D508" t="s">
        <v>257</v>
      </c>
      <c r="E508">
        <v>116</v>
      </c>
      <c r="F508" t="s">
        <v>258</v>
      </c>
    </row>
    <row r="509" spans="1:6" x14ac:dyDescent="0.3">
      <c r="A509" s="629">
        <v>45638.313530092593</v>
      </c>
      <c r="B509">
        <v>542361075</v>
      </c>
      <c r="C509" t="s">
        <v>277</v>
      </c>
      <c r="D509" t="s">
        <v>257</v>
      </c>
      <c r="E509">
        <v>82497</v>
      </c>
      <c r="F509" t="s">
        <v>258</v>
      </c>
    </row>
    <row r="510" spans="1:6" x14ac:dyDescent="0.3">
      <c r="A510" s="629">
        <v>45638.313506944447</v>
      </c>
      <c r="B510">
        <v>542361075</v>
      </c>
      <c r="C510" t="s">
        <v>277</v>
      </c>
      <c r="D510" t="s">
        <v>257</v>
      </c>
      <c r="E510">
        <v>214</v>
      </c>
      <c r="F510" t="s">
        <v>258</v>
      </c>
    </row>
    <row r="511" spans="1:6" x14ac:dyDescent="0.3">
      <c r="A511" s="629">
        <v>45638.313460648147</v>
      </c>
      <c r="B511">
        <v>542361075</v>
      </c>
      <c r="C511" t="s">
        <v>277</v>
      </c>
      <c r="D511" t="s">
        <v>257</v>
      </c>
      <c r="E511">
        <v>181</v>
      </c>
      <c r="F511" t="s">
        <v>258</v>
      </c>
    </row>
    <row r="512" spans="1:6" x14ac:dyDescent="0.3">
      <c r="A512" s="629">
        <v>45638.313344907408</v>
      </c>
      <c r="B512">
        <v>542361075</v>
      </c>
      <c r="C512" t="s">
        <v>277</v>
      </c>
      <c r="D512" t="s">
        <v>257</v>
      </c>
      <c r="E512">
        <v>51</v>
      </c>
      <c r="F512" t="s">
        <v>258</v>
      </c>
    </row>
    <row r="513" spans="1:6" x14ac:dyDescent="0.3">
      <c r="A513" s="629">
        <v>45638.313298611109</v>
      </c>
      <c r="B513">
        <v>542361075</v>
      </c>
      <c r="C513" t="s">
        <v>277</v>
      </c>
      <c r="D513" t="s">
        <v>257</v>
      </c>
      <c r="E513">
        <v>227</v>
      </c>
      <c r="F513" t="s">
        <v>258</v>
      </c>
    </row>
    <row r="514" spans="1:6" x14ac:dyDescent="0.3">
      <c r="A514" s="629">
        <v>45638.313263888886</v>
      </c>
      <c r="B514">
        <v>542361075</v>
      </c>
      <c r="C514" t="s">
        <v>277</v>
      </c>
      <c r="D514" t="s">
        <v>257</v>
      </c>
      <c r="E514">
        <v>135</v>
      </c>
      <c r="F514" t="s">
        <v>258</v>
      </c>
    </row>
    <row r="515" spans="1:6" x14ac:dyDescent="0.3">
      <c r="A515" s="629">
        <v>45638.31322916667</v>
      </c>
      <c r="B515">
        <v>542361075</v>
      </c>
      <c r="C515" t="s">
        <v>277</v>
      </c>
      <c r="D515" t="s">
        <v>257</v>
      </c>
      <c r="E515">
        <v>70</v>
      </c>
      <c r="F515" t="s">
        <v>258</v>
      </c>
    </row>
    <row r="516" spans="1:6" x14ac:dyDescent="0.3">
      <c r="A516" s="629">
        <v>45638.313159722224</v>
      </c>
      <c r="B516">
        <v>542361075</v>
      </c>
      <c r="C516" t="s">
        <v>277</v>
      </c>
      <c r="D516" t="s">
        <v>257</v>
      </c>
      <c r="E516">
        <v>228</v>
      </c>
      <c r="F516" t="s">
        <v>258</v>
      </c>
    </row>
    <row r="517" spans="1:6" x14ac:dyDescent="0.3">
      <c r="A517" s="629">
        <v>45638.313125000001</v>
      </c>
      <c r="B517">
        <v>542361075</v>
      </c>
      <c r="C517" t="s">
        <v>277</v>
      </c>
      <c r="D517" t="s">
        <v>257</v>
      </c>
      <c r="E517">
        <v>231</v>
      </c>
      <c r="F517" t="s">
        <v>258</v>
      </c>
    </row>
    <row r="518" spans="1:6" x14ac:dyDescent="0.3">
      <c r="A518" s="629">
        <v>45638.313055555554</v>
      </c>
      <c r="B518">
        <v>542361075</v>
      </c>
      <c r="C518" t="s">
        <v>277</v>
      </c>
      <c r="D518" t="s">
        <v>257</v>
      </c>
      <c r="E518">
        <v>247</v>
      </c>
      <c r="F518" t="s">
        <v>258</v>
      </c>
    </row>
    <row r="519" spans="1:6" x14ac:dyDescent="0.3">
      <c r="A519" s="629">
        <v>45638.312349537038</v>
      </c>
      <c r="B519">
        <v>542361075</v>
      </c>
      <c r="C519" t="s">
        <v>277</v>
      </c>
      <c r="D519" t="s">
        <v>257</v>
      </c>
      <c r="E519">
        <v>212</v>
      </c>
      <c r="F519" t="s">
        <v>258</v>
      </c>
    </row>
    <row r="520" spans="1:6" x14ac:dyDescent="0.3">
      <c r="A520" s="629">
        <v>45638.312314814815</v>
      </c>
      <c r="B520">
        <v>542361075</v>
      </c>
      <c r="C520" t="s">
        <v>277</v>
      </c>
      <c r="D520" t="s">
        <v>257</v>
      </c>
      <c r="E520">
        <v>237</v>
      </c>
      <c r="F520" t="s">
        <v>258</v>
      </c>
    </row>
    <row r="521" spans="1:6" x14ac:dyDescent="0.3">
      <c r="A521" s="629">
        <v>45638.312210648146</v>
      </c>
      <c r="B521">
        <v>542361075</v>
      </c>
      <c r="C521" t="s">
        <v>277</v>
      </c>
      <c r="D521" t="s">
        <v>257</v>
      </c>
      <c r="E521">
        <v>220</v>
      </c>
      <c r="F521" t="s">
        <v>258</v>
      </c>
    </row>
    <row r="522" spans="1:6" x14ac:dyDescent="0.3">
      <c r="A522" s="629">
        <v>45638.310810185183</v>
      </c>
      <c r="B522">
        <v>542361075</v>
      </c>
      <c r="C522" t="s">
        <v>277</v>
      </c>
      <c r="D522" t="s">
        <v>257</v>
      </c>
      <c r="E522">
        <v>95</v>
      </c>
      <c r="F522" t="s">
        <v>258</v>
      </c>
    </row>
    <row r="523" spans="1:6" x14ac:dyDescent="0.3">
      <c r="A523" s="629">
        <v>45638.310543981483</v>
      </c>
      <c r="B523">
        <v>542361075</v>
      </c>
      <c r="C523" t="s">
        <v>277</v>
      </c>
      <c r="D523" t="s">
        <v>257</v>
      </c>
      <c r="E523">
        <v>12</v>
      </c>
      <c r="F523" t="s">
        <v>258</v>
      </c>
    </row>
    <row r="524" spans="1:6" x14ac:dyDescent="0.3">
      <c r="A524" s="629">
        <v>45638.31040509259</v>
      </c>
      <c r="B524">
        <v>542361075</v>
      </c>
      <c r="C524" t="s">
        <v>277</v>
      </c>
      <c r="D524" t="s">
        <v>257</v>
      </c>
      <c r="E524">
        <v>169</v>
      </c>
      <c r="F524" t="s">
        <v>258</v>
      </c>
    </row>
    <row r="525" spans="1:6" x14ac:dyDescent="0.3">
      <c r="A525" s="629">
        <v>45638.310277777775</v>
      </c>
      <c r="B525">
        <v>542361075</v>
      </c>
      <c r="C525" t="s">
        <v>277</v>
      </c>
      <c r="D525" t="s">
        <v>257</v>
      </c>
      <c r="E525">
        <v>2</v>
      </c>
      <c r="F525" t="s">
        <v>258</v>
      </c>
    </row>
    <row r="526" spans="1:6" x14ac:dyDescent="0.3">
      <c r="A526" s="629">
        <v>45638.310173611113</v>
      </c>
      <c r="B526">
        <v>542361075</v>
      </c>
      <c r="C526" t="s">
        <v>277</v>
      </c>
      <c r="D526" t="s">
        <v>257</v>
      </c>
      <c r="E526">
        <v>58</v>
      </c>
      <c r="F526" t="s">
        <v>258</v>
      </c>
    </row>
    <row r="527" spans="1:6" x14ac:dyDescent="0.3">
      <c r="A527" s="629">
        <v>45638.309224537035</v>
      </c>
      <c r="B527">
        <v>542361075</v>
      </c>
      <c r="C527" t="s">
        <v>277</v>
      </c>
      <c r="D527" t="s">
        <v>257</v>
      </c>
      <c r="E527">
        <v>141</v>
      </c>
      <c r="F527" t="s">
        <v>258</v>
      </c>
    </row>
    <row r="528" spans="1:6" x14ac:dyDescent="0.3">
      <c r="A528" s="629">
        <v>45638.309189814812</v>
      </c>
      <c r="B528">
        <v>542361075</v>
      </c>
      <c r="C528" t="s">
        <v>277</v>
      </c>
      <c r="D528" t="s">
        <v>257</v>
      </c>
      <c r="E528">
        <v>166</v>
      </c>
      <c r="F528" t="s">
        <v>258</v>
      </c>
    </row>
    <row r="529" spans="1:6" x14ac:dyDescent="0.3">
      <c r="A529" s="629">
        <v>45638.308692129627</v>
      </c>
      <c r="B529">
        <v>542361075</v>
      </c>
      <c r="C529" t="s">
        <v>277</v>
      </c>
      <c r="D529" t="s">
        <v>257</v>
      </c>
      <c r="E529">
        <v>234</v>
      </c>
      <c r="F529" t="s">
        <v>258</v>
      </c>
    </row>
    <row r="530" spans="1:6" x14ac:dyDescent="0.3">
      <c r="A530" s="629">
        <v>45638.308657407404</v>
      </c>
      <c r="B530">
        <v>542361075</v>
      </c>
      <c r="C530" t="s">
        <v>277</v>
      </c>
      <c r="D530" t="s">
        <v>257</v>
      </c>
      <c r="E530">
        <v>146</v>
      </c>
      <c r="F530" t="s">
        <v>258</v>
      </c>
    </row>
    <row r="531" spans="1:6" x14ac:dyDescent="0.3">
      <c r="A531" s="629">
        <v>45638.30773148148</v>
      </c>
      <c r="B531">
        <v>542361075</v>
      </c>
      <c r="C531" t="s">
        <v>277</v>
      </c>
      <c r="D531" t="s">
        <v>257</v>
      </c>
      <c r="E531">
        <v>244</v>
      </c>
      <c r="F531" t="s">
        <v>258</v>
      </c>
    </row>
    <row r="532" spans="1:6" x14ac:dyDescent="0.3">
      <c r="A532" s="629">
        <v>45638.306979166664</v>
      </c>
      <c r="B532">
        <v>542361075</v>
      </c>
      <c r="C532" t="s">
        <v>277</v>
      </c>
      <c r="D532" t="s">
        <v>257</v>
      </c>
      <c r="E532">
        <v>9</v>
      </c>
      <c r="F532" t="s">
        <v>258</v>
      </c>
    </row>
    <row r="533" spans="1:6" x14ac:dyDescent="0.3">
      <c r="A533" s="629">
        <v>45638.306747685187</v>
      </c>
      <c r="B533">
        <v>542361075</v>
      </c>
      <c r="C533" t="s">
        <v>277</v>
      </c>
      <c r="D533" t="s">
        <v>257</v>
      </c>
      <c r="E533">
        <v>26</v>
      </c>
      <c r="F533" t="s">
        <v>258</v>
      </c>
    </row>
    <row r="534" spans="1:6" x14ac:dyDescent="0.3">
      <c r="A534" s="629">
        <v>45638.306631944448</v>
      </c>
      <c r="B534">
        <v>542361075</v>
      </c>
      <c r="C534" t="s">
        <v>277</v>
      </c>
      <c r="D534" t="s">
        <v>257</v>
      </c>
      <c r="E534">
        <v>222</v>
      </c>
      <c r="F534" t="s">
        <v>258</v>
      </c>
    </row>
    <row r="535" spans="1:6" x14ac:dyDescent="0.3">
      <c r="A535" s="629">
        <v>45638.306493055556</v>
      </c>
      <c r="B535">
        <v>542361075</v>
      </c>
      <c r="C535" t="s">
        <v>277</v>
      </c>
      <c r="D535" t="s">
        <v>257</v>
      </c>
      <c r="E535">
        <v>39</v>
      </c>
      <c r="F535" t="s">
        <v>258</v>
      </c>
    </row>
    <row r="536" spans="1:6" x14ac:dyDescent="0.3">
      <c r="A536" s="629">
        <v>45638.30572916667</v>
      </c>
      <c r="B536">
        <v>542361075</v>
      </c>
      <c r="C536" t="s">
        <v>277</v>
      </c>
      <c r="D536" t="s">
        <v>257</v>
      </c>
      <c r="E536">
        <v>32</v>
      </c>
      <c r="F536" t="s">
        <v>258</v>
      </c>
    </row>
    <row r="537" spans="1:6" x14ac:dyDescent="0.3">
      <c r="A537" s="629">
        <v>45638.305590277778</v>
      </c>
      <c r="B537">
        <v>542361075</v>
      </c>
      <c r="C537" t="s">
        <v>277</v>
      </c>
      <c r="D537" t="s">
        <v>257</v>
      </c>
      <c r="E537">
        <v>59</v>
      </c>
      <c r="F537" t="s">
        <v>258</v>
      </c>
    </row>
    <row r="538" spans="1:6" x14ac:dyDescent="0.3">
      <c r="A538" s="629">
        <v>45638.305393518516</v>
      </c>
      <c r="B538">
        <v>542361075</v>
      </c>
      <c r="C538" t="s">
        <v>277</v>
      </c>
      <c r="D538" t="s">
        <v>257</v>
      </c>
      <c r="E538">
        <v>28</v>
      </c>
      <c r="F538" t="s">
        <v>258</v>
      </c>
    </row>
    <row r="539" spans="1:6" x14ac:dyDescent="0.3">
      <c r="A539" s="629">
        <v>45638.302442129629</v>
      </c>
      <c r="B539">
        <v>542361075</v>
      </c>
      <c r="C539" t="s">
        <v>277</v>
      </c>
      <c r="D539" t="s">
        <v>257</v>
      </c>
      <c r="E539">
        <v>239</v>
      </c>
      <c r="F539" t="s">
        <v>258</v>
      </c>
    </row>
    <row r="540" spans="1:6" x14ac:dyDescent="0.3">
      <c r="A540" s="629">
        <v>45638.302372685182</v>
      </c>
      <c r="B540">
        <v>542361075</v>
      </c>
      <c r="C540" t="s">
        <v>277</v>
      </c>
      <c r="D540" t="s">
        <v>257</v>
      </c>
      <c r="E540">
        <v>230</v>
      </c>
      <c r="F540" t="s">
        <v>258</v>
      </c>
    </row>
    <row r="541" spans="1:6" x14ac:dyDescent="0.3">
      <c r="A541" s="629">
        <v>45638.298935185187</v>
      </c>
      <c r="B541">
        <v>542361075</v>
      </c>
      <c r="C541" t="s">
        <v>277</v>
      </c>
      <c r="D541" t="s">
        <v>257</v>
      </c>
      <c r="E541">
        <v>245</v>
      </c>
      <c r="F541" t="s">
        <v>258</v>
      </c>
    </row>
    <row r="542" spans="1:6" x14ac:dyDescent="0.3">
      <c r="A542" s="629">
        <v>45638.296331018515</v>
      </c>
      <c r="B542">
        <v>542361075</v>
      </c>
      <c r="C542" t="s">
        <v>277</v>
      </c>
      <c r="D542" t="s">
        <v>257</v>
      </c>
      <c r="E542">
        <v>241</v>
      </c>
      <c r="F542" t="s">
        <v>258</v>
      </c>
    </row>
    <row r="543" spans="1:6" x14ac:dyDescent="0.3">
      <c r="A543" s="629">
        <v>45638.211331018516</v>
      </c>
      <c r="B543">
        <v>542361075</v>
      </c>
      <c r="C543" t="s">
        <v>277</v>
      </c>
      <c r="D543" t="s">
        <v>257</v>
      </c>
      <c r="E543">
        <v>242</v>
      </c>
      <c r="F543" t="s">
        <v>258</v>
      </c>
    </row>
    <row r="544" spans="1:6" x14ac:dyDescent="0.3">
      <c r="A544" s="629">
        <v>45638.211284722223</v>
      </c>
      <c r="B544">
        <v>542361075</v>
      </c>
      <c r="C544" t="s">
        <v>277</v>
      </c>
      <c r="D544" t="s">
        <v>257</v>
      </c>
      <c r="E544">
        <v>159</v>
      </c>
      <c r="F544" t="s">
        <v>258</v>
      </c>
    </row>
    <row r="545" spans="1:6" x14ac:dyDescent="0.3">
      <c r="A545" s="629">
        <v>45638.183067129627</v>
      </c>
      <c r="B545">
        <v>542361075</v>
      </c>
      <c r="C545" t="s">
        <v>277</v>
      </c>
      <c r="D545" t="s">
        <v>257</v>
      </c>
      <c r="E545">
        <v>242</v>
      </c>
      <c r="F545" t="s">
        <v>258</v>
      </c>
    </row>
    <row r="546" spans="1:6" x14ac:dyDescent="0.3">
      <c r="A546" s="629">
        <v>45638.181967592594</v>
      </c>
      <c r="B546">
        <v>542361075</v>
      </c>
      <c r="C546" t="s">
        <v>277</v>
      </c>
      <c r="D546" t="s">
        <v>257</v>
      </c>
      <c r="E546">
        <v>159</v>
      </c>
      <c r="F546" t="s">
        <v>258</v>
      </c>
    </row>
    <row r="547" spans="1:6" x14ac:dyDescent="0.3">
      <c r="A547" s="629">
        <v>45638.168900462966</v>
      </c>
      <c r="B547">
        <v>542361075</v>
      </c>
      <c r="C547" t="s">
        <v>277</v>
      </c>
      <c r="D547" t="s">
        <v>257</v>
      </c>
      <c r="E547">
        <v>210</v>
      </c>
      <c r="F547" t="s">
        <v>258</v>
      </c>
    </row>
    <row r="548" spans="1:6" x14ac:dyDescent="0.3">
      <c r="A548" s="629">
        <v>45638.167361111111</v>
      </c>
      <c r="B548">
        <v>542361075</v>
      </c>
      <c r="C548" t="s">
        <v>277</v>
      </c>
      <c r="D548" t="s">
        <v>257</v>
      </c>
      <c r="E548">
        <v>228</v>
      </c>
      <c r="F548" t="s">
        <v>258</v>
      </c>
    </row>
    <row r="549" spans="1:6" x14ac:dyDescent="0.3">
      <c r="A549" s="629">
        <v>45638.149039351854</v>
      </c>
      <c r="B549">
        <v>542361075</v>
      </c>
      <c r="C549" t="s">
        <v>277</v>
      </c>
      <c r="D549" t="s">
        <v>257</v>
      </c>
      <c r="E549">
        <v>158</v>
      </c>
      <c r="F549" t="s">
        <v>258</v>
      </c>
    </row>
    <row r="550" spans="1:6" x14ac:dyDescent="0.3">
      <c r="A550" s="629">
        <v>45638.148425925923</v>
      </c>
      <c r="B550">
        <v>542361075</v>
      </c>
      <c r="C550" t="s">
        <v>277</v>
      </c>
      <c r="D550" t="s">
        <v>257</v>
      </c>
      <c r="E550">
        <v>210</v>
      </c>
      <c r="F550" t="s">
        <v>258</v>
      </c>
    </row>
    <row r="551" spans="1:6" x14ac:dyDescent="0.3">
      <c r="A551" s="629">
        <v>45638.147060185183</v>
      </c>
      <c r="B551">
        <v>542361075</v>
      </c>
      <c r="C551" t="s">
        <v>277</v>
      </c>
      <c r="D551" t="s">
        <v>257</v>
      </c>
      <c r="E551">
        <v>228</v>
      </c>
      <c r="F551" t="s">
        <v>258</v>
      </c>
    </row>
    <row r="552" spans="1:6" x14ac:dyDescent="0.3">
      <c r="A552" s="629">
        <v>45638.133368055554</v>
      </c>
      <c r="B552">
        <v>542361075</v>
      </c>
      <c r="C552" t="s">
        <v>277</v>
      </c>
      <c r="D552" t="s">
        <v>257</v>
      </c>
      <c r="E552">
        <v>223</v>
      </c>
      <c r="F552" t="s">
        <v>258</v>
      </c>
    </row>
    <row r="553" spans="1:6" x14ac:dyDescent="0.3">
      <c r="A553" s="629">
        <v>45638.133310185185</v>
      </c>
      <c r="B553">
        <v>542361075</v>
      </c>
      <c r="C553" t="s">
        <v>277</v>
      </c>
      <c r="D553" t="s">
        <v>257</v>
      </c>
      <c r="E553">
        <v>181</v>
      </c>
      <c r="F553" t="s">
        <v>258</v>
      </c>
    </row>
    <row r="554" spans="1:6" x14ac:dyDescent="0.3">
      <c r="A554" s="629">
        <v>45638.111226851855</v>
      </c>
      <c r="B554">
        <v>542361075</v>
      </c>
      <c r="C554" t="s">
        <v>277</v>
      </c>
      <c r="D554" t="s">
        <v>257</v>
      </c>
      <c r="E554">
        <v>181</v>
      </c>
      <c r="F554" t="s">
        <v>258</v>
      </c>
    </row>
    <row r="555" spans="1:6" x14ac:dyDescent="0.3">
      <c r="A555" s="629">
        <v>45638.111180555556</v>
      </c>
      <c r="B555">
        <v>542361075</v>
      </c>
      <c r="C555" t="s">
        <v>277</v>
      </c>
      <c r="D555" t="s">
        <v>257</v>
      </c>
      <c r="E555">
        <v>223</v>
      </c>
      <c r="F555" t="s">
        <v>258</v>
      </c>
    </row>
    <row r="556" spans="1:6" x14ac:dyDescent="0.3">
      <c r="A556" s="629">
        <v>45638.108888888892</v>
      </c>
      <c r="B556">
        <v>542361075</v>
      </c>
      <c r="C556" t="s">
        <v>277</v>
      </c>
      <c r="D556" t="s">
        <v>257</v>
      </c>
      <c r="E556">
        <v>214</v>
      </c>
      <c r="F556" t="s">
        <v>258</v>
      </c>
    </row>
    <row r="557" spans="1:6" x14ac:dyDescent="0.3">
      <c r="A557" s="629">
        <v>45638.108807870369</v>
      </c>
      <c r="B557">
        <v>542361075</v>
      </c>
      <c r="C557" t="s">
        <v>277</v>
      </c>
      <c r="D557" t="s">
        <v>257</v>
      </c>
      <c r="E557">
        <v>94</v>
      </c>
      <c r="F557" t="s">
        <v>258</v>
      </c>
    </row>
    <row r="558" spans="1:6" x14ac:dyDescent="0.3">
      <c r="A558" s="629">
        <v>45638.106851851851</v>
      </c>
      <c r="B558">
        <v>542361075</v>
      </c>
      <c r="C558" t="s">
        <v>277</v>
      </c>
      <c r="D558" t="s">
        <v>257</v>
      </c>
      <c r="E558">
        <v>75</v>
      </c>
      <c r="F558" t="s">
        <v>258</v>
      </c>
    </row>
    <row r="559" spans="1:6" x14ac:dyDescent="0.3">
      <c r="A559" s="629">
        <v>45638.106724537036</v>
      </c>
      <c r="B559">
        <v>542361075</v>
      </c>
      <c r="C559" t="s">
        <v>277</v>
      </c>
      <c r="D559" t="s">
        <v>257</v>
      </c>
      <c r="E559">
        <v>91</v>
      </c>
      <c r="F559" t="s">
        <v>258</v>
      </c>
    </row>
    <row r="560" spans="1:6" x14ac:dyDescent="0.3">
      <c r="A560" s="629">
        <v>45638.090648148151</v>
      </c>
      <c r="B560">
        <v>542361075</v>
      </c>
      <c r="C560" t="s">
        <v>277</v>
      </c>
      <c r="D560" t="s">
        <v>257</v>
      </c>
      <c r="E560">
        <v>214</v>
      </c>
      <c r="F560" t="s">
        <v>258</v>
      </c>
    </row>
    <row r="561" spans="1:6" x14ac:dyDescent="0.3">
      <c r="A561" s="629">
        <v>45638.087939814817</v>
      </c>
      <c r="B561">
        <v>542361075</v>
      </c>
      <c r="C561" t="s">
        <v>277</v>
      </c>
      <c r="D561" t="s">
        <v>257</v>
      </c>
      <c r="E561">
        <v>94</v>
      </c>
      <c r="F561" t="s">
        <v>258</v>
      </c>
    </row>
    <row r="562" spans="1:6" x14ac:dyDescent="0.3">
      <c r="A562" s="629">
        <v>45638.087002314816</v>
      </c>
      <c r="B562">
        <v>542361075</v>
      </c>
      <c r="C562" t="s">
        <v>277</v>
      </c>
      <c r="D562" t="s">
        <v>257</v>
      </c>
      <c r="E562">
        <v>29</v>
      </c>
      <c r="F562" t="s">
        <v>258</v>
      </c>
    </row>
    <row r="563" spans="1:6" x14ac:dyDescent="0.3">
      <c r="A563" s="629">
        <v>45638.085011574076</v>
      </c>
      <c r="B563">
        <v>542361075</v>
      </c>
      <c r="C563" t="s">
        <v>277</v>
      </c>
      <c r="D563" t="s">
        <v>257</v>
      </c>
      <c r="E563">
        <v>91</v>
      </c>
      <c r="F563" t="s">
        <v>258</v>
      </c>
    </row>
    <row r="564" spans="1:6" x14ac:dyDescent="0.3">
      <c r="A564" s="629">
        <v>45638.084953703707</v>
      </c>
      <c r="B564">
        <v>542361075</v>
      </c>
      <c r="C564" t="s">
        <v>277</v>
      </c>
      <c r="D564" t="s">
        <v>257</v>
      </c>
      <c r="E564">
        <v>227</v>
      </c>
      <c r="F564" t="s">
        <v>258</v>
      </c>
    </row>
    <row r="565" spans="1:6" x14ac:dyDescent="0.3">
      <c r="A565" s="629">
        <v>45638.084907407407</v>
      </c>
      <c r="B565">
        <v>542361075</v>
      </c>
      <c r="C565" t="s">
        <v>277</v>
      </c>
      <c r="D565" t="s">
        <v>257</v>
      </c>
      <c r="E565">
        <v>135</v>
      </c>
      <c r="F565" t="s">
        <v>258</v>
      </c>
    </row>
    <row r="566" spans="1:6" x14ac:dyDescent="0.3">
      <c r="A566" s="629">
        <v>45638.084872685184</v>
      </c>
      <c r="B566">
        <v>542361075</v>
      </c>
      <c r="C566" t="s">
        <v>277</v>
      </c>
      <c r="D566" t="s">
        <v>257</v>
      </c>
      <c r="E566">
        <v>14</v>
      </c>
      <c r="F566" t="s">
        <v>258</v>
      </c>
    </row>
    <row r="567" spans="1:6" x14ac:dyDescent="0.3">
      <c r="A567" s="629">
        <v>45638.084733796299</v>
      </c>
      <c r="B567">
        <v>542361075</v>
      </c>
      <c r="C567" t="s">
        <v>277</v>
      </c>
      <c r="D567" t="s">
        <v>257</v>
      </c>
      <c r="E567">
        <v>75</v>
      </c>
      <c r="F567" t="s">
        <v>258</v>
      </c>
    </row>
    <row r="568" spans="1:6" x14ac:dyDescent="0.3">
      <c r="A568" s="629">
        <v>45638.066851851851</v>
      </c>
      <c r="B568">
        <v>542361075</v>
      </c>
      <c r="C568" t="s">
        <v>277</v>
      </c>
      <c r="D568" t="s">
        <v>257</v>
      </c>
      <c r="E568">
        <v>14</v>
      </c>
      <c r="F568" t="s">
        <v>258</v>
      </c>
    </row>
    <row r="569" spans="1:6" x14ac:dyDescent="0.3">
      <c r="A569" s="629">
        <v>45638.066250000003</v>
      </c>
      <c r="B569">
        <v>542361075</v>
      </c>
      <c r="C569" t="s">
        <v>277</v>
      </c>
      <c r="D569" t="s">
        <v>257</v>
      </c>
      <c r="E569">
        <v>29</v>
      </c>
      <c r="F569" t="s">
        <v>258</v>
      </c>
    </row>
    <row r="570" spans="1:6" x14ac:dyDescent="0.3">
      <c r="A570" s="629">
        <v>45638.05878472222</v>
      </c>
      <c r="B570">
        <v>542361075</v>
      </c>
      <c r="C570" t="s">
        <v>277</v>
      </c>
      <c r="D570" t="s">
        <v>257</v>
      </c>
      <c r="E570">
        <v>135</v>
      </c>
      <c r="F570" t="s">
        <v>258</v>
      </c>
    </row>
    <row r="571" spans="1:6" x14ac:dyDescent="0.3">
      <c r="A571" s="629">
        <v>45638.058680555558</v>
      </c>
      <c r="B571">
        <v>542361075</v>
      </c>
      <c r="C571" t="s">
        <v>277</v>
      </c>
      <c r="D571" t="s">
        <v>257</v>
      </c>
      <c r="E571">
        <v>227</v>
      </c>
      <c r="F571" t="s">
        <v>258</v>
      </c>
    </row>
    <row r="572" spans="1:6" x14ac:dyDescent="0.3">
      <c r="A572" s="629">
        <v>45637.990057870367</v>
      </c>
      <c r="B572">
        <v>542361075</v>
      </c>
      <c r="C572" t="s">
        <v>277</v>
      </c>
      <c r="D572" t="s">
        <v>257</v>
      </c>
      <c r="E572">
        <v>231</v>
      </c>
      <c r="F572" t="s">
        <v>258</v>
      </c>
    </row>
    <row r="573" spans="1:6" x14ac:dyDescent="0.3">
      <c r="A573" s="629">
        <v>45637.984120370369</v>
      </c>
      <c r="B573">
        <v>542361075</v>
      </c>
      <c r="C573" t="s">
        <v>277</v>
      </c>
      <c r="D573" t="s">
        <v>257</v>
      </c>
      <c r="E573">
        <v>210</v>
      </c>
      <c r="F573" t="s">
        <v>258</v>
      </c>
    </row>
    <row r="574" spans="1:6" x14ac:dyDescent="0.3">
      <c r="A574" s="629">
        <v>45637.982523148145</v>
      </c>
      <c r="B574">
        <v>542361075</v>
      </c>
      <c r="C574" t="s">
        <v>277</v>
      </c>
      <c r="D574" t="s">
        <v>257</v>
      </c>
      <c r="E574">
        <v>135</v>
      </c>
      <c r="F574" t="s">
        <v>258</v>
      </c>
    </row>
    <row r="575" spans="1:6" x14ac:dyDescent="0.3">
      <c r="A575" s="629">
        <v>45637.982442129629</v>
      </c>
      <c r="B575">
        <v>542361075</v>
      </c>
      <c r="C575" t="s">
        <v>277</v>
      </c>
      <c r="D575" t="s">
        <v>257</v>
      </c>
      <c r="E575">
        <v>227</v>
      </c>
      <c r="F575" t="s">
        <v>258</v>
      </c>
    </row>
    <row r="576" spans="1:6" x14ac:dyDescent="0.3">
      <c r="A576" s="629">
        <v>45637.979907407411</v>
      </c>
      <c r="B576">
        <v>542361075</v>
      </c>
      <c r="C576" t="s">
        <v>277</v>
      </c>
      <c r="D576" t="s">
        <v>257</v>
      </c>
      <c r="E576">
        <v>235</v>
      </c>
      <c r="F576" t="s">
        <v>258</v>
      </c>
    </row>
    <row r="577" spans="1:6" x14ac:dyDescent="0.3">
      <c r="A577" s="629">
        <v>45637.979872685188</v>
      </c>
      <c r="B577">
        <v>542361075</v>
      </c>
      <c r="C577" t="s">
        <v>277</v>
      </c>
      <c r="D577" t="s">
        <v>257</v>
      </c>
      <c r="E577">
        <v>226</v>
      </c>
      <c r="F577" t="s">
        <v>258</v>
      </c>
    </row>
    <row r="578" spans="1:6" x14ac:dyDescent="0.3">
      <c r="A578" s="629">
        <v>45637.979837962965</v>
      </c>
      <c r="B578">
        <v>542361075</v>
      </c>
      <c r="C578" t="s">
        <v>277</v>
      </c>
      <c r="D578" t="s">
        <v>257</v>
      </c>
      <c r="E578">
        <v>207</v>
      </c>
      <c r="F578" t="s">
        <v>258</v>
      </c>
    </row>
    <row r="579" spans="1:6" x14ac:dyDescent="0.3">
      <c r="A579" s="629">
        <v>45637.979791666665</v>
      </c>
      <c r="B579">
        <v>542361075</v>
      </c>
      <c r="C579" t="s">
        <v>277</v>
      </c>
      <c r="D579" t="s">
        <v>257</v>
      </c>
      <c r="E579">
        <v>69</v>
      </c>
      <c r="F579" t="s">
        <v>258</v>
      </c>
    </row>
    <row r="580" spans="1:6" x14ac:dyDescent="0.3">
      <c r="A580" s="629">
        <v>45637.979710648149</v>
      </c>
      <c r="B580">
        <v>542361075</v>
      </c>
      <c r="C580" t="s">
        <v>277</v>
      </c>
      <c r="D580" t="s">
        <v>257</v>
      </c>
      <c r="E580">
        <v>132</v>
      </c>
      <c r="F580" t="s">
        <v>258</v>
      </c>
    </row>
    <row r="581" spans="1:6" x14ac:dyDescent="0.3">
      <c r="A581" s="629">
        <v>45637.979664351849</v>
      </c>
      <c r="B581">
        <v>542361075</v>
      </c>
      <c r="C581" t="s">
        <v>277</v>
      </c>
      <c r="D581" t="s">
        <v>257</v>
      </c>
      <c r="E581">
        <v>250</v>
      </c>
      <c r="F581" t="s">
        <v>258</v>
      </c>
    </row>
    <row r="582" spans="1:6" x14ac:dyDescent="0.3">
      <c r="A582" s="629">
        <v>45637.979629629626</v>
      </c>
      <c r="B582">
        <v>542361075</v>
      </c>
      <c r="C582" t="s">
        <v>277</v>
      </c>
      <c r="D582" t="s">
        <v>257</v>
      </c>
      <c r="E582">
        <v>228</v>
      </c>
      <c r="F582" t="s">
        <v>258</v>
      </c>
    </row>
    <row r="583" spans="1:6" x14ac:dyDescent="0.3">
      <c r="A583" s="629">
        <v>45637.979594907411</v>
      </c>
      <c r="B583">
        <v>542361075</v>
      </c>
      <c r="C583" t="s">
        <v>277</v>
      </c>
      <c r="D583" t="s">
        <v>257</v>
      </c>
      <c r="E583">
        <v>107</v>
      </c>
      <c r="F583" t="s">
        <v>258</v>
      </c>
    </row>
    <row r="584" spans="1:6" x14ac:dyDescent="0.3">
      <c r="A584" s="629">
        <v>45637.979548611111</v>
      </c>
      <c r="B584">
        <v>542361075</v>
      </c>
      <c r="C584" t="s">
        <v>277</v>
      </c>
      <c r="D584" t="s">
        <v>257</v>
      </c>
      <c r="E584">
        <v>232</v>
      </c>
      <c r="F584" t="s">
        <v>258</v>
      </c>
    </row>
    <row r="585" spans="1:6" x14ac:dyDescent="0.3">
      <c r="A585" s="629">
        <v>45637.97724537037</v>
      </c>
      <c r="B585">
        <v>542361075</v>
      </c>
      <c r="C585" t="s">
        <v>277</v>
      </c>
      <c r="D585" t="s">
        <v>257</v>
      </c>
      <c r="E585">
        <v>242</v>
      </c>
      <c r="F585" t="s">
        <v>258</v>
      </c>
    </row>
    <row r="586" spans="1:6" x14ac:dyDescent="0.3">
      <c r="A586" s="629">
        <v>45637.976400462961</v>
      </c>
      <c r="B586">
        <v>542361075</v>
      </c>
      <c r="C586" t="s">
        <v>277</v>
      </c>
      <c r="D586" t="s">
        <v>257</v>
      </c>
      <c r="E586">
        <v>45</v>
      </c>
      <c r="F586" t="s">
        <v>258</v>
      </c>
    </row>
    <row r="587" spans="1:6" x14ac:dyDescent="0.3">
      <c r="A587" s="629">
        <v>45637.976342592592</v>
      </c>
      <c r="B587">
        <v>542361075</v>
      </c>
      <c r="C587" t="s">
        <v>277</v>
      </c>
      <c r="D587" t="s">
        <v>257</v>
      </c>
      <c r="E587">
        <v>75</v>
      </c>
      <c r="F587" t="s">
        <v>258</v>
      </c>
    </row>
    <row r="588" spans="1:6" x14ac:dyDescent="0.3">
      <c r="A588" s="629">
        <v>45637.976273148146</v>
      </c>
      <c r="B588">
        <v>542361075</v>
      </c>
      <c r="C588" t="s">
        <v>277</v>
      </c>
      <c r="F588" t="s">
        <v>259</v>
      </c>
    </row>
    <row r="589" spans="1:6" x14ac:dyDescent="0.3">
      <c r="A589" s="629">
        <v>45637.976203703707</v>
      </c>
      <c r="B589">
        <v>542361075</v>
      </c>
      <c r="C589" t="s">
        <v>277</v>
      </c>
      <c r="F589" t="s">
        <v>259</v>
      </c>
    </row>
    <row r="590" spans="1:6" x14ac:dyDescent="0.3">
      <c r="A590" s="629">
        <v>45637.975914351853</v>
      </c>
      <c r="B590">
        <v>542361075</v>
      </c>
      <c r="C590" t="s">
        <v>277</v>
      </c>
      <c r="D590" t="s">
        <v>257</v>
      </c>
      <c r="E590">
        <v>37</v>
      </c>
      <c r="F590" t="s">
        <v>258</v>
      </c>
    </row>
    <row r="591" spans="1:6" x14ac:dyDescent="0.3">
      <c r="A591" s="629">
        <v>45637.975844907407</v>
      </c>
      <c r="B591">
        <v>542361075</v>
      </c>
      <c r="C591" t="s">
        <v>277</v>
      </c>
      <c r="D591" t="s">
        <v>257</v>
      </c>
      <c r="E591">
        <v>29</v>
      </c>
      <c r="F591" t="s">
        <v>258</v>
      </c>
    </row>
    <row r="592" spans="1:6" x14ac:dyDescent="0.3">
      <c r="A592" s="629">
        <v>45637.97550925926</v>
      </c>
      <c r="B592">
        <v>542361075</v>
      </c>
      <c r="C592" t="s">
        <v>277</v>
      </c>
      <c r="D592" t="s">
        <v>257</v>
      </c>
      <c r="E592">
        <v>181</v>
      </c>
      <c r="F592" t="s">
        <v>258</v>
      </c>
    </row>
    <row r="593" spans="1:6" x14ac:dyDescent="0.3">
      <c r="A593" s="629">
        <v>45637.974444444444</v>
      </c>
      <c r="B593">
        <v>542361075</v>
      </c>
      <c r="C593" t="s">
        <v>277</v>
      </c>
      <c r="D593" t="s">
        <v>257</v>
      </c>
      <c r="E593">
        <v>223</v>
      </c>
      <c r="F593" t="s">
        <v>258</v>
      </c>
    </row>
    <row r="594" spans="1:6" x14ac:dyDescent="0.3">
      <c r="A594" s="629">
        <v>45637.974363425928</v>
      </c>
      <c r="B594">
        <v>542361075</v>
      </c>
      <c r="C594" t="s">
        <v>277</v>
      </c>
      <c r="D594" t="s">
        <v>257</v>
      </c>
      <c r="E594">
        <v>214</v>
      </c>
      <c r="F594" t="s">
        <v>258</v>
      </c>
    </row>
    <row r="595" spans="1:6" x14ac:dyDescent="0.3">
      <c r="A595" s="629">
        <v>45637.971562500003</v>
      </c>
      <c r="B595">
        <v>542361075</v>
      </c>
      <c r="C595" t="s">
        <v>277</v>
      </c>
      <c r="D595" t="s">
        <v>257</v>
      </c>
      <c r="E595">
        <v>70</v>
      </c>
      <c r="F595" t="s">
        <v>258</v>
      </c>
    </row>
    <row r="596" spans="1:6" x14ac:dyDescent="0.3">
      <c r="A596" s="629">
        <v>45637.971099537041</v>
      </c>
      <c r="B596">
        <v>542361075</v>
      </c>
      <c r="C596" t="s">
        <v>277</v>
      </c>
      <c r="D596" t="s">
        <v>257</v>
      </c>
      <c r="E596">
        <v>158</v>
      </c>
      <c r="F596" t="s">
        <v>258</v>
      </c>
    </row>
    <row r="597" spans="1:6" x14ac:dyDescent="0.3">
      <c r="A597" s="629">
        <v>45637.970590277779</v>
      </c>
      <c r="B597">
        <v>542361075</v>
      </c>
      <c r="C597" t="s">
        <v>277</v>
      </c>
      <c r="D597" t="s">
        <v>257</v>
      </c>
      <c r="E597">
        <v>27</v>
      </c>
      <c r="F597" t="s">
        <v>258</v>
      </c>
    </row>
    <row r="598" spans="1:6" x14ac:dyDescent="0.3">
      <c r="A598" s="629">
        <v>45637.970266203702</v>
      </c>
      <c r="B598">
        <v>542361075</v>
      </c>
      <c r="C598" t="s">
        <v>277</v>
      </c>
      <c r="D598" t="s">
        <v>257</v>
      </c>
      <c r="E598">
        <v>33</v>
      </c>
      <c r="F598" t="s">
        <v>258</v>
      </c>
    </row>
    <row r="599" spans="1:6" x14ac:dyDescent="0.3">
      <c r="A599" s="629">
        <v>45637.970150462963</v>
      </c>
      <c r="B599">
        <v>542361075</v>
      </c>
      <c r="C599" t="s">
        <v>277</v>
      </c>
      <c r="D599" t="s">
        <v>257</v>
      </c>
      <c r="E599">
        <v>91</v>
      </c>
      <c r="F599" t="s">
        <v>258</v>
      </c>
    </row>
    <row r="600" spans="1:6" x14ac:dyDescent="0.3">
      <c r="A600" s="629">
        <v>45637.963472222225</v>
      </c>
      <c r="B600">
        <v>542361075</v>
      </c>
      <c r="C600" t="s">
        <v>277</v>
      </c>
      <c r="D600" t="s">
        <v>257</v>
      </c>
      <c r="E600">
        <v>94</v>
      </c>
      <c r="F600" t="s">
        <v>258</v>
      </c>
    </row>
    <row r="601" spans="1:6" x14ac:dyDescent="0.3">
      <c r="A601" s="629">
        <v>45637.962812500002</v>
      </c>
      <c r="B601">
        <v>542361075</v>
      </c>
      <c r="C601" t="s">
        <v>277</v>
      </c>
      <c r="D601" t="s">
        <v>257</v>
      </c>
      <c r="E601">
        <v>7</v>
      </c>
      <c r="F601" t="s">
        <v>258</v>
      </c>
    </row>
    <row r="602" spans="1:6" x14ac:dyDescent="0.3">
      <c r="A602" s="629">
        <v>45637.962326388886</v>
      </c>
      <c r="B602">
        <v>542361075</v>
      </c>
      <c r="C602" t="s">
        <v>277</v>
      </c>
      <c r="D602" t="s">
        <v>257</v>
      </c>
      <c r="E602">
        <v>14</v>
      </c>
      <c r="F602" t="s">
        <v>258</v>
      </c>
    </row>
    <row r="603" spans="1:6" x14ac:dyDescent="0.3">
      <c r="A603" s="629">
        <v>45637.961655092593</v>
      </c>
      <c r="B603">
        <v>542361075</v>
      </c>
      <c r="C603" t="s">
        <v>277</v>
      </c>
      <c r="D603" t="s">
        <v>257</v>
      </c>
      <c r="E603">
        <v>159</v>
      </c>
      <c r="F603" t="s">
        <v>258</v>
      </c>
    </row>
    <row r="604" spans="1:6" x14ac:dyDescent="0.3">
      <c r="A604" s="629">
        <v>45637.709791666668</v>
      </c>
      <c r="B604">
        <v>542361075</v>
      </c>
      <c r="C604" t="s">
        <v>277</v>
      </c>
      <c r="D604" t="s">
        <v>257</v>
      </c>
      <c r="E604">
        <v>216</v>
      </c>
      <c r="F604" t="s">
        <v>258</v>
      </c>
    </row>
    <row r="605" spans="1:6" x14ac:dyDescent="0.3">
      <c r="A605" s="629">
        <v>45637.709756944445</v>
      </c>
      <c r="B605">
        <v>542361075</v>
      </c>
      <c r="C605" t="s">
        <v>277</v>
      </c>
      <c r="D605" t="s">
        <v>257</v>
      </c>
      <c r="E605">
        <v>222</v>
      </c>
      <c r="F605" t="s">
        <v>258</v>
      </c>
    </row>
    <row r="606" spans="1:6" x14ac:dyDescent="0.3">
      <c r="A606" s="629">
        <v>45637.709710648145</v>
      </c>
      <c r="B606">
        <v>542361075</v>
      </c>
      <c r="C606" t="s">
        <v>277</v>
      </c>
      <c r="D606" t="s">
        <v>257</v>
      </c>
      <c r="E606">
        <v>26</v>
      </c>
      <c r="F606" t="s">
        <v>258</v>
      </c>
    </row>
    <row r="607" spans="1:6" x14ac:dyDescent="0.3">
      <c r="A607" s="629">
        <v>45637.709652777776</v>
      </c>
      <c r="B607">
        <v>542361075</v>
      </c>
      <c r="C607" t="s">
        <v>277</v>
      </c>
      <c r="D607" t="s">
        <v>257</v>
      </c>
      <c r="E607">
        <v>89</v>
      </c>
      <c r="F607" t="s">
        <v>258</v>
      </c>
    </row>
    <row r="608" spans="1:6" x14ac:dyDescent="0.3">
      <c r="A608" s="629">
        <v>45637.709583333337</v>
      </c>
      <c r="B608">
        <v>542361075</v>
      </c>
      <c r="C608" t="s">
        <v>277</v>
      </c>
      <c r="D608" t="s">
        <v>257</v>
      </c>
      <c r="E608">
        <v>6</v>
      </c>
      <c r="F608" t="s">
        <v>258</v>
      </c>
    </row>
    <row r="609" spans="1:6" x14ac:dyDescent="0.3">
      <c r="A609" s="629">
        <v>45637.709548611114</v>
      </c>
      <c r="B609">
        <v>542361075</v>
      </c>
      <c r="C609" t="s">
        <v>277</v>
      </c>
      <c r="D609" t="s">
        <v>257</v>
      </c>
      <c r="E609">
        <v>220</v>
      </c>
      <c r="F609" t="s">
        <v>258</v>
      </c>
    </row>
    <row r="610" spans="1:6" x14ac:dyDescent="0.3">
      <c r="A610" s="629">
        <v>45637.709513888891</v>
      </c>
      <c r="B610">
        <v>542361075</v>
      </c>
      <c r="C610" t="s">
        <v>277</v>
      </c>
      <c r="D610" t="s">
        <v>257</v>
      </c>
      <c r="E610">
        <v>2</v>
      </c>
      <c r="F610" t="s">
        <v>258</v>
      </c>
    </row>
    <row r="611" spans="1:6" x14ac:dyDescent="0.3">
      <c r="A611" s="629">
        <v>45637.709467592591</v>
      </c>
      <c r="B611">
        <v>542361075</v>
      </c>
      <c r="C611" t="s">
        <v>277</v>
      </c>
      <c r="D611" t="s">
        <v>257</v>
      </c>
      <c r="E611">
        <v>19</v>
      </c>
      <c r="F611" t="s">
        <v>258</v>
      </c>
    </row>
    <row r="612" spans="1:6" x14ac:dyDescent="0.3">
      <c r="A612" s="629">
        <v>45637.709444444445</v>
      </c>
      <c r="B612">
        <v>542361075</v>
      </c>
      <c r="C612" t="s">
        <v>277</v>
      </c>
      <c r="D612" t="s">
        <v>257</v>
      </c>
      <c r="E612">
        <v>246</v>
      </c>
      <c r="F612" t="s">
        <v>258</v>
      </c>
    </row>
    <row r="613" spans="1:6" x14ac:dyDescent="0.3">
      <c r="A613" s="629">
        <v>45637.709409722222</v>
      </c>
      <c r="B613">
        <v>542361075</v>
      </c>
      <c r="C613" t="s">
        <v>277</v>
      </c>
      <c r="D613" t="s">
        <v>257</v>
      </c>
      <c r="E613">
        <v>205</v>
      </c>
      <c r="F613" t="s">
        <v>258</v>
      </c>
    </row>
    <row r="614" spans="1:6" x14ac:dyDescent="0.3">
      <c r="A614" s="629">
        <v>45637.709374999999</v>
      </c>
      <c r="B614">
        <v>542361075</v>
      </c>
      <c r="C614" t="s">
        <v>277</v>
      </c>
      <c r="D614" t="s">
        <v>257</v>
      </c>
      <c r="E614">
        <v>58</v>
      </c>
      <c r="F614" t="s">
        <v>258</v>
      </c>
    </row>
    <row r="615" spans="1:6" x14ac:dyDescent="0.3">
      <c r="A615" s="629">
        <v>45637.709328703706</v>
      </c>
      <c r="B615">
        <v>542361075</v>
      </c>
      <c r="C615" t="s">
        <v>277</v>
      </c>
      <c r="D615" t="s">
        <v>257</v>
      </c>
      <c r="E615">
        <v>64</v>
      </c>
      <c r="F615" t="s">
        <v>258</v>
      </c>
    </row>
    <row r="616" spans="1:6" x14ac:dyDescent="0.3">
      <c r="A616" s="629">
        <v>45637.709293981483</v>
      </c>
      <c r="B616">
        <v>542361075</v>
      </c>
      <c r="C616" t="s">
        <v>277</v>
      </c>
      <c r="D616" t="s">
        <v>257</v>
      </c>
      <c r="E616">
        <v>30</v>
      </c>
      <c r="F616" t="s">
        <v>258</v>
      </c>
    </row>
    <row r="617" spans="1:6" x14ac:dyDescent="0.3">
      <c r="A617" s="629">
        <v>45637.709270833337</v>
      </c>
      <c r="B617">
        <v>542361075</v>
      </c>
      <c r="C617" t="s">
        <v>277</v>
      </c>
      <c r="D617" t="s">
        <v>257</v>
      </c>
      <c r="E617">
        <v>237</v>
      </c>
      <c r="F617" t="s">
        <v>258</v>
      </c>
    </row>
    <row r="618" spans="1:6" x14ac:dyDescent="0.3">
      <c r="A618" s="629">
        <v>45637.709236111114</v>
      </c>
      <c r="B618">
        <v>542361075</v>
      </c>
      <c r="C618" t="s">
        <v>277</v>
      </c>
      <c r="D618" t="s">
        <v>257</v>
      </c>
      <c r="E618">
        <v>95</v>
      </c>
      <c r="F618" t="s">
        <v>258</v>
      </c>
    </row>
    <row r="619" spans="1:6" x14ac:dyDescent="0.3">
      <c r="A619" s="629">
        <v>45637.709201388891</v>
      </c>
      <c r="B619">
        <v>542361075</v>
      </c>
      <c r="C619" t="s">
        <v>277</v>
      </c>
      <c r="D619" t="s">
        <v>257</v>
      </c>
      <c r="E619">
        <v>28</v>
      </c>
      <c r="F619" t="s">
        <v>258</v>
      </c>
    </row>
    <row r="620" spans="1:6" x14ac:dyDescent="0.3">
      <c r="A620" s="629">
        <v>45637.709166666667</v>
      </c>
      <c r="B620">
        <v>542361075</v>
      </c>
      <c r="C620" t="s">
        <v>277</v>
      </c>
      <c r="D620" t="s">
        <v>257</v>
      </c>
      <c r="E620">
        <v>212</v>
      </c>
      <c r="F620" t="s">
        <v>258</v>
      </c>
    </row>
    <row r="621" spans="1:6" x14ac:dyDescent="0.3">
      <c r="A621" s="629">
        <v>45637.709120370368</v>
      </c>
      <c r="B621">
        <v>542361075</v>
      </c>
      <c r="C621" t="s">
        <v>277</v>
      </c>
      <c r="D621" t="s">
        <v>257</v>
      </c>
      <c r="E621">
        <v>59</v>
      </c>
      <c r="F621" t="s">
        <v>258</v>
      </c>
    </row>
    <row r="622" spans="1:6" x14ac:dyDescent="0.3">
      <c r="A622" s="629">
        <v>45637.709097222221</v>
      </c>
      <c r="B622">
        <v>542361075</v>
      </c>
      <c r="C622" t="s">
        <v>277</v>
      </c>
      <c r="D622" t="s">
        <v>257</v>
      </c>
      <c r="E622">
        <v>9</v>
      </c>
      <c r="F622" t="s">
        <v>258</v>
      </c>
    </row>
    <row r="623" spans="1:6" x14ac:dyDescent="0.3">
      <c r="A623" s="629">
        <v>45637.709050925929</v>
      </c>
      <c r="B623">
        <v>542361075</v>
      </c>
      <c r="C623" t="s">
        <v>277</v>
      </c>
      <c r="D623" t="s">
        <v>257</v>
      </c>
      <c r="E623">
        <v>116</v>
      </c>
      <c r="F623" t="s">
        <v>258</v>
      </c>
    </row>
    <row r="624" spans="1:6" x14ac:dyDescent="0.3">
      <c r="A624" s="629">
        <v>45637.709016203706</v>
      </c>
      <c r="B624">
        <v>542361075</v>
      </c>
      <c r="C624" t="s">
        <v>277</v>
      </c>
      <c r="D624" t="s">
        <v>257</v>
      </c>
      <c r="E624">
        <v>146</v>
      </c>
      <c r="F624" t="s">
        <v>258</v>
      </c>
    </row>
    <row r="625" spans="1:6" x14ac:dyDescent="0.3">
      <c r="A625" s="629">
        <v>45637.708981481483</v>
      </c>
      <c r="B625">
        <v>542361075</v>
      </c>
      <c r="C625" t="s">
        <v>277</v>
      </c>
      <c r="D625" t="s">
        <v>257</v>
      </c>
      <c r="E625">
        <v>234</v>
      </c>
      <c r="F625" t="s">
        <v>258</v>
      </c>
    </row>
    <row r="626" spans="1:6" x14ac:dyDescent="0.3">
      <c r="A626" s="629">
        <v>45637.70894675926</v>
      </c>
      <c r="B626">
        <v>542361075</v>
      </c>
      <c r="C626" t="s">
        <v>277</v>
      </c>
      <c r="D626" t="s">
        <v>257</v>
      </c>
      <c r="E626">
        <v>169</v>
      </c>
      <c r="F626" t="s">
        <v>258</v>
      </c>
    </row>
    <row r="627" spans="1:6" x14ac:dyDescent="0.3">
      <c r="A627" s="629">
        <v>45637.708912037036</v>
      </c>
      <c r="B627">
        <v>542361075</v>
      </c>
      <c r="C627" t="s">
        <v>277</v>
      </c>
      <c r="D627" t="s">
        <v>257</v>
      </c>
      <c r="E627">
        <v>195</v>
      </c>
      <c r="F627" t="s">
        <v>258</v>
      </c>
    </row>
    <row r="628" spans="1:6" x14ac:dyDescent="0.3">
      <c r="A628" s="629">
        <v>45637.70888888889</v>
      </c>
      <c r="B628">
        <v>542361075</v>
      </c>
      <c r="C628" t="s">
        <v>277</v>
      </c>
      <c r="D628" t="s">
        <v>257</v>
      </c>
      <c r="E628">
        <v>166</v>
      </c>
      <c r="F628" t="s">
        <v>258</v>
      </c>
    </row>
    <row r="629" spans="1:6" x14ac:dyDescent="0.3">
      <c r="A629" s="629">
        <v>45637.708854166667</v>
      </c>
      <c r="B629">
        <v>542361075</v>
      </c>
      <c r="C629" t="s">
        <v>277</v>
      </c>
      <c r="D629" t="s">
        <v>257</v>
      </c>
      <c r="E629">
        <v>141</v>
      </c>
      <c r="F629" t="s">
        <v>258</v>
      </c>
    </row>
    <row r="630" spans="1:6" x14ac:dyDescent="0.3">
      <c r="A630" s="629">
        <v>45637.708645833336</v>
      </c>
      <c r="B630">
        <v>542361075</v>
      </c>
      <c r="C630" t="s">
        <v>277</v>
      </c>
      <c r="F630" t="s">
        <v>449</v>
      </c>
    </row>
    <row r="631" spans="1:6" x14ac:dyDescent="0.3">
      <c r="A631" s="629">
        <v>45637.70853009259</v>
      </c>
      <c r="B631">
        <v>542361075</v>
      </c>
      <c r="C631" t="s">
        <v>277</v>
      </c>
      <c r="F631" t="s">
        <v>311</v>
      </c>
    </row>
    <row r="632" spans="1:6" x14ac:dyDescent="0.3">
      <c r="A632" s="629">
        <v>45637.708506944444</v>
      </c>
      <c r="B632">
        <v>542361075</v>
      </c>
      <c r="C632" t="s">
        <v>277</v>
      </c>
      <c r="F632" t="s">
        <v>450</v>
      </c>
    </row>
    <row r="633" spans="1:6" x14ac:dyDescent="0.3">
      <c r="A633" s="629">
        <v>45637.708506944444</v>
      </c>
      <c r="B633">
        <v>542361075</v>
      </c>
      <c r="C633" t="s">
        <v>277</v>
      </c>
      <c r="F633" t="s">
        <v>451</v>
      </c>
    </row>
    <row r="634" spans="1:6" x14ac:dyDescent="0.3">
      <c r="A634" s="629">
        <v>45637.707974537036</v>
      </c>
      <c r="B634">
        <v>542361075</v>
      </c>
      <c r="C634" t="s">
        <v>277</v>
      </c>
      <c r="D634" t="s">
        <v>257</v>
      </c>
      <c r="E634">
        <v>12</v>
      </c>
      <c r="F634" t="s">
        <v>258</v>
      </c>
    </row>
    <row r="635" spans="1:6" x14ac:dyDescent="0.3">
      <c r="A635" s="629">
        <v>45637.70789351852</v>
      </c>
      <c r="B635">
        <v>542361075</v>
      </c>
      <c r="C635" t="s">
        <v>277</v>
      </c>
      <c r="D635" t="s">
        <v>257</v>
      </c>
      <c r="E635">
        <v>236</v>
      </c>
      <c r="F635" t="s">
        <v>258</v>
      </c>
    </row>
    <row r="636" spans="1:6" x14ac:dyDescent="0.3">
      <c r="A636" s="629">
        <v>45637.707789351851</v>
      </c>
      <c r="B636">
        <v>542361075</v>
      </c>
      <c r="C636" t="s">
        <v>277</v>
      </c>
      <c r="D636" t="s">
        <v>257</v>
      </c>
      <c r="E636">
        <v>39</v>
      </c>
      <c r="F636" t="s">
        <v>258</v>
      </c>
    </row>
    <row r="637" spans="1:6" x14ac:dyDescent="0.3">
      <c r="A637" s="629">
        <v>45637.706446759257</v>
      </c>
      <c r="B637">
        <v>542361075</v>
      </c>
      <c r="C637" t="s">
        <v>277</v>
      </c>
      <c r="D637" t="s">
        <v>257</v>
      </c>
      <c r="E637">
        <v>34</v>
      </c>
      <c r="F637" t="s">
        <v>258</v>
      </c>
    </row>
    <row r="638" spans="1:6" x14ac:dyDescent="0.3">
      <c r="A638" s="629">
        <v>45637.706041666665</v>
      </c>
      <c r="B638">
        <v>542361075</v>
      </c>
      <c r="C638" t="s">
        <v>277</v>
      </c>
      <c r="D638" t="s">
        <v>257</v>
      </c>
      <c r="E638">
        <v>32</v>
      </c>
      <c r="F638" t="s">
        <v>258</v>
      </c>
    </row>
    <row r="639" spans="1:6" x14ac:dyDescent="0.3">
      <c r="A639" s="629">
        <v>45637.705590277779</v>
      </c>
      <c r="B639">
        <v>542361075</v>
      </c>
      <c r="C639" t="s">
        <v>277</v>
      </c>
      <c r="D639" t="s">
        <v>257</v>
      </c>
      <c r="E639">
        <v>97</v>
      </c>
      <c r="F639" t="s">
        <v>258</v>
      </c>
    </row>
    <row r="640" spans="1:6" x14ac:dyDescent="0.3">
      <c r="A640" s="629">
        <v>45637.703055555554</v>
      </c>
      <c r="B640">
        <v>542361075</v>
      </c>
      <c r="C640" t="s">
        <v>277</v>
      </c>
      <c r="D640" t="s">
        <v>257</v>
      </c>
      <c r="E640">
        <v>41</v>
      </c>
      <c r="F640" t="s">
        <v>258</v>
      </c>
    </row>
    <row r="641" spans="1:6" x14ac:dyDescent="0.3">
      <c r="A641" s="629">
        <v>45637.700381944444</v>
      </c>
      <c r="B641">
        <v>542361075</v>
      </c>
      <c r="C641" t="s">
        <v>277</v>
      </c>
      <c r="F641" t="s">
        <v>454</v>
      </c>
    </row>
    <row r="642" spans="1:6" x14ac:dyDescent="0.3">
      <c r="A642" s="629">
        <v>45637.693090277775</v>
      </c>
      <c r="B642">
        <v>542361075</v>
      </c>
      <c r="C642" t="s">
        <v>277</v>
      </c>
      <c r="D642" t="s">
        <v>257</v>
      </c>
      <c r="E642">
        <v>239</v>
      </c>
      <c r="F642" t="s">
        <v>258</v>
      </c>
    </row>
    <row r="643" spans="1:6" x14ac:dyDescent="0.3">
      <c r="A643" s="629">
        <v>45637.68109953704</v>
      </c>
      <c r="B643">
        <v>542361075</v>
      </c>
      <c r="C643" t="s">
        <v>277</v>
      </c>
      <c r="D643" t="s">
        <v>257</v>
      </c>
      <c r="E643">
        <v>172</v>
      </c>
      <c r="F643" t="s">
        <v>258</v>
      </c>
    </row>
    <row r="644" spans="1:6" x14ac:dyDescent="0.3">
      <c r="A644" s="629">
        <v>45637.667534722219</v>
      </c>
      <c r="B644">
        <v>542361075</v>
      </c>
      <c r="C644" t="s">
        <v>277</v>
      </c>
      <c r="D644" t="s">
        <v>257</v>
      </c>
      <c r="E644">
        <v>245</v>
      </c>
      <c r="F644" t="s">
        <v>258</v>
      </c>
    </row>
    <row r="645" spans="1:6" x14ac:dyDescent="0.3">
      <c r="A645" s="629">
        <v>45637.647245370368</v>
      </c>
      <c r="B645">
        <v>542361075</v>
      </c>
      <c r="C645" t="s">
        <v>277</v>
      </c>
      <c r="D645" t="s">
        <v>257</v>
      </c>
      <c r="E645">
        <v>69</v>
      </c>
      <c r="F645" t="s">
        <v>258</v>
      </c>
    </row>
    <row r="646" spans="1:6" x14ac:dyDescent="0.3">
      <c r="A646" s="629">
        <v>45637.645937499998</v>
      </c>
      <c r="B646">
        <v>542361075</v>
      </c>
      <c r="C646" t="s">
        <v>277</v>
      </c>
      <c r="D646" t="s">
        <v>257</v>
      </c>
      <c r="E646">
        <v>230</v>
      </c>
      <c r="F646" t="s">
        <v>258</v>
      </c>
    </row>
    <row r="647" spans="1:6" x14ac:dyDescent="0.3">
      <c r="A647" s="629">
        <v>45637.645833333336</v>
      </c>
      <c r="B647">
        <v>542361075</v>
      </c>
      <c r="C647" t="s">
        <v>277</v>
      </c>
      <c r="F647" t="s">
        <v>259</v>
      </c>
    </row>
    <row r="648" spans="1:6" x14ac:dyDescent="0.3">
      <c r="A648" s="629">
        <v>45637.64565972222</v>
      </c>
      <c r="B648">
        <v>542361075</v>
      </c>
      <c r="C648" t="s">
        <v>277</v>
      </c>
      <c r="F648" t="s">
        <v>259</v>
      </c>
    </row>
    <row r="649" spans="1:6" x14ac:dyDescent="0.3">
      <c r="A649" s="629">
        <v>45637.645590277774</v>
      </c>
      <c r="B649">
        <v>542361075</v>
      </c>
      <c r="C649" t="s">
        <v>277</v>
      </c>
      <c r="F649" t="s">
        <v>259</v>
      </c>
    </row>
    <row r="650" spans="1:6" x14ac:dyDescent="0.3">
      <c r="A650" s="629">
        <v>45637.645439814813</v>
      </c>
      <c r="B650">
        <v>542361075</v>
      </c>
      <c r="C650" t="s">
        <v>277</v>
      </c>
      <c r="D650" t="s">
        <v>257</v>
      </c>
      <c r="E650">
        <v>137</v>
      </c>
      <c r="F650" t="s">
        <v>258</v>
      </c>
    </row>
    <row r="651" spans="1:6" x14ac:dyDescent="0.3">
      <c r="A651" s="629">
        <v>45637.645335648151</v>
      </c>
      <c r="B651">
        <v>542361075</v>
      </c>
      <c r="C651" t="s">
        <v>277</v>
      </c>
      <c r="D651" t="s">
        <v>257</v>
      </c>
      <c r="E651">
        <v>241</v>
      </c>
      <c r="F651" t="s">
        <v>258</v>
      </c>
    </row>
    <row r="652" spans="1:6" x14ac:dyDescent="0.3">
      <c r="A652" s="629">
        <v>45637.645300925928</v>
      </c>
      <c r="B652">
        <v>542361075</v>
      </c>
      <c r="C652" t="s">
        <v>277</v>
      </c>
      <c r="D652" t="s">
        <v>257</v>
      </c>
      <c r="E652">
        <v>111</v>
      </c>
      <c r="F652" t="s">
        <v>258</v>
      </c>
    </row>
    <row r="653" spans="1:6" x14ac:dyDescent="0.3">
      <c r="A653" s="629">
        <v>45637.645266203705</v>
      </c>
      <c r="B653">
        <v>542361075</v>
      </c>
      <c r="C653" t="s">
        <v>277</v>
      </c>
      <c r="D653" t="s">
        <v>257</v>
      </c>
      <c r="E653">
        <v>73</v>
      </c>
      <c r="F653" t="s">
        <v>258</v>
      </c>
    </row>
    <row r="654" spans="1:6" x14ac:dyDescent="0.3">
      <c r="A654" s="629">
        <v>45637.642175925925</v>
      </c>
      <c r="B654">
        <v>542361075</v>
      </c>
      <c r="C654" t="s">
        <v>277</v>
      </c>
      <c r="D654" t="s">
        <v>257</v>
      </c>
      <c r="E654">
        <v>132</v>
      </c>
      <c r="F654" t="s">
        <v>258</v>
      </c>
    </row>
    <row r="655" spans="1:6" x14ac:dyDescent="0.3">
      <c r="A655" s="629">
        <v>45637.642129629632</v>
      </c>
      <c r="B655">
        <v>542361075</v>
      </c>
      <c r="C655" t="s">
        <v>277</v>
      </c>
      <c r="D655" t="s">
        <v>257</v>
      </c>
      <c r="E655">
        <v>207</v>
      </c>
      <c r="F655" t="s">
        <v>258</v>
      </c>
    </row>
    <row r="656" spans="1:6" x14ac:dyDescent="0.3">
      <c r="A656" s="629">
        <v>45637.642083333332</v>
      </c>
      <c r="B656">
        <v>542361075</v>
      </c>
      <c r="C656" t="s">
        <v>277</v>
      </c>
      <c r="D656" t="s">
        <v>257</v>
      </c>
      <c r="E656">
        <v>232</v>
      </c>
      <c r="F656" t="s">
        <v>258</v>
      </c>
    </row>
    <row r="657" spans="1:6" x14ac:dyDescent="0.3">
      <c r="A657" s="629">
        <v>45637.640717592592</v>
      </c>
      <c r="B657">
        <v>542361075</v>
      </c>
      <c r="C657" t="s">
        <v>277</v>
      </c>
      <c r="D657" t="s">
        <v>257</v>
      </c>
      <c r="E657">
        <v>250</v>
      </c>
      <c r="F657" t="s">
        <v>258</v>
      </c>
    </row>
    <row r="658" spans="1:6" x14ac:dyDescent="0.3">
      <c r="A658" s="629">
        <v>45637.640659722223</v>
      </c>
      <c r="B658">
        <v>542361075</v>
      </c>
      <c r="C658" t="s">
        <v>277</v>
      </c>
      <c r="D658" t="s">
        <v>257</v>
      </c>
      <c r="E658">
        <v>235</v>
      </c>
      <c r="F658" t="s">
        <v>258</v>
      </c>
    </row>
    <row r="659" spans="1:6" x14ac:dyDescent="0.3">
      <c r="A659" s="629">
        <v>45637.640486111108</v>
      </c>
      <c r="B659">
        <v>542361075</v>
      </c>
      <c r="C659" t="s">
        <v>277</v>
      </c>
      <c r="D659" t="s">
        <v>257</v>
      </c>
      <c r="E659">
        <v>226</v>
      </c>
      <c r="F659" t="s">
        <v>258</v>
      </c>
    </row>
    <row r="660" spans="1:6" x14ac:dyDescent="0.3">
      <c r="A660" s="629">
        <v>45637.640289351853</v>
      </c>
      <c r="B660">
        <v>542361075</v>
      </c>
      <c r="C660" t="s">
        <v>277</v>
      </c>
      <c r="D660" t="s">
        <v>257</v>
      </c>
      <c r="E660">
        <v>107</v>
      </c>
      <c r="F660" t="s">
        <v>258</v>
      </c>
    </row>
    <row r="661" spans="1:6" x14ac:dyDescent="0.3">
      <c r="A661" s="629">
        <v>45637.570393518516</v>
      </c>
      <c r="B661">
        <v>542361075</v>
      </c>
      <c r="C661" t="s">
        <v>277</v>
      </c>
      <c r="D661" t="s">
        <v>257</v>
      </c>
      <c r="E661">
        <v>9</v>
      </c>
      <c r="F661" t="s">
        <v>258</v>
      </c>
    </row>
    <row r="662" spans="1:6" x14ac:dyDescent="0.3">
      <c r="A662" s="629">
        <v>45637.569062499999</v>
      </c>
      <c r="B662">
        <v>542361075</v>
      </c>
      <c r="C662" t="s">
        <v>277</v>
      </c>
      <c r="D662" t="s">
        <v>257</v>
      </c>
      <c r="E662">
        <v>28</v>
      </c>
      <c r="F662" t="s">
        <v>258</v>
      </c>
    </row>
    <row r="663" spans="1:6" x14ac:dyDescent="0.3">
      <c r="A663" s="629">
        <v>45637.548541666663</v>
      </c>
      <c r="B663">
        <v>542361075</v>
      </c>
      <c r="C663" t="s">
        <v>277</v>
      </c>
      <c r="D663" t="s">
        <v>257</v>
      </c>
      <c r="E663">
        <v>12</v>
      </c>
      <c r="F663" t="s">
        <v>258</v>
      </c>
    </row>
    <row r="664" spans="1:6" x14ac:dyDescent="0.3">
      <c r="A664" s="629">
        <v>45637.545671296299</v>
      </c>
      <c r="B664">
        <v>542361075</v>
      </c>
      <c r="C664" t="s">
        <v>277</v>
      </c>
      <c r="D664" t="s">
        <v>257</v>
      </c>
      <c r="E664">
        <v>28</v>
      </c>
      <c r="F664" t="s">
        <v>258</v>
      </c>
    </row>
    <row r="665" spans="1:6" x14ac:dyDescent="0.3">
      <c r="A665" s="629">
        <v>45637.545555555553</v>
      </c>
      <c r="B665">
        <v>542361075</v>
      </c>
      <c r="C665" t="s">
        <v>277</v>
      </c>
      <c r="D665" t="s">
        <v>257</v>
      </c>
      <c r="E665">
        <v>9</v>
      </c>
      <c r="F665" t="s">
        <v>258</v>
      </c>
    </row>
    <row r="666" spans="1:6" x14ac:dyDescent="0.3">
      <c r="A666" s="629">
        <v>45637.543912037036</v>
      </c>
      <c r="B666">
        <v>542361075</v>
      </c>
      <c r="C666" t="s">
        <v>277</v>
      </c>
      <c r="D666" t="s">
        <v>257</v>
      </c>
      <c r="E666">
        <v>32</v>
      </c>
      <c r="F666" t="s">
        <v>258</v>
      </c>
    </row>
    <row r="667" spans="1:6" x14ac:dyDescent="0.3">
      <c r="A667" s="629">
        <v>45637.542534722219</v>
      </c>
      <c r="B667">
        <v>542361075</v>
      </c>
      <c r="C667" t="s">
        <v>277</v>
      </c>
      <c r="D667" t="s">
        <v>257</v>
      </c>
      <c r="E667">
        <v>216</v>
      </c>
      <c r="F667" t="s">
        <v>258</v>
      </c>
    </row>
    <row r="668" spans="1:6" x14ac:dyDescent="0.3">
      <c r="A668" s="629">
        <v>45637.542187500003</v>
      </c>
      <c r="B668">
        <v>542361075</v>
      </c>
      <c r="C668" t="s">
        <v>277</v>
      </c>
      <c r="D668" t="s">
        <v>257</v>
      </c>
      <c r="E668">
        <v>32</v>
      </c>
      <c r="F668" t="s">
        <v>258</v>
      </c>
    </row>
    <row r="669" spans="1:6" x14ac:dyDescent="0.3">
      <c r="A669" s="629">
        <v>45637.54184027778</v>
      </c>
      <c r="B669">
        <v>542361075</v>
      </c>
      <c r="C669" t="s">
        <v>277</v>
      </c>
      <c r="D669" t="s">
        <v>257</v>
      </c>
      <c r="E669">
        <v>245</v>
      </c>
      <c r="F669" t="s">
        <v>258</v>
      </c>
    </row>
    <row r="670" spans="1:6" x14ac:dyDescent="0.3">
      <c r="A670" s="629">
        <v>45637.53601851852</v>
      </c>
      <c r="B670">
        <v>542361075</v>
      </c>
      <c r="C670" t="s">
        <v>277</v>
      </c>
      <c r="D670" t="s">
        <v>257</v>
      </c>
      <c r="E670">
        <v>59</v>
      </c>
      <c r="F670" t="s">
        <v>258</v>
      </c>
    </row>
    <row r="671" spans="1:6" x14ac:dyDescent="0.3">
      <c r="A671" s="629">
        <v>45637.522800925923</v>
      </c>
      <c r="B671">
        <v>542361075</v>
      </c>
      <c r="C671" t="s">
        <v>277</v>
      </c>
      <c r="D671" t="s">
        <v>257</v>
      </c>
      <c r="E671">
        <v>12</v>
      </c>
      <c r="F671" t="s">
        <v>258</v>
      </c>
    </row>
    <row r="672" spans="1:6" x14ac:dyDescent="0.3">
      <c r="A672" s="629">
        <v>45637.518530092595</v>
      </c>
      <c r="B672">
        <v>542361075</v>
      </c>
      <c r="C672" t="s">
        <v>277</v>
      </c>
      <c r="D672" t="s">
        <v>257</v>
      </c>
      <c r="E672">
        <v>32</v>
      </c>
      <c r="F672" t="s">
        <v>258</v>
      </c>
    </row>
    <row r="673" spans="1:6" x14ac:dyDescent="0.3">
      <c r="A673" s="629">
        <v>45637.518263888887</v>
      </c>
      <c r="B673">
        <v>542361075</v>
      </c>
      <c r="C673" t="s">
        <v>277</v>
      </c>
      <c r="D673" t="s">
        <v>257</v>
      </c>
      <c r="E673">
        <v>241</v>
      </c>
      <c r="F673" t="s">
        <v>258</v>
      </c>
    </row>
    <row r="674" spans="1:6" x14ac:dyDescent="0.3">
      <c r="A674" s="629">
        <v>45637.516284722224</v>
      </c>
      <c r="B674">
        <v>542361075</v>
      </c>
      <c r="C674" t="s">
        <v>277</v>
      </c>
      <c r="D674" t="s">
        <v>257</v>
      </c>
      <c r="E674">
        <v>245</v>
      </c>
      <c r="F674" t="s">
        <v>258</v>
      </c>
    </row>
    <row r="675" spans="1:6" x14ac:dyDescent="0.3">
      <c r="A675" s="629">
        <v>45637.516157407408</v>
      </c>
      <c r="B675">
        <v>542361075</v>
      </c>
      <c r="C675" t="s">
        <v>277</v>
      </c>
      <c r="D675" t="s">
        <v>257</v>
      </c>
      <c r="E675">
        <v>246</v>
      </c>
      <c r="F675" t="s">
        <v>258</v>
      </c>
    </row>
    <row r="676" spans="1:6" x14ac:dyDescent="0.3">
      <c r="A676" s="629">
        <v>45637.516111111108</v>
      </c>
      <c r="B676">
        <v>542361075</v>
      </c>
      <c r="C676" t="s">
        <v>277</v>
      </c>
      <c r="D676" t="s">
        <v>257</v>
      </c>
      <c r="E676">
        <v>216</v>
      </c>
      <c r="F676" t="s">
        <v>258</v>
      </c>
    </row>
    <row r="677" spans="1:6" x14ac:dyDescent="0.3">
      <c r="A677" s="629">
        <v>45637.515625</v>
      </c>
      <c r="B677">
        <v>542361075</v>
      </c>
      <c r="C677" t="s">
        <v>277</v>
      </c>
      <c r="D677" t="s">
        <v>257</v>
      </c>
      <c r="E677">
        <v>59</v>
      </c>
      <c r="F677" t="s">
        <v>258</v>
      </c>
    </row>
    <row r="678" spans="1:6" x14ac:dyDescent="0.3">
      <c r="A678" s="629">
        <v>45637.504594907405</v>
      </c>
      <c r="B678">
        <v>542361075</v>
      </c>
      <c r="C678" t="s">
        <v>277</v>
      </c>
      <c r="D678" t="s">
        <v>257</v>
      </c>
      <c r="E678">
        <v>241</v>
      </c>
      <c r="F678" t="s">
        <v>258</v>
      </c>
    </row>
    <row r="679" spans="1:6" x14ac:dyDescent="0.3">
      <c r="A679" s="629">
        <v>45637.499571759261</v>
      </c>
      <c r="B679">
        <v>542361075</v>
      </c>
      <c r="C679" t="s">
        <v>277</v>
      </c>
      <c r="D679" t="s">
        <v>257</v>
      </c>
      <c r="E679">
        <v>237</v>
      </c>
      <c r="F679" t="s">
        <v>258</v>
      </c>
    </row>
    <row r="680" spans="1:6" x14ac:dyDescent="0.3">
      <c r="A680" s="629">
        <v>45637.498645833337</v>
      </c>
      <c r="B680">
        <v>542361075</v>
      </c>
      <c r="C680" t="s">
        <v>277</v>
      </c>
      <c r="D680" t="s">
        <v>257</v>
      </c>
      <c r="E680">
        <v>26</v>
      </c>
      <c r="F680" t="s">
        <v>258</v>
      </c>
    </row>
    <row r="681" spans="1:6" x14ac:dyDescent="0.3">
      <c r="A681" s="629">
        <v>45637.498611111114</v>
      </c>
      <c r="B681">
        <v>542361075</v>
      </c>
      <c r="C681" t="s">
        <v>277</v>
      </c>
      <c r="D681" t="s">
        <v>257</v>
      </c>
      <c r="E681">
        <v>6</v>
      </c>
      <c r="F681" t="s">
        <v>258</v>
      </c>
    </row>
    <row r="682" spans="1:6" x14ac:dyDescent="0.3">
      <c r="A682" s="629">
        <v>45637.489710648151</v>
      </c>
      <c r="B682">
        <v>542361075</v>
      </c>
      <c r="C682" t="s">
        <v>277</v>
      </c>
      <c r="D682" t="s">
        <v>257</v>
      </c>
      <c r="E682">
        <v>141</v>
      </c>
      <c r="F682" t="s">
        <v>258</v>
      </c>
    </row>
    <row r="683" spans="1:6" x14ac:dyDescent="0.3">
      <c r="A683" s="629">
        <v>45637.489664351851</v>
      </c>
      <c r="B683">
        <v>542361075</v>
      </c>
      <c r="C683" t="s">
        <v>277</v>
      </c>
      <c r="D683" t="s">
        <v>257</v>
      </c>
      <c r="E683">
        <v>39</v>
      </c>
      <c r="F683" t="s">
        <v>258</v>
      </c>
    </row>
    <row r="684" spans="1:6" x14ac:dyDescent="0.3">
      <c r="A684" s="629">
        <v>45637.489629629628</v>
      </c>
      <c r="B684">
        <v>542361075</v>
      </c>
      <c r="C684" t="s">
        <v>277</v>
      </c>
      <c r="D684" t="s">
        <v>257</v>
      </c>
      <c r="E684">
        <v>166</v>
      </c>
      <c r="F684" t="s">
        <v>258</v>
      </c>
    </row>
    <row r="685" spans="1:6" x14ac:dyDescent="0.3">
      <c r="A685" s="629">
        <v>45637.479699074072</v>
      </c>
      <c r="B685">
        <v>542361075</v>
      </c>
      <c r="C685" t="s">
        <v>277</v>
      </c>
      <c r="D685" t="s">
        <v>257</v>
      </c>
      <c r="E685">
        <v>237</v>
      </c>
      <c r="F685" t="s">
        <v>258</v>
      </c>
    </row>
    <row r="686" spans="1:6" x14ac:dyDescent="0.3">
      <c r="A686" s="629">
        <v>45637.479548611111</v>
      </c>
      <c r="B686">
        <v>542361075</v>
      </c>
      <c r="C686" t="s">
        <v>277</v>
      </c>
      <c r="D686" t="s">
        <v>257</v>
      </c>
      <c r="E686">
        <v>220</v>
      </c>
      <c r="F686" t="s">
        <v>258</v>
      </c>
    </row>
    <row r="687" spans="1:6" x14ac:dyDescent="0.3">
      <c r="A687" s="629">
        <v>45637.47892361111</v>
      </c>
      <c r="B687">
        <v>542361075</v>
      </c>
      <c r="C687" t="s">
        <v>277</v>
      </c>
      <c r="D687" t="s">
        <v>257</v>
      </c>
      <c r="E687">
        <v>146</v>
      </c>
      <c r="F687" t="s">
        <v>258</v>
      </c>
    </row>
    <row r="688" spans="1:6" x14ac:dyDescent="0.3">
      <c r="A688" s="629">
        <v>45637.474745370368</v>
      </c>
      <c r="B688">
        <v>542361075</v>
      </c>
      <c r="C688" t="s">
        <v>277</v>
      </c>
      <c r="D688" t="s">
        <v>257</v>
      </c>
      <c r="E688">
        <v>26</v>
      </c>
      <c r="F688" t="s">
        <v>258</v>
      </c>
    </row>
    <row r="689" spans="1:6" x14ac:dyDescent="0.3">
      <c r="A689" s="629">
        <v>45637.469143518516</v>
      </c>
      <c r="B689">
        <v>542361075</v>
      </c>
      <c r="C689" t="s">
        <v>277</v>
      </c>
      <c r="D689" t="s">
        <v>257</v>
      </c>
      <c r="E689">
        <v>1446</v>
      </c>
      <c r="F689" t="s">
        <v>258</v>
      </c>
    </row>
    <row r="690" spans="1:6" x14ac:dyDescent="0.3">
      <c r="A690" s="629">
        <v>45637.465451388889</v>
      </c>
      <c r="B690">
        <v>542361075</v>
      </c>
      <c r="C690" t="s">
        <v>277</v>
      </c>
      <c r="D690" t="s">
        <v>257</v>
      </c>
      <c r="E690">
        <v>2</v>
      </c>
      <c r="F690" t="s">
        <v>258</v>
      </c>
    </row>
    <row r="691" spans="1:6" x14ac:dyDescent="0.3">
      <c r="A691" s="629">
        <v>45637.46471064815</v>
      </c>
      <c r="B691">
        <v>542361075</v>
      </c>
      <c r="C691" t="s">
        <v>277</v>
      </c>
      <c r="D691" t="s">
        <v>257</v>
      </c>
      <c r="E691">
        <v>6</v>
      </c>
      <c r="F691" t="s">
        <v>258</v>
      </c>
    </row>
    <row r="692" spans="1:6" x14ac:dyDescent="0.3">
      <c r="A692" s="629">
        <v>45637.463379629633</v>
      </c>
      <c r="B692">
        <v>542361075</v>
      </c>
      <c r="C692" t="s">
        <v>277</v>
      </c>
      <c r="D692" t="s">
        <v>257</v>
      </c>
      <c r="E692">
        <v>205</v>
      </c>
      <c r="F692" t="s">
        <v>258</v>
      </c>
    </row>
    <row r="693" spans="1:6" x14ac:dyDescent="0.3">
      <c r="A693" s="629">
        <v>45637.462395833332</v>
      </c>
      <c r="B693">
        <v>542361075</v>
      </c>
      <c r="C693" t="s">
        <v>277</v>
      </c>
      <c r="D693" t="s">
        <v>257</v>
      </c>
      <c r="E693">
        <v>146</v>
      </c>
      <c r="F693" t="s">
        <v>258</v>
      </c>
    </row>
    <row r="694" spans="1:6" x14ac:dyDescent="0.3">
      <c r="A694" s="629">
        <v>45637.460196759261</v>
      </c>
      <c r="B694">
        <v>542361075</v>
      </c>
      <c r="C694" t="s">
        <v>277</v>
      </c>
      <c r="D694" t="s">
        <v>257</v>
      </c>
      <c r="E694">
        <v>212</v>
      </c>
      <c r="F694" t="s">
        <v>258</v>
      </c>
    </row>
    <row r="695" spans="1:6" x14ac:dyDescent="0.3">
      <c r="A695" s="629">
        <v>45637.459988425922</v>
      </c>
      <c r="B695">
        <v>542361075</v>
      </c>
      <c r="C695" t="s">
        <v>277</v>
      </c>
      <c r="D695" t="s">
        <v>257</v>
      </c>
      <c r="E695">
        <v>169</v>
      </c>
      <c r="F695" t="s">
        <v>258</v>
      </c>
    </row>
    <row r="696" spans="1:6" x14ac:dyDescent="0.3">
      <c r="A696" s="629">
        <v>45637.459131944444</v>
      </c>
      <c r="B696">
        <v>542361075</v>
      </c>
      <c r="C696" t="s">
        <v>277</v>
      </c>
      <c r="D696" t="s">
        <v>257</v>
      </c>
      <c r="E696">
        <v>236</v>
      </c>
      <c r="F696" t="s">
        <v>258</v>
      </c>
    </row>
    <row r="697" spans="1:6" x14ac:dyDescent="0.3">
      <c r="A697" s="629">
        <v>45637.457569444443</v>
      </c>
      <c r="B697">
        <v>542361075</v>
      </c>
      <c r="C697" t="s">
        <v>277</v>
      </c>
      <c r="D697" t="s">
        <v>257</v>
      </c>
      <c r="E697">
        <v>220</v>
      </c>
      <c r="F697" t="s">
        <v>258</v>
      </c>
    </row>
    <row r="698" spans="1:6" x14ac:dyDescent="0.3">
      <c r="A698" s="629">
        <v>45637.456643518519</v>
      </c>
      <c r="B698">
        <v>542361075</v>
      </c>
      <c r="C698" t="s">
        <v>277</v>
      </c>
      <c r="D698" t="s">
        <v>257</v>
      </c>
      <c r="E698">
        <v>141</v>
      </c>
      <c r="F698" t="s">
        <v>258</v>
      </c>
    </row>
    <row r="699" spans="1:6" x14ac:dyDescent="0.3">
      <c r="A699" s="629">
        <v>45637.456585648149</v>
      </c>
      <c r="B699">
        <v>542361075</v>
      </c>
      <c r="C699" t="s">
        <v>277</v>
      </c>
      <c r="D699" t="s">
        <v>257</v>
      </c>
      <c r="E699">
        <v>39</v>
      </c>
      <c r="F699" t="s">
        <v>258</v>
      </c>
    </row>
    <row r="700" spans="1:6" x14ac:dyDescent="0.3">
      <c r="A700" s="629">
        <v>45637.456493055557</v>
      </c>
      <c r="B700">
        <v>542361075</v>
      </c>
      <c r="C700" t="s">
        <v>277</v>
      </c>
      <c r="D700" t="s">
        <v>257</v>
      </c>
      <c r="E700">
        <v>166</v>
      </c>
      <c r="F700" t="s">
        <v>258</v>
      </c>
    </row>
    <row r="701" spans="1:6" x14ac:dyDescent="0.3">
      <c r="A701" s="629">
        <v>45637.440509259257</v>
      </c>
      <c r="B701">
        <v>542361075</v>
      </c>
      <c r="C701" t="s">
        <v>277</v>
      </c>
      <c r="D701" t="s">
        <v>257</v>
      </c>
      <c r="E701">
        <v>169</v>
      </c>
      <c r="F701" t="s">
        <v>258</v>
      </c>
    </row>
    <row r="702" spans="1:6" x14ac:dyDescent="0.3">
      <c r="A702" s="629">
        <v>45637.440451388888</v>
      </c>
      <c r="B702">
        <v>542361075</v>
      </c>
      <c r="C702" t="s">
        <v>277</v>
      </c>
      <c r="D702" t="s">
        <v>257</v>
      </c>
      <c r="E702">
        <v>212</v>
      </c>
      <c r="F702" t="s">
        <v>258</v>
      </c>
    </row>
    <row r="703" spans="1:6" x14ac:dyDescent="0.3">
      <c r="A703" s="629">
        <v>45637.439687500002</v>
      </c>
      <c r="B703">
        <v>542361075</v>
      </c>
      <c r="C703" t="s">
        <v>277</v>
      </c>
      <c r="D703" t="s">
        <v>257</v>
      </c>
      <c r="E703">
        <v>236</v>
      </c>
      <c r="F703" t="s">
        <v>258</v>
      </c>
    </row>
    <row r="704" spans="1:6" x14ac:dyDescent="0.3">
      <c r="A704" s="629">
        <v>45637.439363425925</v>
      </c>
      <c r="B704">
        <v>542361075</v>
      </c>
      <c r="C704" t="s">
        <v>277</v>
      </c>
      <c r="D704" t="s">
        <v>257</v>
      </c>
      <c r="E704">
        <v>116</v>
      </c>
      <c r="F704" t="s">
        <v>258</v>
      </c>
    </row>
    <row r="705" spans="1:6" x14ac:dyDescent="0.3">
      <c r="A705" s="629">
        <v>45637.439189814817</v>
      </c>
      <c r="B705">
        <v>542361075</v>
      </c>
      <c r="C705" t="s">
        <v>277</v>
      </c>
      <c r="D705" t="s">
        <v>257</v>
      </c>
      <c r="E705">
        <v>95</v>
      </c>
      <c r="F705" t="s">
        <v>258</v>
      </c>
    </row>
    <row r="706" spans="1:6" x14ac:dyDescent="0.3">
      <c r="A706" s="629">
        <v>45637.438622685186</v>
      </c>
      <c r="B706">
        <v>542361075</v>
      </c>
      <c r="C706" t="s">
        <v>277</v>
      </c>
      <c r="D706" t="s">
        <v>257</v>
      </c>
      <c r="E706">
        <v>222</v>
      </c>
      <c r="F706" t="s">
        <v>258</v>
      </c>
    </row>
    <row r="707" spans="1:6" x14ac:dyDescent="0.3">
      <c r="A707" s="629">
        <v>45637.438321759262</v>
      </c>
      <c r="B707">
        <v>542361075</v>
      </c>
      <c r="C707" t="s">
        <v>277</v>
      </c>
      <c r="D707" t="s">
        <v>257</v>
      </c>
      <c r="E707">
        <v>234</v>
      </c>
      <c r="F707" t="s">
        <v>258</v>
      </c>
    </row>
    <row r="708" spans="1:6" x14ac:dyDescent="0.3">
      <c r="A708" s="629">
        <v>45637.41988425926</v>
      </c>
      <c r="B708">
        <v>542361075</v>
      </c>
      <c r="C708" t="s">
        <v>277</v>
      </c>
      <c r="D708" t="s">
        <v>257</v>
      </c>
      <c r="E708">
        <v>234</v>
      </c>
      <c r="F708" t="s">
        <v>258</v>
      </c>
    </row>
    <row r="709" spans="1:6" x14ac:dyDescent="0.3">
      <c r="A709" s="629">
        <v>45637.417812500003</v>
      </c>
      <c r="B709">
        <v>542361075</v>
      </c>
      <c r="C709" t="s">
        <v>277</v>
      </c>
      <c r="D709" t="s">
        <v>257</v>
      </c>
      <c r="E709">
        <v>116</v>
      </c>
      <c r="F709" t="s">
        <v>258</v>
      </c>
    </row>
    <row r="710" spans="1:6" x14ac:dyDescent="0.3">
      <c r="A710" s="629">
        <v>45637.417210648149</v>
      </c>
      <c r="B710">
        <v>542361075</v>
      </c>
      <c r="C710" t="s">
        <v>277</v>
      </c>
      <c r="D710" t="s">
        <v>257</v>
      </c>
      <c r="E710">
        <v>222</v>
      </c>
      <c r="F710" t="s">
        <v>258</v>
      </c>
    </row>
    <row r="711" spans="1:6" x14ac:dyDescent="0.3">
      <c r="A711" s="629">
        <v>45637.417129629626</v>
      </c>
      <c r="B711">
        <v>542361075</v>
      </c>
      <c r="C711" t="s">
        <v>277</v>
      </c>
      <c r="D711" t="s">
        <v>257</v>
      </c>
      <c r="E711">
        <v>95</v>
      </c>
      <c r="F711" t="s">
        <v>258</v>
      </c>
    </row>
    <row r="712" spans="1:6" x14ac:dyDescent="0.3">
      <c r="A712" s="629">
        <v>45637.404409722221</v>
      </c>
      <c r="B712">
        <v>542361075</v>
      </c>
      <c r="C712" t="s">
        <v>277</v>
      </c>
      <c r="D712" t="s">
        <v>257</v>
      </c>
      <c r="E712">
        <v>51</v>
      </c>
      <c r="F712" t="s">
        <v>258</v>
      </c>
    </row>
    <row r="713" spans="1:6" x14ac:dyDescent="0.3">
      <c r="A713" s="629">
        <v>45637.398553240739</v>
      </c>
      <c r="B713">
        <v>542361075</v>
      </c>
      <c r="C713" t="s">
        <v>277</v>
      </c>
      <c r="F713" t="s">
        <v>455</v>
      </c>
    </row>
    <row r="714" spans="1:6" x14ac:dyDescent="0.3">
      <c r="A714" s="629">
        <v>45637.39806712963</v>
      </c>
      <c r="B714">
        <v>542361075</v>
      </c>
      <c r="C714" t="s">
        <v>277</v>
      </c>
      <c r="F714" t="s">
        <v>454</v>
      </c>
    </row>
    <row r="715" spans="1:6" x14ac:dyDescent="0.3">
      <c r="A715" s="629">
        <v>45637.365902777776</v>
      </c>
      <c r="B715">
        <v>542361075</v>
      </c>
      <c r="C715" t="s">
        <v>277</v>
      </c>
      <c r="D715" t="s">
        <v>257</v>
      </c>
      <c r="E715">
        <v>97</v>
      </c>
      <c r="F715" t="s">
        <v>258</v>
      </c>
    </row>
    <row r="716" spans="1:6" x14ac:dyDescent="0.3">
      <c r="A716" s="629">
        <v>45637.350752314815</v>
      </c>
      <c r="B716">
        <v>542361075</v>
      </c>
      <c r="C716" t="s">
        <v>277</v>
      </c>
      <c r="D716" t="s">
        <v>257</v>
      </c>
      <c r="E716">
        <v>34</v>
      </c>
      <c r="F716" t="s">
        <v>258</v>
      </c>
    </row>
    <row r="717" spans="1:6" x14ac:dyDescent="0.3">
      <c r="A717" s="629">
        <v>45637.331608796296</v>
      </c>
      <c r="B717">
        <v>542361075</v>
      </c>
      <c r="C717" t="s">
        <v>277</v>
      </c>
      <c r="D717" t="s">
        <v>257</v>
      </c>
      <c r="E717">
        <v>82497</v>
      </c>
      <c r="F717" t="s">
        <v>258</v>
      </c>
    </row>
    <row r="718" spans="1:6" x14ac:dyDescent="0.3">
      <c r="A718" s="629">
        <v>45637.32980324074</v>
      </c>
      <c r="B718">
        <v>542361075</v>
      </c>
      <c r="C718" t="s">
        <v>277</v>
      </c>
      <c r="F718" t="s">
        <v>455</v>
      </c>
    </row>
    <row r="719" spans="1:6" x14ac:dyDescent="0.3">
      <c r="A719" s="629">
        <v>45637.327893518515</v>
      </c>
      <c r="B719">
        <v>542361075</v>
      </c>
      <c r="C719" t="s">
        <v>277</v>
      </c>
      <c r="D719" t="s">
        <v>257</v>
      </c>
      <c r="E719">
        <v>41</v>
      </c>
      <c r="F719" t="s">
        <v>258</v>
      </c>
    </row>
    <row r="720" spans="1:6" x14ac:dyDescent="0.3">
      <c r="A720" s="629">
        <v>45637.325613425928</v>
      </c>
      <c r="B720">
        <v>542361075</v>
      </c>
      <c r="C720" t="s">
        <v>277</v>
      </c>
      <c r="D720" t="s">
        <v>257</v>
      </c>
      <c r="E720">
        <v>216</v>
      </c>
      <c r="F720" t="s">
        <v>258</v>
      </c>
    </row>
    <row r="721" spans="1:6" x14ac:dyDescent="0.3">
      <c r="A721" s="629">
        <v>45637.32371527778</v>
      </c>
      <c r="B721">
        <v>542361075</v>
      </c>
      <c r="C721" t="s">
        <v>277</v>
      </c>
      <c r="D721" t="s">
        <v>257</v>
      </c>
      <c r="E721">
        <v>210</v>
      </c>
      <c r="F721" t="s">
        <v>258</v>
      </c>
    </row>
    <row r="722" spans="1:6" x14ac:dyDescent="0.3">
      <c r="A722" s="629">
        <v>45637.322488425925</v>
      </c>
      <c r="B722">
        <v>542361075</v>
      </c>
      <c r="C722" t="s">
        <v>277</v>
      </c>
      <c r="D722" t="s">
        <v>257</v>
      </c>
      <c r="E722">
        <v>89</v>
      </c>
      <c r="F722" t="s">
        <v>258</v>
      </c>
    </row>
    <row r="723" spans="1:6" x14ac:dyDescent="0.3">
      <c r="A723" s="629">
        <v>45637.322245370371</v>
      </c>
      <c r="B723">
        <v>542361075</v>
      </c>
      <c r="C723" t="s">
        <v>277</v>
      </c>
      <c r="D723" t="s">
        <v>257</v>
      </c>
      <c r="E723">
        <v>58</v>
      </c>
      <c r="F723" t="s">
        <v>258</v>
      </c>
    </row>
    <row r="724" spans="1:6" x14ac:dyDescent="0.3">
      <c r="A724" s="629">
        <v>45637.320416666669</v>
      </c>
      <c r="B724">
        <v>542361075</v>
      </c>
      <c r="C724" t="s">
        <v>277</v>
      </c>
      <c r="D724" t="s">
        <v>257</v>
      </c>
      <c r="E724">
        <v>91</v>
      </c>
      <c r="F724" t="s">
        <v>258</v>
      </c>
    </row>
    <row r="725" spans="1:6" x14ac:dyDescent="0.3">
      <c r="A725" s="629">
        <v>45637.320254629631</v>
      </c>
      <c r="B725">
        <v>542361075</v>
      </c>
      <c r="C725" t="s">
        <v>277</v>
      </c>
      <c r="D725" t="s">
        <v>257</v>
      </c>
      <c r="E725">
        <v>33</v>
      </c>
      <c r="F725" t="s">
        <v>258</v>
      </c>
    </row>
    <row r="726" spans="1:6" x14ac:dyDescent="0.3">
      <c r="A726" s="629">
        <v>45637.320196759261</v>
      </c>
      <c r="B726">
        <v>542361075</v>
      </c>
      <c r="C726" t="s">
        <v>277</v>
      </c>
      <c r="D726" t="s">
        <v>257</v>
      </c>
      <c r="E726">
        <v>63</v>
      </c>
      <c r="F726" t="s">
        <v>258</v>
      </c>
    </row>
    <row r="727" spans="1:6" x14ac:dyDescent="0.3">
      <c r="A727" s="629">
        <v>45637.320150462961</v>
      </c>
      <c r="B727">
        <v>542361075</v>
      </c>
      <c r="C727" t="s">
        <v>277</v>
      </c>
      <c r="D727" t="s">
        <v>257</v>
      </c>
      <c r="E727">
        <v>94</v>
      </c>
      <c r="F727" t="s">
        <v>258</v>
      </c>
    </row>
    <row r="728" spans="1:6" x14ac:dyDescent="0.3">
      <c r="A728" s="629">
        <v>45637.320034722223</v>
      </c>
      <c r="B728">
        <v>542361075</v>
      </c>
      <c r="C728" t="s">
        <v>277</v>
      </c>
      <c r="D728" t="s">
        <v>257</v>
      </c>
      <c r="E728">
        <v>45</v>
      </c>
      <c r="F728" t="s">
        <v>258</v>
      </c>
    </row>
    <row r="729" spans="1:6" x14ac:dyDescent="0.3">
      <c r="A729" s="629">
        <v>45637.318067129629</v>
      </c>
      <c r="B729">
        <v>542361075</v>
      </c>
      <c r="C729" t="s">
        <v>277</v>
      </c>
      <c r="D729" t="s">
        <v>257</v>
      </c>
      <c r="E729">
        <v>222</v>
      </c>
      <c r="F729" t="s">
        <v>258</v>
      </c>
    </row>
    <row r="730" spans="1:6" x14ac:dyDescent="0.3">
      <c r="A730" s="629">
        <v>45637.318009259259</v>
      </c>
      <c r="B730">
        <v>542361075</v>
      </c>
      <c r="C730" t="s">
        <v>277</v>
      </c>
      <c r="D730" t="s">
        <v>257</v>
      </c>
      <c r="E730">
        <v>246</v>
      </c>
      <c r="F730" t="s">
        <v>258</v>
      </c>
    </row>
    <row r="731" spans="1:6" x14ac:dyDescent="0.3">
      <c r="A731" s="629">
        <v>45637.317627314813</v>
      </c>
      <c r="B731">
        <v>542361075</v>
      </c>
      <c r="C731" t="s">
        <v>277</v>
      </c>
      <c r="D731" t="s">
        <v>257</v>
      </c>
      <c r="E731">
        <v>30</v>
      </c>
      <c r="F731" t="s">
        <v>258</v>
      </c>
    </row>
    <row r="732" spans="1:6" x14ac:dyDescent="0.3">
      <c r="A732" s="629">
        <v>45637.31758101852</v>
      </c>
      <c r="B732">
        <v>542361075</v>
      </c>
      <c r="C732" t="s">
        <v>277</v>
      </c>
      <c r="D732" t="s">
        <v>257</v>
      </c>
      <c r="E732">
        <v>195</v>
      </c>
      <c r="F732" t="s">
        <v>258</v>
      </c>
    </row>
    <row r="733" spans="1:6" x14ac:dyDescent="0.3">
      <c r="A733" s="629">
        <v>45637.316701388889</v>
      </c>
      <c r="B733">
        <v>542361075</v>
      </c>
      <c r="C733" t="s">
        <v>277</v>
      </c>
      <c r="D733" t="s">
        <v>257</v>
      </c>
      <c r="E733">
        <v>6</v>
      </c>
      <c r="F733" t="s">
        <v>258</v>
      </c>
    </row>
    <row r="734" spans="1:6" x14ac:dyDescent="0.3">
      <c r="A734" s="629">
        <v>45637.316643518519</v>
      </c>
      <c r="B734">
        <v>542361075</v>
      </c>
      <c r="C734" t="s">
        <v>277</v>
      </c>
      <c r="D734" t="s">
        <v>257</v>
      </c>
      <c r="E734">
        <v>205</v>
      </c>
      <c r="F734" t="s">
        <v>258</v>
      </c>
    </row>
    <row r="735" spans="1:6" x14ac:dyDescent="0.3">
      <c r="A735" s="629">
        <v>45637.315844907411</v>
      </c>
      <c r="B735">
        <v>542361075</v>
      </c>
      <c r="C735" t="s">
        <v>277</v>
      </c>
      <c r="D735" t="s">
        <v>257</v>
      </c>
      <c r="E735">
        <v>242</v>
      </c>
      <c r="F735" t="s">
        <v>258</v>
      </c>
    </row>
    <row r="736" spans="1:6" x14ac:dyDescent="0.3">
      <c r="A736" s="629">
        <v>45637.315810185188</v>
      </c>
      <c r="B736">
        <v>542361075</v>
      </c>
      <c r="C736" t="s">
        <v>277</v>
      </c>
      <c r="D736" t="s">
        <v>257</v>
      </c>
      <c r="E736">
        <v>159</v>
      </c>
      <c r="F736" t="s">
        <v>258</v>
      </c>
    </row>
    <row r="737" spans="1:6" x14ac:dyDescent="0.3">
      <c r="A737" s="629">
        <v>45637.315578703703</v>
      </c>
      <c r="B737">
        <v>542361075</v>
      </c>
      <c r="C737" t="s">
        <v>277</v>
      </c>
      <c r="D737" t="s">
        <v>257</v>
      </c>
      <c r="E737">
        <v>19</v>
      </c>
      <c r="F737" t="s">
        <v>258</v>
      </c>
    </row>
    <row r="738" spans="1:6" x14ac:dyDescent="0.3">
      <c r="A738" s="629">
        <v>45637.315416666665</v>
      </c>
      <c r="B738">
        <v>542361075</v>
      </c>
      <c r="C738" t="s">
        <v>277</v>
      </c>
      <c r="D738" t="s">
        <v>257</v>
      </c>
      <c r="E738">
        <v>236</v>
      </c>
      <c r="F738" t="s">
        <v>258</v>
      </c>
    </row>
    <row r="739" spans="1:6" x14ac:dyDescent="0.3">
      <c r="A739" s="629">
        <v>45637.31523148148</v>
      </c>
      <c r="B739">
        <v>542361075</v>
      </c>
      <c r="C739" t="s">
        <v>277</v>
      </c>
      <c r="D739" t="s">
        <v>257</v>
      </c>
      <c r="E739">
        <v>27</v>
      </c>
      <c r="F739" t="s">
        <v>258</v>
      </c>
    </row>
    <row r="740" spans="1:6" x14ac:dyDescent="0.3">
      <c r="A740" s="629">
        <v>45637.315196759257</v>
      </c>
      <c r="B740">
        <v>542361075</v>
      </c>
      <c r="C740" t="s">
        <v>277</v>
      </c>
      <c r="D740" t="s">
        <v>257</v>
      </c>
      <c r="E740">
        <v>95</v>
      </c>
      <c r="F740" t="s">
        <v>258</v>
      </c>
    </row>
    <row r="741" spans="1:6" x14ac:dyDescent="0.3">
      <c r="A741" s="629">
        <v>45637.315150462964</v>
      </c>
      <c r="B741">
        <v>542361075</v>
      </c>
      <c r="C741" t="s">
        <v>277</v>
      </c>
      <c r="D741" t="s">
        <v>257</v>
      </c>
      <c r="E741">
        <v>135</v>
      </c>
      <c r="F741" t="s">
        <v>258</v>
      </c>
    </row>
    <row r="742" spans="1:6" x14ac:dyDescent="0.3">
      <c r="A742" s="629">
        <v>45637.315104166664</v>
      </c>
      <c r="B742">
        <v>542361075</v>
      </c>
      <c r="C742" t="s">
        <v>277</v>
      </c>
      <c r="D742" t="s">
        <v>257</v>
      </c>
      <c r="E742">
        <v>227</v>
      </c>
      <c r="F742" t="s">
        <v>258</v>
      </c>
    </row>
    <row r="743" spans="1:6" x14ac:dyDescent="0.3">
      <c r="A743" s="629">
        <v>45637.314930555556</v>
      </c>
      <c r="B743">
        <v>542361075</v>
      </c>
      <c r="C743" t="s">
        <v>277</v>
      </c>
      <c r="D743" t="s">
        <v>257</v>
      </c>
      <c r="E743">
        <v>231</v>
      </c>
      <c r="F743" t="s">
        <v>258</v>
      </c>
    </row>
    <row r="744" spans="1:6" x14ac:dyDescent="0.3">
      <c r="A744" s="629">
        <v>45637.314618055556</v>
      </c>
      <c r="B744">
        <v>542361075</v>
      </c>
      <c r="C744" t="s">
        <v>277</v>
      </c>
      <c r="D744" t="s">
        <v>257</v>
      </c>
      <c r="E744">
        <v>228</v>
      </c>
      <c r="F744" t="s">
        <v>258</v>
      </c>
    </row>
    <row r="745" spans="1:6" x14ac:dyDescent="0.3">
      <c r="A745" s="629">
        <v>45637.314560185187</v>
      </c>
      <c r="B745">
        <v>542361075</v>
      </c>
      <c r="C745" t="s">
        <v>277</v>
      </c>
      <c r="D745" t="s">
        <v>257</v>
      </c>
      <c r="E745">
        <v>14</v>
      </c>
      <c r="F745" t="s">
        <v>258</v>
      </c>
    </row>
    <row r="746" spans="1:6" x14ac:dyDescent="0.3">
      <c r="A746" s="629">
        <v>45637.314456018517</v>
      </c>
      <c r="B746">
        <v>542361075</v>
      </c>
      <c r="C746" t="s">
        <v>277</v>
      </c>
      <c r="D746" t="s">
        <v>257</v>
      </c>
      <c r="E746">
        <v>7</v>
      </c>
      <c r="F746" t="s">
        <v>258</v>
      </c>
    </row>
    <row r="747" spans="1:6" x14ac:dyDescent="0.3">
      <c r="A747" s="629">
        <v>45637.314328703702</v>
      </c>
      <c r="B747">
        <v>542361075</v>
      </c>
      <c r="C747" t="s">
        <v>277</v>
      </c>
      <c r="D747" t="s">
        <v>257</v>
      </c>
      <c r="E747">
        <v>29</v>
      </c>
      <c r="F747" t="s">
        <v>258</v>
      </c>
    </row>
    <row r="748" spans="1:6" x14ac:dyDescent="0.3">
      <c r="A748" s="629">
        <v>45637.31422453704</v>
      </c>
      <c r="B748">
        <v>542361075</v>
      </c>
      <c r="C748" t="s">
        <v>277</v>
      </c>
      <c r="D748" t="s">
        <v>257</v>
      </c>
      <c r="E748">
        <v>237</v>
      </c>
      <c r="F748" t="s">
        <v>258</v>
      </c>
    </row>
    <row r="749" spans="1:6" x14ac:dyDescent="0.3">
      <c r="A749" s="629">
        <v>45637.314189814817</v>
      </c>
      <c r="B749">
        <v>542361075</v>
      </c>
      <c r="C749" t="s">
        <v>277</v>
      </c>
      <c r="D749" t="s">
        <v>257</v>
      </c>
      <c r="E749">
        <v>214</v>
      </c>
      <c r="F749" t="s">
        <v>258</v>
      </c>
    </row>
    <row r="750" spans="1:6" x14ac:dyDescent="0.3">
      <c r="A750" s="629">
        <v>45637.314143518517</v>
      </c>
      <c r="B750">
        <v>542361075</v>
      </c>
      <c r="C750" t="s">
        <v>277</v>
      </c>
      <c r="D750" t="s">
        <v>257</v>
      </c>
      <c r="E750">
        <v>881</v>
      </c>
      <c r="F750" t="s">
        <v>258</v>
      </c>
    </row>
    <row r="751" spans="1:6" x14ac:dyDescent="0.3">
      <c r="A751" s="629">
        <v>45637.314085648148</v>
      </c>
      <c r="B751">
        <v>542361075</v>
      </c>
      <c r="C751" t="s">
        <v>277</v>
      </c>
      <c r="D751" t="s">
        <v>257</v>
      </c>
      <c r="E751">
        <v>251</v>
      </c>
      <c r="F751" t="s">
        <v>258</v>
      </c>
    </row>
    <row r="752" spans="1:6" x14ac:dyDescent="0.3">
      <c r="A752" s="629">
        <v>45637.314039351855</v>
      </c>
      <c r="B752">
        <v>542361075</v>
      </c>
      <c r="C752" t="s">
        <v>277</v>
      </c>
      <c r="D752" t="s">
        <v>257</v>
      </c>
      <c r="E752">
        <v>74</v>
      </c>
      <c r="F752" t="s">
        <v>258</v>
      </c>
    </row>
    <row r="753" spans="1:6" x14ac:dyDescent="0.3">
      <c r="A753" s="629">
        <v>45637.314039351855</v>
      </c>
      <c r="B753">
        <v>542361075</v>
      </c>
      <c r="C753" t="s">
        <v>277</v>
      </c>
      <c r="F753" t="s">
        <v>259</v>
      </c>
    </row>
    <row r="754" spans="1:6" x14ac:dyDescent="0.3">
      <c r="A754" s="629">
        <v>45637.313680555555</v>
      </c>
      <c r="B754">
        <v>542361075</v>
      </c>
      <c r="C754" t="s">
        <v>277</v>
      </c>
      <c r="D754" t="s">
        <v>257</v>
      </c>
      <c r="E754">
        <v>116</v>
      </c>
      <c r="F754" t="s">
        <v>258</v>
      </c>
    </row>
    <row r="755" spans="1:6" x14ac:dyDescent="0.3">
      <c r="A755" s="629">
        <v>45637.313645833332</v>
      </c>
      <c r="B755">
        <v>542361075</v>
      </c>
      <c r="C755" t="s">
        <v>277</v>
      </c>
      <c r="D755" t="s">
        <v>257</v>
      </c>
      <c r="E755">
        <v>75</v>
      </c>
      <c r="F755" t="s">
        <v>258</v>
      </c>
    </row>
    <row r="756" spans="1:6" x14ac:dyDescent="0.3">
      <c r="A756" s="629">
        <v>45637.313460648147</v>
      </c>
      <c r="B756">
        <v>542361075</v>
      </c>
      <c r="C756" t="s">
        <v>277</v>
      </c>
      <c r="D756" t="s">
        <v>257</v>
      </c>
      <c r="E756">
        <v>215</v>
      </c>
      <c r="F756" t="s">
        <v>258</v>
      </c>
    </row>
    <row r="757" spans="1:6" x14ac:dyDescent="0.3">
      <c r="A757" s="629">
        <v>45637.313078703701</v>
      </c>
      <c r="B757">
        <v>542361075</v>
      </c>
      <c r="C757" t="s">
        <v>277</v>
      </c>
      <c r="D757" t="s">
        <v>257</v>
      </c>
      <c r="E757">
        <v>220</v>
      </c>
      <c r="F757" t="s">
        <v>258</v>
      </c>
    </row>
    <row r="758" spans="1:6" x14ac:dyDescent="0.3">
      <c r="A758" s="629">
        <v>45637.312777777777</v>
      </c>
      <c r="B758">
        <v>542361075</v>
      </c>
      <c r="C758" t="s">
        <v>277</v>
      </c>
      <c r="D758" t="s">
        <v>257</v>
      </c>
      <c r="E758">
        <v>169</v>
      </c>
      <c r="F758" t="s">
        <v>258</v>
      </c>
    </row>
    <row r="759" spans="1:6" x14ac:dyDescent="0.3">
      <c r="A759" s="629">
        <v>45637.311909722222</v>
      </c>
      <c r="B759">
        <v>542361075</v>
      </c>
      <c r="C759" t="s">
        <v>277</v>
      </c>
      <c r="D759" t="s">
        <v>257</v>
      </c>
      <c r="E759">
        <v>111</v>
      </c>
      <c r="F759" t="s">
        <v>258</v>
      </c>
    </row>
    <row r="760" spans="1:6" x14ac:dyDescent="0.3">
      <c r="A760" s="629">
        <v>45637.311678240738</v>
      </c>
      <c r="B760">
        <v>542361075</v>
      </c>
      <c r="C760" t="s">
        <v>277</v>
      </c>
      <c r="D760" t="s">
        <v>257</v>
      </c>
      <c r="E760">
        <v>247</v>
      </c>
      <c r="F760" t="s">
        <v>258</v>
      </c>
    </row>
    <row r="761" spans="1:6" x14ac:dyDescent="0.3">
      <c r="A761" s="629">
        <v>45637.311631944445</v>
      </c>
      <c r="B761">
        <v>542361075</v>
      </c>
      <c r="C761" t="s">
        <v>277</v>
      </c>
      <c r="D761" t="s">
        <v>257</v>
      </c>
      <c r="E761">
        <v>212</v>
      </c>
      <c r="F761" t="s">
        <v>258</v>
      </c>
    </row>
    <row r="762" spans="1:6" x14ac:dyDescent="0.3">
      <c r="A762" s="629">
        <v>45637.311284722222</v>
      </c>
      <c r="B762">
        <v>542361075</v>
      </c>
      <c r="C762" t="s">
        <v>277</v>
      </c>
      <c r="D762" t="s">
        <v>257</v>
      </c>
      <c r="E762">
        <v>35</v>
      </c>
      <c r="F762" t="s">
        <v>258</v>
      </c>
    </row>
    <row r="763" spans="1:6" x14ac:dyDescent="0.3">
      <c r="A763" s="629">
        <v>45637.311261574076</v>
      </c>
      <c r="B763">
        <v>542361075</v>
      </c>
      <c r="C763" t="s">
        <v>277</v>
      </c>
      <c r="D763" t="s">
        <v>257</v>
      </c>
      <c r="E763">
        <v>35</v>
      </c>
      <c r="F763" t="s">
        <v>258</v>
      </c>
    </row>
    <row r="764" spans="1:6" x14ac:dyDescent="0.3">
      <c r="A764" s="629">
        <v>45637.311192129629</v>
      </c>
      <c r="B764">
        <v>542361075</v>
      </c>
      <c r="C764" t="s">
        <v>277</v>
      </c>
      <c r="D764" t="s">
        <v>257</v>
      </c>
      <c r="E764">
        <v>2</v>
      </c>
      <c r="F764" t="s">
        <v>258</v>
      </c>
    </row>
    <row r="765" spans="1:6" x14ac:dyDescent="0.3">
      <c r="A765" s="629">
        <v>45637.309467592589</v>
      </c>
      <c r="B765">
        <v>542361075</v>
      </c>
      <c r="C765" t="s">
        <v>277</v>
      </c>
      <c r="D765" t="s">
        <v>257</v>
      </c>
      <c r="E765">
        <v>141</v>
      </c>
      <c r="F765" t="s">
        <v>258</v>
      </c>
    </row>
    <row r="766" spans="1:6" x14ac:dyDescent="0.3">
      <c r="A766" s="629">
        <v>45637.309432870374</v>
      </c>
      <c r="B766">
        <v>542361075</v>
      </c>
      <c r="C766" t="s">
        <v>277</v>
      </c>
      <c r="D766" t="s">
        <v>257</v>
      </c>
      <c r="E766">
        <v>166</v>
      </c>
      <c r="F766" t="s">
        <v>258</v>
      </c>
    </row>
    <row r="767" spans="1:6" x14ac:dyDescent="0.3">
      <c r="A767" s="629">
        <v>45637.307662037034</v>
      </c>
      <c r="B767">
        <v>542361075</v>
      </c>
      <c r="C767" t="s">
        <v>277</v>
      </c>
      <c r="D767" t="s">
        <v>257</v>
      </c>
      <c r="E767">
        <v>32</v>
      </c>
      <c r="F767" t="s">
        <v>258</v>
      </c>
    </row>
    <row r="768" spans="1:6" x14ac:dyDescent="0.3">
      <c r="A768" s="629">
        <v>45637.306817129633</v>
      </c>
      <c r="B768">
        <v>542361075</v>
      </c>
      <c r="C768" t="s">
        <v>277</v>
      </c>
      <c r="D768" t="s">
        <v>257</v>
      </c>
      <c r="E768">
        <v>234</v>
      </c>
      <c r="F768" t="s">
        <v>258</v>
      </c>
    </row>
    <row r="769" spans="1:6" x14ac:dyDescent="0.3">
      <c r="A769" s="629">
        <v>45637.306770833333</v>
      </c>
      <c r="B769">
        <v>542361075</v>
      </c>
      <c r="C769" t="s">
        <v>277</v>
      </c>
      <c r="D769" t="s">
        <v>257</v>
      </c>
      <c r="E769">
        <v>146</v>
      </c>
      <c r="F769" t="s">
        <v>258</v>
      </c>
    </row>
    <row r="770" spans="1:6" x14ac:dyDescent="0.3">
      <c r="A770" s="629">
        <v>45637.306354166663</v>
      </c>
      <c r="B770">
        <v>542361075</v>
      </c>
      <c r="C770" t="s">
        <v>277</v>
      </c>
      <c r="D770" t="s">
        <v>257</v>
      </c>
      <c r="E770">
        <v>181</v>
      </c>
      <c r="F770" t="s">
        <v>258</v>
      </c>
    </row>
    <row r="771" spans="1:6" x14ac:dyDescent="0.3">
      <c r="A771" s="629">
        <v>45637.304907407408</v>
      </c>
      <c r="B771">
        <v>542361075</v>
      </c>
      <c r="C771" t="s">
        <v>277</v>
      </c>
      <c r="D771" t="s">
        <v>257</v>
      </c>
      <c r="E771">
        <v>26</v>
      </c>
      <c r="F771" t="s">
        <v>258</v>
      </c>
    </row>
    <row r="772" spans="1:6" x14ac:dyDescent="0.3">
      <c r="A772" s="629">
        <v>45637.304629629631</v>
      </c>
      <c r="B772">
        <v>542361075</v>
      </c>
      <c r="C772" t="s">
        <v>277</v>
      </c>
      <c r="D772" t="s">
        <v>257</v>
      </c>
      <c r="E772">
        <v>12</v>
      </c>
      <c r="F772" t="s">
        <v>258</v>
      </c>
    </row>
    <row r="773" spans="1:6" x14ac:dyDescent="0.3">
      <c r="A773" s="629">
        <v>45637.304560185185</v>
      </c>
      <c r="B773">
        <v>542361075</v>
      </c>
      <c r="C773" t="s">
        <v>277</v>
      </c>
      <c r="D773" t="s">
        <v>257</v>
      </c>
      <c r="E773">
        <v>59</v>
      </c>
      <c r="F773" t="s">
        <v>258</v>
      </c>
    </row>
    <row r="774" spans="1:6" x14ac:dyDescent="0.3">
      <c r="A774" s="629">
        <v>45637.303726851853</v>
      </c>
      <c r="B774">
        <v>542361075</v>
      </c>
      <c r="C774" t="s">
        <v>277</v>
      </c>
      <c r="D774" t="s">
        <v>257</v>
      </c>
      <c r="E774">
        <v>28</v>
      </c>
      <c r="F774" t="s">
        <v>258</v>
      </c>
    </row>
    <row r="775" spans="1:6" x14ac:dyDescent="0.3">
      <c r="A775" s="629">
        <v>45637.303576388891</v>
      </c>
      <c r="B775">
        <v>542361075</v>
      </c>
      <c r="C775" t="s">
        <v>277</v>
      </c>
      <c r="D775" t="s">
        <v>257</v>
      </c>
      <c r="E775">
        <v>9</v>
      </c>
      <c r="F775" t="s">
        <v>258</v>
      </c>
    </row>
    <row r="776" spans="1:6" x14ac:dyDescent="0.3">
      <c r="A776" s="629">
        <v>45637.30332175926</v>
      </c>
      <c r="B776">
        <v>542361075</v>
      </c>
      <c r="C776" t="s">
        <v>277</v>
      </c>
      <c r="D776" t="s">
        <v>257</v>
      </c>
      <c r="E776">
        <v>239</v>
      </c>
      <c r="F776" t="s">
        <v>258</v>
      </c>
    </row>
    <row r="777" spans="1:6" x14ac:dyDescent="0.3">
      <c r="A777" s="629">
        <v>45637.30327546296</v>
      </c>
      <c r="B777">
        <v>542361075</v>
      </c>
      <c r="C777" t="s">
        <v>277</v>
      </c>
      <c r="D777" t="s">
        <v>257</v>
      </c>
      <c r="E777">
        <v>230</v>
      </c>
      <c r="F777" t="s">
        <v>258</v>
      </c>
    </row>
    <row r="778" spans="1:6" x14ac:dyDescent="0.3">
      <c r="A778" s="629">
        <v>45637.303229166668</v>
      </c>
      <c r="B778">
        <v>542361075</v>
      </c>
      <c r="C778" t="s">
        <v>277</v>
      </c>
      <c r="D778" t="s">
        <v>257</v>
      </c>
      <c r="E778">
        <v>73</v>
      </c>
      <c r="F778" t="s">
        <v>258</v>
      </c>
    </row>
    <row r="779" spans="1:6" x14ac:dyDescent="0.3">
      <c r="A779" s="629">
        <v>45637.303182870368</v>
      </c>
      <c r="B779">
        <v>542361075</v>
      </c>
      <c r="C779" t="s">
        <v>277</v>
      </c>
      <c r="D779" t="s">
        <v>257</v>
      </c>
      <c r="E779">
        <v>64</v>
      </c>
      <c r="F779" t="s">
        <v>258</v>
      </c>
    </row>
    <row r="780" spans="1:6" x14ac:dyDescent="0.3">
      <c r="A780" s="629">
        <v>45637.30296296296</v>
      </c>
      <c r="B780">
        <v>542361075</v>
      </c>
      <c r="C780" t="s">
        <v>277</v>
      </c>
      <c r="D780" t="s">
        <v>257</v>
      </c>
      <c r="E780">
        <v>39</v>
      </c>
      <c r="F780" t="s">
        <v>258</v>
      </c>
    </row>
    <row r="781" spans="1:6" x14ac:dyDescent="0.3">
      <c r="A781" s="629">
        <v>45637.299525462964</v>
      </c>
      <c r="B781">
        <v>542361075</v>
      </c>
      <c r="C781" t="s">
        <v>277</v>
      </c>
      <c r="D781" t="s">
        <v>257</v>
      </c>
      <c r="E781">
        <v>241</v>
      </c>
      <c r="F781" t="s">
        <v>258</v>
      </c>
    </row>
    <row r="782" spans="1:6" x14ac:dyDescent="0.3">
      <c r="A782" s="629">
        <v>45637.29420138889</v>
      </c>
      <c r="B782">
        <v>542361075</v>
      </c>
      <c r="C782" t="s">
        <v>277</v>
      </c>
      <c r="D782" t="s">
        <v>257</v>
      </c>
      <c r="E782">
        <v>245</v>
      </c>
      <c r="F782" t="s">
        <v>258</v>
      </c>
    </row>
    <row r="783" spans="1:6" x14ac:dyDescent="0.3">
      <c r="A783" s="629">
        <v>45637.282673611109</v>
      </c>
      <c r="B783">
        <v>542361075</v>
      </c>
      <c r="C783" t="s">
        <v>277</v>
      </c>
      <c r="D783" t="s">
        <v>257</v>
      </c>
      <c r="E783">
        <v>172</v>
      </c>
      <c r="F783" t="s">
        <v>258</v>
      </c>
    </row>
    <row r="784" spans="1:6" x14ac:dyDescent="0.3">
      <c r="A784" s="629">
        <v>45637.218032407407</v>
      </c>
      <c r="B784">
        <v>542361075</v>
      </c>
      <c r="C784" t="s">
        <v>277</v>
      </c>
      <c r="D784" t="s">
        <v>257</v>
      </c>
      <c r="E784">
        <v>210</v>
      </c>
      <c r="F784" t="s">
        <v>258</v>
      </c>
    </row>
    <row r="785" spans="1:6" x14ac:dyDescent="0.3">
      <c r="A785" s="629">
        <v>45637.201956018522</v>
      </c>
      <c r="B785">
        <v>542361075</v>
      </c>
      <c r="C785" t="s">
        <v>277</v>
      </c>
      <c r="D785" t="s">
        <v>257</v>
      </c>
      <c r="E785">
        <v>242</v>
      </c>
      <c r="F785" t="s">
        <v>258</v>
      </c>
    </row>
    <row r="786" spans="1:6" x14ac:dyDescent="0.3">
      <c r="A786" s="629">
        <v>45637.201898148145</v>
      </c>
      <c r="B786">
        <v>542361075</v>
      </c>
      <c r="C786" t="s">
        <v>277</v>
      </c>
      <c r="D786" t="s">
        <v>257</v>
      </c>
      <c r="E786">
        <v>159</v>
      </c>
      <c r="F786" t="s">
        <v>258</v>
      </c>
    </row>
    <row r="787" spans="1:6" x14ac:dyDescent="0.3">
      <c r="A787" s="629">
        <v>45637.190694444442</v>
      </c>
      <c r="B787">
        <v>542361075</v>
      </c>
      <c r="C787" t="s">
        <v>277</v>
      </c>
      <c r="D787" t="s">
        <v>257</v>
      </c>
      <c r="E787">
        <v>210</v>
      </c>
      <c r="F787" t="s">
        <v>258</v>
      </c>
    </row>
    <row r="788" spans="1:6" x14ac:dyDescent="0.3">
      <c r="A788" s="629">
        <v>45637.184884259259</v>
      </c>
      <c r="B788">
        <v>542361075</v>
      </c>
      <c r="C788" t="s">
        <v>277</v>
      </c>
      <c r="D788" t="s">
        <v>257</v>
      </c>
      <c r="E788">
        <v>158</v>
      </c>
      <c r="F788" t="s">
        <v>258</v>
      </c>
    </row>
    <row r="789" spans="1:6" x14ac:dyDescent="0.3">
      <c r="A789" s="629">
        <v>45637.176111111112</v>
      </c>
      <c r="B789">
        <v>542361075</v>
      </c>
      <c r="C789" t="s">
        <v>277</v>
      </c>
      <c r="D789" t="s">
        <v>257</v>
      </c>
      <c r="E789">
        <v>242</v>
      </c>
      <c r="F789" t="s">
        <v>258</v>
      </c>
    </row>
    <row r="790" spans="1:6" x14ac:dyDescent="0.3">
      <c r="A790" s="629">
        <v>45637.176064814812</v>
      </c>
      <c r="B790">
        <v>542361075</v>
      </c>
      <c r="C790" t="s">
        <v>277</v>
      </c>
      <c r="D790" t="s">
        <v>257</v>
      </c>
      <c r="E790">
        <v>159</v>
      </c>
      <c r="F790" t="s">
        <v>258</v>
      </c>
    </row>
    <row r="791" spans="1:6" x14ac:dyDescent="0.3">
      <c r="A791" s="629">
        <v>45637.165335648147</v>
      </c>
      <c r="B791">
        <v>542361075</v>
      </c>
      <c r="C791" t="s">
        <v>277</v>
      </c>
      <c r="D791" t="s">
        <v>257</v>
      </c>
      <c r="E791">
        <v>158</v>
      </c>
      <c r="F791" t="s">
        <v>258</v>
      </c>
    </row>
    <row r="792" spans="1:6" x14ac:dyDescent="0.3">
      <c r="A792" s="629">
        <v>45637.160567129627</v>
      </c>
      <c r="B792">
        <v>542361075</v>
      </c>
      <c r="C792" t="s">
        <v>277</v>
      </c>
      <c r="D792" t="s">
        <v>257</v>
      </c>
      <c r="E792">
        <v>228</v>
      </c>
      <c r="F792" t="s">
        <v>258</v>
      </c>
    </row>
    <row r="793" spans="1:6" x14ac:dyDescent="0.3">
      <c r="A793" s="629">
        <v>45637.155717592592</v>
      </c>
      <c r="B793">
        <v>542361075</v>
      </c>
      <c r="C793" t="s">
        <v>277</v>
      </c>
      <c r="D793" t="s">
        <v>257</v>
      </c>
      <c r="E793">
        <v>181</v>
      </c>
      <c r="F793" t="s">
        <v>258</v>
      </c>
    </row>
    <row r="794" spans="1:6" x14ac:dyDescent="0.3">
      <c r="A794" s="629">
        <v>45637.140300925923</v>
      </c>
      <c r="B794">
        <v>542361075</v>
      </c>
      <c r="C794" t="s">
        <v>277</v>
      </c>
      <c r="D794" t="s">
        <v>257</v>
      </c>
      <c r="E794">
        <v>228</v>
      </c>
      <c r="F794" t="s">
        <v>258</v>
      </c>
    </row>
    <row r="795" spans="1:6" x14ac:dyDescent="0.3">
      <c r="A795" s="629">
        <v>45637.13453703704</v>
      </c>
      <c r="B795">
        <v>542361075</v>
      </c>
      <c r="C795" t="s">
        <v>277</v>
      </c>
      <c r="D795" t="s">
        <v>257</v>
      </c>
      <c r="E795">
        <v>181</v>
      </c>
      <c r="F795" t="s">
        <v>258</v>
      </c>
    </row>
    <row r="796" spans="1:6" x14ac:dyDescent="0.3">
      <c r="A796" s="629">
        <v>45637.129606481481</v>
      </c>
      <c r="B796">
        <v>542361075</v>
      </c>
      <c r="C796" t="s">
        <v>277</v>
      </c>
      <c r="D796" t="s">
        <v>257</v>
      </c>
      <c r="E796">
        <v>215</v>
      </c>
      <c r="F796" t="s">
        <v>258</v>
      </c>
    </row>
    <row r="797" spans="1:6" x14ac:dyDescent="0.3">
      <c r="A797" s="629">
        <v>45637.113865740743</v>
      </c>
      <c r="B797">
        <v>542361075</v>
      </c>
      <c r="C797" t="s">
        <v>277</v>
      </c>
      <c r="D797" t="s">
        <v>257</v>
      </c>
      <c r="E797">
        <v>75</v>
      </c>
      <c r="F797" t="s">
        <v>258</v>
      </c>
    </row>
    <row r="798" spans="1:6" x14ac:dyDescent="0.3">
      <c r="A798" s="629">
        <v>45637.107743055552</v>
      </c>
      <c r="B798">
        <v>542361075</v>
      </c>
      <c r="C798" t="s">
        <v>277</v>
      </c>
      <c r="D798" t="s">
        <v>257</v>
      </c>
      <c r="E798">
        <v>215</v>
      </c>
      <c r="F798" t="s">
        <v>258</v>
      </c>
    </row>
    <row r="799" spans="1:6" x14ac:dyDescent="0.3">
      <c r="A799" s="629">
        <v>45637.106226851851</v>
      </c>
      <c r="B799">
        <v>542361075</v>
      </c>
      <c r="C799" t="s">
        <v>277</v>
      </c>
      <c r="D799" t="s">
        <v>257</v>
      </c>
      <c r="E799">
        <v>227</v>
      </c>
      <c r="F799" t="s">
        <v>258</v>
      </c>
    </row>
    <row r="800" spans="1:6" x14ac:dyDescent="0.3">
      <c r="A800" s="629">
        <v>45637.106168981481</v>
      </c>
      <c r="B800">
        <v>542361075</v>
      </c>
      <c r="C800" t="s">
        <v>277</v>
      </c>
      <c r="D800" t="s">
        <v>257</v>
      </c>
      <c r="E800">
        <v>94</v>
      </c>
      <c r="F800" t="s">
        <v>258</v>
      </c>
    </row>
    <row r="801" spans="1:6" x14ac:dyDescent="0.3">
      <c r="A801" s="629">
        <v>45637.104050925926</v>
      </c>
      <c r="B801">
        <v>542361075</v>
      </c>
      <c r="C801" t="s">
        <v>277</v>
      </c>
      <c r="D801" t="s">
        <v>257</v>
      </c>
      <c r="E801">
        <v>214</v>
      </c>
      <c r="F801" t="s">
        <v>258</v>
      </c>
    </row>
    <row r="802" spans="1:6" x14ac:dyDescent="0.3">
      <c r="A802" s="629">
        <v>45637.088587962964</v>
      </c>
      <c r="B802">
        <v>542361075</v>
      </c>
      <c r="C802" t="s">
        <v>277</v>
      </c>
      <c r="D802" t="s">
        <v>257</v>
      </c>
      <c r="E802">
        <v>74</v>
      </c>
      <c r="F802" t="s">
        <v>258</v>
      </c>
    </row>
    <row r="803" spans="1:6" x14ac:dyDescent="0.3">
      <c r="A803" s="629">
        <v>45637.088541666664</v>
      </c>
      <c r="B803">
        <v>542361075</v>
      </c>
      <c r="C803" t="s">
        <v>277</v>
      </c>
      <c r="D803" t="s">
        <v>257</v>
      </c>
      <c r="E803">
        <v>29</v>
      </c>
      <c r="F803" t="s">
        <v>258</v>
      </c>
    </row>
    <row r="804" spans="1:6" x14ac:dyDescent="0.3">
      <c r="A804" s="629">
        <v>45637.087743055556</v>
      </c>
      <c r="B804">
        <v>542361075</v>
      </c>
      <c r="C804" t="s">
        <v>277</v>
      </c>
      <c r="D804" t="s">
        <v>257</v>
      </c>
      <c r="E804">
        <v>251</v>
      </c>
      <c r="F804" t="s">
        <v>258</v>
      </c>
    </row>
    <row r="805" spans="1:6" x14ac:dyDescent="0.3">
      <c r="A805" s="629">
        <v>45637.085532407407</v>
      </c>
      <c r="B805">
        <v>542361075</v>
      </c>
      <c r="C805" t="s">
        <v>277</v>
      </c>
      <c r="D805" t="s">
        <v>257</v>
      </c>
      <c r="E805">
        <v>214</v>
      </c>
      <c r="F805" t="s">
        <v>258</v>
      </c>
    </row>
    <row r="806" spans="1:6" x14ac:dyDescent="0.3">
      <c r="A806" s="629">
        <v>45637.085092592592</v>
      </c>
      <c r="B806">
        <v>542361075</v>
      </c>
      <c r="C806" t="s">
        <v>277</v>
      </c>
      <c r="D806" t="s">
        <v>257</v>
      </c>
      <c r="E806">
        <v>75</v>
      </c>
      <c r="F806" t="s">
        <v>258</v>
      </c>
    </row>
    <row r="807" spans="1:6" x14ac:dyDescent="0.3">
      <c r="A807" s="629">
        <v>45637.083993055552</v>
      </c>
      <c r="B807">
        <v>542361075</v>
      </c>
      <c r="C807" t="s">
        <v>277</v>
      </c>
      <c r="D807" t="s">
        <v>257</v>
      </c>
      <c r="E807">
        <v>94</v>
      </c>
      <c r="F807" t="s">
        <v>258</v>
      </c>
    </row>
    <row r="808" spans="1:6" x14ac:dyDescent="0.3">
      <c r="A808" s="629">
        <v>45637.083703703705</v>
      </c>
      <c r="B808">
        <v>542361075</v>
      </c>
      <c r="C808" t="s">
        <v>277</v>
      </c>
      <c r="D808" t="s">
        <v>257</v>
      </c>
      <c r="E808">
        <v>14</v>
      </c>
      <c r="F808" t="s">
        <v>258</v>
      </c>
    </row>
    <row r="809" spans="1:6" x14ac:dyDescent="0.3">
      <c r="A809" s="629">
        <v>45637.083113425928</v>
      </c>
      <c r="B809">
        <v>542361075</v>
      </c>
      <c r="C809" t="s">
        <v>277</v>
      </c>
      <c r="D809" t="s">
        <v>257</v>
      </c>
      <c r="E809">
        <v>227</v>
      </c>
      <c r="F809" t="s">
        <v>258</v>
      </c>
    </row>
    <row r="810" spans="1:6" x14ac:dyDescent="0.3">
      <c r="A810" s="629">
        <v>45637.069791666669</v>
      </c>
      <c r="B810">
        <v>542361075</v>
      </c>
      <c r="C810" t="s">
        <v>277</v>
      </c>
      <c r="D810" t="s">
        <v>257</v>
      </c>
      <c r="E810">
        <v>14</v>
      </c>
      <c r="F810" t="s">
        <v>258</v>
      </c>
    </row>
    <row r="811" spans="1:6" x14ac:dyDescent="0.3">
      <c r="A811" s="629">
        <v>45637.066643518519</v>
      </c>
      <c r="B811">
        <v>542361075</v>
      </c>
      <c r="C811" t="s">
        <v>277</v>
      </c>
      <c r="D811" t="s">
        <v>257</v>
      </c>
      <c r="E811">
        <v>74</v>
      </c>
      <c r="F811" t="s">
        <v>258</v>
      </c>
    </row>
    <row r="812" spans="1:6" x14ac:dyDescent="0.3">
      <c r="A812" s="629">
        <v>45637.066516203704</v>
      </c>
      <c r="B812">
        <v>542361075</v>
      </c>
      <c r="C812" t="s">
        <v>277</v>
      </c>
      <c r="D812" t="s">
        <v>257</v>
      </c>
      <c r="E812">
        <v>29</v>
      </c>
      <c r="F812" t="s">
        <v>258</v>
      </c>
    </row>
    <row r="813" spans="1:6" x14ac:dyDescent="0.3">
      <c r="A813" s="629">
        <v>45637.066099537034</v>
      </c>
      <c r="B813">
        <v>542361075</v>
      </c>
      <c r="C813" t="s">
        <v>277</v>
      </c>
      <c r="D813" t="s">
        <v>257</v>
      </c>
      <c r="E813">
        <v>251</v>
      </c>
      <c r="F813" t="s">
        <v>258</v>
      </c>
    </row>
    <row r="814" spans="1:6" x14ac:dyDescent="0.3">
      <c r="A814" s="629">
        <v>45636.987997685188</v>
      </c>
      <c r="B814">
        <v>542361075</v>
      </c>
      <c r="C814" t="s">
        <v>277</v>
      </c>
      <c r="D814" t="s">
        <v>257</v>
      </c>
      <c r="E814">
        <v>231</v>
      </c>
      <c r="F814" t="s">
        <v>258</v>
      </c>
    </row>
    <row r="815" spans="1:6" x14ac:dyDescent="0.3">
      <c r="A815" s="629">
        <v>45636.986168981479</v>
      </c>
      <c r="B815">
        <v>542361075</v>
      </c>
      <c r="C815" t="s">
        <v>277</v>
      </c>
      <c r="D815" t="s">
        <v>257</v>
      </c>
      <c r="E815">
        <v>107</v>
      </c>
      <c r="F815" t="s">
        <v>258</v>
      </c>
    </row>
    <row r="816" spans="1:6" x14ac:dyDescent="0.3">
      <c r="A816" s="629">
        <v>45636.986006944448</v>
      </c>
      <c r="B816">
        <v>542361075</v>
      </c>
      <c r="C816" t="s">
        <v>277</v>
      </c>
      <c r="D816" t="s">
        <v>257</v>
      </c>
      <c r="E816">
        <v>210</v>
      </c>
      <c r="F816" t="s">
        <v>258</v>
      </c>
    </row>
    <row r="817" spans="1:6" x14ac:dyDescent="0.3">
      <c r="A817" s="629">
        <v>45636.983067129629</v>
      </c>
      <c r="B817">
        <v>542361075</v>
      </c>
      <c r="C817" t="s">
        <v>277</v>
      </c>
      <c r="D817" t="s">
        <v>257</v>
      </c>
      <c r="E817">
        <v>227</v>
      </c>
      <c r="F817" t="s">
        <v>258</v>
      </c>
    </row>
    <row r="818" spans="1:6" x14ac:dyDescent="0.3">
      <c r="A818" s="629">
        <v>45636.983032407406</v>
      </c>
      <c r="B818">
        <v>542361075</v>
      </c>
      <c r="C818" t="s">
        <v>277</v>
      </c>
      <c r="D818" t="s">
        <v>257</v>
      </c>
      <c r="E818">
        <v>135</v>
      </c>
      <c r="F818" t="s">
        <v>258</v>
      </c>
    </row>
    <row r="819" spans="1:6" x14ac:dyDescent="0.3">
      <c r="A819" s="629">
        <v>45636.982812499999</v>
      </c>
      <c r="B819">
        <v>542361075</v>
      </c>
      <c r="C819" t="s">
        <v>277</v>
      </c>
      <c r="D819" t="s">
        <v>257</v>
      </c>
      <c r="E819">
        <v>228</v>
      </c>
      <c r="F819" t="s">
        <v>258</v>
      </c>
    </row>
    <row r="820" spans="1:6" x14ac:dyDescent="0.3">
      <c r="A820" s="629">
        <v>45636.981261574074</v>
      </c>
      <c r="B820">
        <v>542361075</v>
      </c>
      <c r="C820" t="s">
        <v>277</v>
      </c>
      <c r="D820" t="s">
        <v>257</v>
      </c>
      <c r="E820">
        <v>45</v>
      </c>
      <c r="F820" t="s">
        <v>258</v>
      </c>
    </row>
    <row r="821" spans="1:6" x14ac:dyDescent="0.3">
      <c r="A821" s="629">
        <v>45636.981134259258</v>
      </c>
      <c r="B821">
        <v>542361075</v>
      </c>
      <c r="C821" t="s">
        <v>277</v>
      </c>
      <c r="D821" t="s">
        <v>257</v>
      </c>
      <c r="E821">
        <v>232</v>
      </c>
      <c r="F821" t="s">
        <v>258</v>
      </c>
    </row>
    <row r="822" spans="1:6" x14ac:dyDescent="0.3">
      <c r="A822" s="629">
        <v>45636.981087962966</v>
      </c>
      <c r="B822">
        <v>542361075</v>
      </c>
      <c r="C822" t="s">
        <v>277</v>
      </c>
      <c r="D822" t="s">
        <v>257</v>
      </c>
      <c r="E822">
        <v>207</v>
      </c>
      <c r="F822" t="s">
        <v>258</v>
      </c>
    </row>
    <row r="823" spans="1:6" x14ac:dyDescent="0.3">
      <c r="A823" s="629">
        <v>45636.981030092589</v>
      </c>
      <c r="B823">
        <v>542361075</v>
      </c>
      <c r="C823" t="s">
        <v>277</v>
      </c>
      <c r="D823" t="s">
        <v>257</v>
      </c>
      <c r="E823">
        <v>132</v>
      </c>
      <c r="F823" t="s">
        <v>258</v>
      </c>
    </row>
    <row r="824" spans="1:6" x14ac:dyDescent="0.3">
      <c r="A824" s="629">
        <v>45636.980902777781</v>
      </c>
      <c r="B824">
        <v>542361075</v>
      </c>
      <c r="C824" t="s">
        <v>277</v>
      </c>
      <c r="D824" t="s">
        <v>257</v>
      </c>
      <c r="E824">
        <v>235</v>
      </c>
      <c r="F824" t="s">
        <v>258</v>
      </c>
    </row>
    <row r="825" spans="1:6" x14ac:dyDescent="0.3">
      <c r="A825" s="629">
        <v>45636.980868055558</v>
      </c>
      <c r="B825">
        <v>542361075</v>
      </c>
      <c r="C825" t="s">
        <v>277</v>
      </c>
      <c r="D825" t="s">
        <v>257</v>
      </c>
      <c r="E825">
        <v>69</v>
      </c>
      <c r="F825" t="s">
        <v>258</v>
      </c>
    </row>
    <row r="826" spans="1:6" x14ac:dyDescent="0.3">
      <c r="A826" s="629">
        <v>45636.980798611112</v>
      </c>
      <c r="B826">
        <v>542361075</v>
      </c>
      <c r="C826" t="s">
        <v>277</v>
      </c>
      <c r="D826" t="s">
        <v>257</v>
      </c>
      <c r="E826">
        <v>226</v>
      </c>
      <c r="F826" t="s">
        <v>258</v>
      </c>
    </row>
    <row r="827" spans="1:6" x14ac:dyDescent="0.3">
      <c r="A827" s="629">
        <v>45636.97797453704</v>
      </c>
      <c r="B827">
        <v>542361075</v>
      </c>
      <c r="C827" t="s">
        <v>277</v>
      </c>
      <c r="D827" t="s">
        <v>257</v>
      </c>
      <c r="E827">
        <v>74</v>
      </c>
      <c r="F827" t="s">
        <v>258</v>
      </c>
    </row>
    <row r="828" spans="1:6" x14ac:dyDescent="0.3">
      <c r="A828" s="629">
        <v>45636.977881944447</v>
      </c>
      <c r="B828">
        <v>542361075</v>
      </c>
      <c r="C828" t="s">
        <v>277</v>
      </c>
      <c r="D828" t="s">
        <v>257</v>
      </c>
      <c r="E828">
        <v>251</v>
      </c>
      <c r="F828" t="s">
        <v>258</v>
      </c>
    </row>
    <row r="829" spans="1:6" x14ac:dyDescent="0.3">
      <c r="A829" s="629">
        <v>45636.977835648147</v>
      </c>
      <c r="B829">
        <v>542361075</v>
      </c>
      <c r="C829" t="s">
        <v>277</v>
      </c>
      <c r="D829" t="s">
        <v>257</v>
      </c>
      <c r="E829">
        <v>244</v>
      </c>
      <c r="F829" t="s">
        <v>258</v>
      </c>
    </row>
    <row r="830" spans="1:6" x14ac:dyDescent="0.3">
      <c r="A830" s="629">
        <v>45636.977766203701</v>
      </c>
      <c r="B830">
        <v>542361075</v>
      </c>
      <c r="C830" t="s">
        <v>277</v>
      </c>
      <c r="D830" t="s">
        <v>257</v>
      </c>
      <c r="E830">
        <v>215</v>
      </c>
      <c r="F830" t="s">
        <v>258</v>
      </c>
    </row>
    <row r="831" spans="1:6" x14ac:dyDescent="0.3">
      <c r="A831" s="629">
        <v>45636.977488425924</v>
      </c>
      <c r="B831">
        <v>542361075</v>
      </c>
      <c r="C831" t="s">
        <v>277</v>
      </c>
      <c r="D831" t="s">
        <v>257</v>
      </c>
      <c r="E831">
        <v>75</v>
      </c>
      <c r="F831" t="s">
        <v>258</v>
      </c>
    </row>
    <row r="832" spans="1:6" x14ac:dyDescent="0.3">
      <c r="A832" s="629">
        <v>45636.977268518516</v>
      </c>
      <c r="B832">
        <v>542361075</v>
      </c>
      <c r="C832" t="s">
        <v>277</v>
      </c>
      <c r="D832" t="s">
        <v>257</v>
      </c>
      <c r="E832">
        <v>29</v>
      </c>
      <c r="F832" t="s">
        <v>258</v>
      </c>
    </row>
    <row r="833" spans="1:6" x14ac:dyDescent="0.3">
      <c r="A833" s="629">
        <v>45636.976087962961</v>
      </c>
      <c r="B833">
        <v>542361075</v>
      </c>
      <c r="C833" t="s">
        <v>277</v>
      </c>
      <c r="D833" t="s">
        <v>257</v>
      </c>
      <c r="E833">
        <v>158</v>
      </c>
      <c r="F833" t="s">
        <v>258</v>
      </c>
    </row>
    <row r="834" spans="1:6" x14ac:dyDescent="0.3">
      <c r="A834" s="629">
        <v>45636.976006944446</v>
      </c>
      <c r="B834">
        <v>542361075</v>
      </c>
      <c r="C834" t="s">
        <v>277</v>
      </c>
      <c r="D834" t="s">
        <v>257</v>
      </c>
      <c r="E834">
        <v>181</v>
      </c>
      <c r="F834" t="s">
        <v>258</v>
      </c>
    </row>
    <row r="835" spans="1:6" x14ac:dyDescent="0.3">
      <c r="A835" s="629">
        <v>45636.975532407407</v>
      </c>
      <c r="B835">
        <v>542361075</v>
      </c>
      <c r="C835" t="s">
        <v>277</v>
      </c>
      <c r="D835" t="s">
        <v>257</v>
      </c>
      <c r="E835">
        <v>242</v>
      </c>
      <c r="F835" t="s">
        <v>258</v>
      </c>
    </row>
    <row r="836" spans="1:6" x14ac:dyDescent="0.3">
      <c r="A836" s="629">
        <v>45636.974745370368</v>
      </c>
      <c r="B836">
        <v>542361075</v>
      </c>
      <c r="C836" t="s">
        <v>277</v>
      </c>
      <c r="D836" t="s">
        <v>257</v>
      </c>
      <c r="E836">
        <v>214</v>
      </c>
      <c r="F836" t="s">
        <v>258</v>
      </c>
    </row>
    <row r="837" spans="1:6" x14ac:dyDescent="0.3">
      <c r="A837" s="629">
        <v>45636.972430555557</v>
      </c>
      <c r="B837">
        <v>542361075</v>
      </c>
      <c r="C837" t="s">
        <v>277</v>
      </c>
      <c r="D837" t="s">
        <v>257</v>
      </c>
      <c r="E837">
        <v>37</v>
      </c>
      <c r="F837" t="s">
        <v>258</v>
      </c>
    </row>
    <row r="838" spans="1:6" x14ac:dyDescent="0.3">
      <c r="A838" s="629">
        <v>45636.972384259258</v>
      </c>
      <c r="B838">
        <v>542361075</v>
      </c>
      <c r="C838" t="s">
        <v>277</v>
      </c>
      <c r="D838" t="s">
        <v>257</v>
      </c>
      <c r="E838">
        <v>33</v>
      </c>
      <c r="F838" t="s">
        <v>258</v>
      </c>
    </row>
    <row r="839" spans="1:6" x14ac:dyDescent="0.3">
      <c r="A839" s="629">
        <v>45636.972268518519</v>
      </c>
      <c r="B839">
        <v>542361075</v>
      </c>
      <c r="C839" t="s">
        <v>277</v>
      </c>
      <c r="D839" t="s">
        <v>257</v>
      </c>
      <c r="E839">
        <v>91</v>
      </c>
      <c r="F839" t="s">
        <v>258</v>
      </c>
    </row>
    <row r="840" spans="1:6" x14ac:dyDescent="0.3">
      <c r="A840" s="629">
        <v>45636.972233796296</v>
      </c>
      <c r="B840">
        <v>542361075</v>
      </c>
      <c r="C840" t="s">
        <v>277</v>
      </c>
      <c r="D840" t="s">
        <v>257</v>
      </c>
      <c r="E840">
        <v>27</v>
      </c>
      <c r="F840" t="s">
        <v>258</v>
      </c>
    </row>
    <row r="841" spans="1:6" x14ac:dyDescent="0.3">
      <c r="A841" s="629">
        <v>45636.962430555555</v>
      </c>
      <c r="B841">
        <v>542361075</v>
      </c>
      <c r="C841" t="s">
        <v>277</v>
      </c>
      <c r="D841" t="s">
        <v>257</v>
      </c>
      <c r="E841">
        <v>94</v>
      </c>
      <c r="F841" t="s">
        <v>258</v>
      </c>
    </row>
    <row r="842" spans="1:6" x14ac:dyDescent="0.3">
      <c r="A842" s="629">
        <v>45636.960532407407</v>
      </c>
      <c r="B842">
        <v>542361075</v>
      </c>
      <c r="C842" t="s">
        <v>277</v>
      </c>
      <c r="D842" t="s">
        <v>257</v>
      </c>
      <c r="E842">
        <v>14</v>
      </c>
      <c r="F842" t="s">
        <v>258</v>
      </c>
    </row>
    <row r="843" spans="1:6" x14ac:dyDescent="0.3">
      <c r="A843" s="629">
        <v>45636.960439814815</v>
      </c>
      <c r="B843">
        <v>542361075</v>
      </c>
      <c r="C843" t="s">
        <v>277</v>
      </c>
      <c r="D843" t="s">
        <v>257</v>
      </c>
      <c r="E843">
        <v>7</v>
      </c>
      <c r="F843" t="s">
        <v>258</v>
      </c>
    </row>
    <row r="844" spans="1:6" x14ac:dyDescent="0.3">
      <c r="A844" s="629">
        <v>45636.960405092592</v>
      </c>
      <c r="B844">
        <v>542361075</v>
      </c>
      <c r="C844" t="s">
        <v>277</v>
      </c>
      <c r="D844" t="s">
        <v>257</v>
      </c>
      <c r="E844">
        <v>159</v>
      </c>
      <c r="F844" t="s">
        <v>258</v>
      </c>
    </row>
    <row r="845" spans="1:6" x14ac:dyDescent="0.3">
      <c r="A845" s="629">
        <v>45636.735821759263</v>
      </c>
      <c r="B845">
        <v>542361075</v>
      </c>
      <c r="C845" t="s">
        <v>277</v>
      </c>
      <c r="D845" t="s">
        <v>257</v>
      </c>
      <c r="E845">
        <v>216</v>
      </c>
      <c r="F845" t="s">
        <v>258</v>
      </c>
    </row>
    <row r="846" spans="1:6" x14ac:dyDescent="0.3">
      <c r="A846" s="629">
        <v>45636.730520833335</v>
      </c>
      <c r="B846">
        <v>542361075</v>
      </c>
      <c r="C846" t="s">
        <v>277</v>
      </c>
      <c r="D846" t="s">
        <v>257</v>
      </c>
      <c r="E846">
        <v>239</v>
      </c>
      <c r="F846" t="s">
        <v>258</v>
      </c>
    </row>
    <row r="847" spans="1:6" x14ac:dyDescent="0.3">
      <c r="A847" s="629">
        <v>45636.730474537035</v>
      </c>
      <c r="B847">
        <v>542361075</v>
      </c>
      <c r="C847" t="s">
        <v>277</v>
      </c>
      <c r="D847" t="s">
        <v>257</v>
      </c>
      <c r="E847">
        <v>239</v>
      </c>
      <c r="F847" t="s">
        <v>258</v>
      </c>
    </row>
    <row r="848" spans="1:6" x14ac:dyDescent="0.3">
      <c r="A848" s="629">
        <v>45636.717650462961</v>
      </c>
      <c r="B848">
        <v>542361075</v>
      </c>
      <c r="C848" t="s">
        <v>277</v>
      </c>
      <c r="D848" t="s">
        <v>257</v>
      </c>
      <c r="E848">
        <v>97</v>
      </c>
      <c r="F848" t="s">
        <v>258</v>
      </c>
    </row>
    <row r="849" spans="1:6" x14ac:dyDescent="0.3">
      <c r="A849" s="629">
        <v>45636.716620370367</v>
      </c>
      <c r="B849">
        <v>542361075</v>
      </c>
      <c r="C849" t="s">
        <v>277</v>
      </c>
      <c r="D849" t="s">
        <v>257</v>
      </c>
      <c r="E849">
        <v>41</v>
      </c>
      <c r="F849" t="s">
        <v>258</v>
      </c>
    </row>
    <row r="850" spans="1:6" x14ac:dyDescent="0.3">
      <c r="A850" s="629">
        <v>45636.716273148151</v>
      </c>
      <c r="B850">
        <v>542361075</v>
      </c>
      <c r="C850" t="s">
        <v>277</v>
      </c>
      <c r="F850" t="s">
        <v>454</v>
      </c>
    </row>
    <row r="851" spans="1:6" x14ac:dyDescent="0.3">
      <c r="A851" s="629">
        <v>45636.713993055557</v>
      </c>
      <c r="B851">
        <v>542361075</v>
      </c>
      <c r="C851" t="s">
        <v>277</v>
      </c>
      <c r="D851" t="s">
        <v>257</v>
      </c>
      <c r="E851">
        <v>89</v>
      </c>
      <c r="F851" t="s">
        <v>258</v>
      </c>
    </row>
    <row r="852" spans="1:6" x14ac:dyDescent="0.3">
      <c r="A852" s="629">
        <v>45636.710648148146</v>
      </c>
      <c r="B852">
        <v>542361075</v>
      </c>
      <c r="C852" t="s">
        <v>277</v>
      </c>
      <c r="D852" t="s">
        <v>257</v>
      </c>
      <c r="E852">
        <v>205</v>
      </c>
      <c r="F852" t="s">
        <v>258</v>
      </c>
    </row>
    <row r="853" spans="1:6" x14ac:dyDescent="0.3">
      <c r="A853" s="629">
        <v>45636.710474537038</v>
      </c>
      <c r="B853">
        <v>542361075</v>
      </c>
      <c r="C853" t="s">
        <v>277</v>
      </c>
      <c r="D853" t="s">
        <v>257</v>
      </c>
      <c r="E853">
        <v>19</v>
      </c>
      <c r="F853" t="s">
        <v>258</v>
      </c>
    </row>
    <row r="854" spans="1:6" x14ac:dyDescent="0.3">
      <c r="A854" s="629">
        <v>45636.710428240738</v>
      </c>
      <c r="B854">
        <v>542361075</v>
      </c>
      <c r="C854" t="s">
        <v>277</v>
      </c>
      <c r="D854" t="s">
        <v>257</v>
      </c>
      <c r="E854">
        <v>58</v>
      </c>
      <c r="F854" t="s">
        <v>258</v>
      </c>
    </row>
    <row r="855" spans="1:6" x14ac:dyDescent="0.3">
      <c r="A855" s="629">
        <v>45636.710381944446</v>
      </c>
      <c r="B855">
        <v>542361075</v>
      </c>
      <c r="C855" t="s">
        <v>277</v>
      </c>
      <c r="D855" t="s">
        <v>257</v>
      </c>
      <c r="E855">
        <v>26</v>
      </c>
      <c r="F855" t="s">
        <v>258</v>
      </c>
    </row>
    <row r="856" spans="1:6" x14ac:dyDescent="0.3">
      <c r="A856" s="629">
        <v>45636.710335648146</v>
      </c>
      <c r="B856">
        <v>542361075</v>
      </c>
      <c r="C856" t="s">
        <v>277</v>
      </c>
      <c r="D856" t="s">
        <v>257</v>
      </c>
      <c r="E856">
        <v>95</v>
      </c>
      <c r="F856" t="s">
        <v>258</v>
      </c>
    </row>
    <row r="857" spans="1:6" x14ac:dyDescent="0.3">
      <c r="A857" s="629">
        <v>45636.71025462963</v>
      </c>
      <c r="B857">
        <v>542361075</v>
      </c>
      <c r="C857" t="s">
        <v>277</v>
      </c>
      <c r="D857" t="s">
        <v>257</v>
      </c>
      <c r="E857">
        <v>30</v>
      </c>
      <c r="F857" t="s">
        <v>258</v>
      </c>
    </row>
    <row r="858" spans="1:6" x14ac:dyDescent="0.3">
      <c r="A858" s="629">
        <v>45636.710231481484</v>
      </c>
      <c r="B858">
        <v>542361075</v>
      </c>
      <c r="C858" t="s">
        <v>277</v>
      </c>
      <c r="D858" t="s">
        <v>257</v>
      </c>
      <c r="E858">
        <v>2</v>
      </c>
      <c r="F858" t="s">
        <v>258</v>
      </c>
    </row>
    <row r="859" spans="1:6" x14ac:dyDescent="0.3">
      <c r="A859" s="629">
        <v>45636.710185185184</v>
      </c>
      <c r="B859">
        <v>542361075</v>
      </c>
      <c r="C859" t="s">
        <v>277</v>
      </c>
      <c r="D859" t="s">
        <v>257</v>
      </c>
      <c r="E859">
        <v>237</v>
      </c>
      <c r="F859" t="s">
        <v>258</v>
      </c>
    </row>
    <row r="860" spans="1:6" x14ac:dyDescent="0.3">
      <c r="A860" s="629">
        <v>45636.710138888891</v>
      </c>
      <c r="B860">
        <v>542361075</v>
      </c>
      <c r="C860" t="s">
        <v>277</v>
      </c>
      <c r="D860" t="s">
        <v>257</v>
      </c>
      <c r="E860">
        <v>220</v>
      </c>
      <c r="F860" t="s">
        <v>258</v>
      </c>
    </row>
    <row r="861" spans="1:6" x14ac:dyDescent="0.3">
      <c r="A861" s="629">
        <v>45636.710104166668</v>
      </c>
      <c r="B861">
        <v>542361075</v>
      </c>
      <c r="C861" t="s">
        <v>277</v>
      </c>
      <c r="D861" t="s">
        <v>257</v>
      </c>
      <c r="E861">
        <v>28</v>
      </c>
      <c r="F861" t="s">
        <v>258</v>
      </c>
    </row>
    <row r="862" spans="1:6" x14ac:dyDescent="0.3">
      <c r="A862" s="629">
        <v>45636.710081018522</v>
      </c>
      <c r="B862">
        <v>542361075</v>
      </c>
      <c r="C862" t="s">
        <v>277</v>
      </c>
      <c r="D862" t="s">
        <v>257</v>
      </c>
      <c r="E862">
        <v>64</v>
      </c>
      <c r="F862" t="s">
        <v>258</v>
      </c>
    </row>
    <row r="863" spans="1:6" x14ac:dyDescent="0.3">
      <c r="A863" s="629">
        <v>45636.710046296299</v>
      </c>
      <c r="B863">
        <v>542361075</v>
      </c>
      <c r="C863" t="s">
        <v>277</v>
      </c>
      <c r="D863" t="s">
        <v>257</v>
      </c>
      <c r="E863">
        <v>166</v>
      </c>
      <c r="F863" t="s">
        <v>258</v>
      </c>
    </row>
    <row r="864" spans="1:6" x14ac:dyDescent="0.3">
      <c r="A864" s="629">
        <v>45636.710011574076</v>
      </c>
      <c r="B864">
        <v>542361075</v>
      </c>
      <c r="C864" t="s">
        <v>277</v>
      </c>
      <c r="D864" t="s">
        <v>257</v>
      </c>
      <c r="E864">
        <v>39</v>
      </c>
      <c r="F864" t="s">
        <v>258</v>
      </c>
    </row>
    <row r="865" spans="1:6" x14ac:dyDescent="0.3">
      <c r="A865" s="629">
        <v>45636.709976851853</v>
      </c>
      <c r="B865">
        <v>542361075</v>
      </c>
      <c r="C865" t="s">
        <v>277</v>
      </c>
      <c r="D865" t="s">
        <v>257</v>
      </c>
      <c r="E865">
        <v>141</v>
      </c>
      <c r="F865" t="s">
        <v>258</v>
      </c>
    </row>
    <row r="866" spans="1:6" x14ac:dyDescent="0.3">
      <c r="A866" s="629">
        <v>45636.70994212963</v>
      </c>
      <c r="B866">
        <v>542361075</v>
      </c>
      <c r="C866" t="s">
        <v>277</v>
      </c>
      <c r="D866" t="s">
        <v>257</v>
      </c>
      <c r="E866">
        <v>59</v>
      </c>
      <c r="F866" t="s">
        <v>258</v>
      </c>
    </row>
    <row r="867" spans="1:6" x14ac:dyDescent="0.3">
      <c r="A867" s="629">
        <v>45636.709907407407</v>
      </c>
      <c r="B867">
        <v>542361075</v>
      </c>
      <c r="C867" t="s">
        <v>277</v>
      </c>
      <c r="D867" t="s">
        <v>257</v>
      </c>
      <c r="E867">
        <v>169</v>
      </c>
      <c r="F867" t="s">
        <v>258</v>
      </c>
    </row>
    <row r="868" spans="1:6" x14ac:dyDescent="0.3">
      <c r="A868" s="629">
        <v>45636.709872685184</v>
      </c>
      <c r="B868">
        <v>542361075</v>
      </c>
      <c r="C868" t="s">
        <v>277</v>
      </c>
      <c r="D868" t="s">
        <v>257</v>
      </c>
      <c r="E868">
        <v>236</v>
      </c>
      <c r="F868" t="s">
        <v>258</v>
      </c>
    </row>
    <row r="869" spans="1:6" x14ac:dyDescent="0.3">
      <c r="A869" s="629">
        <v>45636.709837962961</v>
      </c>
      <c r="B869">
        <v>542361075</v>
      </c>
      <c r="C869" t="s">
        <v>277</v>
      </c>
      <c r="D869" t="s">
        <v>257</v>
      </c>
      <c r="E869">
        <v>146</v>
      </c>
      <c r="F869" t="s">
        <v>258</v>
      </c>
    </row>
    <row r="870" spans="1:6" x14ac:dyDescent="0.3">
      <c r="A870" s="629">
        <v>45636.709803240738</v>
      </c>
      <c r="B870">
        <v>542361075</v>
      </c>
      <c r="C870" t="s">
        <v>277</v>
      </c>
      <c r="D870" t="s">
        <v>257</v>
      </c>
      <c r="E870">
        <v>234</v>
      </c>
      <c r="F870" t="s">
        <v>258</v>
      </c>
    </row>
    <row r="871" spans="1:6" x14ac:dyDescent="0.3">
      <c r="A871" s="629">
        <v>45636.709768518522</v>
      </c>
      <c r="B871">
        <v>542361075</v>
      </c>
      <c r="C871" t="s">
        <v>277</v>
      </c>
      <c r="D871" t="s">
        <v>257</v>
      </c>
      <c r="E871">
        <v>116</v>
      </c>
      <c r="F871" t="s">
        <v>258</v>
      </c>
    </row>
    <row r="872" spans="1:6" x14ac:dyDescent="0.3">
      <c r="A872" s="629">
        <v>45636.709733796299</v>
      </c>
      <c r="B872">
        <v>542361075</v>
      </c>
      <c r="C872" t="s">
        <v>277</v>
      </c>
      <c r="D872" t="s">
        <v>257</v>
      </c>
      <c r="E872">
        <v>9</v>
      </c>
      <c r="F872" t="s">
        <v>258</v>
      </c>
    </row>
    <row r="873" spans="1:6" x14ac:dyDescent="0.3">
      <c r="A873" s="629">
        <v>45636.709710648145</v>
      </c>
      <c r="B873">
        <v>542361075</v>
      </c>
      <c r="C873" t="s">
        <v>277</v>
      </c>
      <c r="D873" t="s">
        <v>257</v>
      </c>
      <c r="E873">
        <v>222</v>
      </c>
      <c r="F873" t="s">
        <v>258</v>
      </c>
    </row>
    <row r="874" spans="1:6" x14ac:dyDescent="0.3">
      <c r="A874" s="629">
        <v>45636.709675925929</v>
      </c>
      <c r="B874">
        <v>542361075</v>
      </c>
      <c r="C874" t="s">
        <v>277</v>
      </c>
      <c r="D874" t="s">
        <v>257</v>
      </c>
      <c r="E874">
        <v>212</v>
      </c>
      <c r="F874" t="s">
        <v>258</v>
      </c>
    </row>
    <row r="875" spans="1:6" x14ac:dyDescent="0.3">
      <c r="A875" s="629">
        <v>45636.709618055553</v>
      </c>
      <c r="B875">
        <v>542361075</v>
      </c>
      <c r="C875" t="s">
        <v>277</v>
      </c>
      <c r="D875" t="s">
        <v>257</v>
      </c>
      <c r="E875">
        <v>12</v>
      </c>
      <c r="F875" t="s">
        <v>258</v>
      </c>
    </row>
    <row r="876" spans="1:6" x14ac:dyDescent="0.3">
      <c r="A876" s="629">
        <v>45636.709537037037</v>
      </c>
      <c r="B876">
        <v>542361075</v>
      </c>
      <c r="C876" t="s">
        <v>277</v>
      </c>
      <c r="F876" t="s">
        <v>455</v>
      </c>
    </row>
    <row r="877" spans="1:6" x14ac:dyDescent="0.3">
      <c r="A877" s="629">
        <v>45636.709398148145</v>
      </c>
      <c r="B877">
        <v>542361075</v>
      </c>
      <c r="C877" t="s">
        <v>277</v>
      </c>
      <c r="F877" t="s">
        <v>449</v>
      </c>
    </row>
    <row r="878" spans="1:6" x14ac:dyDescent="0.3">
      <c r="A878" s="629">
        <v>45636.709282407406</v>
      </c>
      <c r="B878">
        <v>542361075</v>
      </c>
      <c r="C878" t="s">
        <v>277</v>
      </c>
      <c r="F878" t="s">
        <v>311</v>
      </c>
    </row>
    <row r="879" spans="1:6" x14ac:dyDescent="0.3">
      <c r="A879" s="629">
        <v>45636.70925925926</v>
      </c>
      <c r="B879">
        <v>542361075</v>
      </c>
      <c r="C879" t="s">
        <v>277</v>
      </c>
      <c r="F879" t="s">
        <v>450</v>
      </c>
    </row>
    <row r="880" spans="1:6" x14ac:dyDescent="0.3">
      <c r="A880" s="629">
        <v>45636.70925925926</v>
      </c>
      <c r="B880">
        <v>542361075</v>
      </c>
      <c r="C880" t="s">
        <v>277</v>
      </c>
      <c r="F880" t="s">
        <v>451</v>
      </c>
    </row>
    <row r="881" spans="1:6" x14ac:dyDescent="0.3">
      <c r="A881" s="629">
        <v>45636.708275462966</v>
      </c>
      <c r="B881">
        <v>542361075</v>
      </c>
      <c r="C881" t="s">
        <v>277</v>
      </c>
      <c r="D881" t="s">
        <v>257</v>
      </c>
      <c r="E881">
        <v>6</v>
      </c>
      <c r="F881" t="s">
        <v>258</v>
      </c>
    </row>
    <row r="882" spans="1:6" x14ac:dyDescent="0.3">
      <c r="A882" s="629">
        <v>45636.706562500003</v>
      </c>
      <c r="B882">
        <v>542361075</v>
      </c>
      <c r="C882" t="s">
        <v>277</v>
      </c>
      <c r="D882" t="s">
        <v>257</v>
      </c>
      <c r="E882">
        <v>32</v>
      </c>
      <c r="F882" t="s">
        <v>258</v>
      </c>
    </row>
    <row r="883" spans="1:6" x14ac:dyDescent="0.3">
      <c r="A883" s="629">
        <v>45636.699803240743</v>
      </c>
      <c r="B883">
        <v>542361075</v>
      </c>
      <c r="C883" t="s">
        <v>277</v>
      </c>
      <c r="D883" t="s">
        <v>257</v>
      </c>
      <c r="E883">
        <v>246</v>
      </c>
      <c r="F883" t="s">
        <v>258</v>
      </c>
    </row>
    <row r="884" spans="1:6" x14ac:dyDescent="0.3">
      <c r="A884" s="629">
        <v>45636.697824074072</v>
      </c>
      <c r="B884">
        <v>542361075</v>
      </c>
      <c r="C884" t="s">
        <v>277</v>
      </c>
      <c r="D884" t="s">
        <v>257</v>
      </c>
      <c r="E884">
        <v>245</v>
      </c>
      <c r="F884" t="s">
        <v>258</v>
      </c>
    </row>
    <row r="885" spans="1:6" x14ac:dyDescent="0.3">
      <c r="A885" s="629">
        <v>45636.69730324074</v>
      </c>
      <c r="B885">
        <v>542361075</v>
      </c>
      <c r="C885" t="s">
        <v>277</v>
      </c>
      <c r="D885" t="s">
        <v>257</v>
      </c>
      <c r="E885">
        <v>34</v>
      </c>
      <c r="F885" t="s">
        <v>258</v>
      </c>
    </row>
    <row r="886" spans="1:6" x14ac:dyDescent="0.3">
      <c r="A886" s="629">
        <v>45636.68136574074</v>
      </c>
      <c r="B886">
        <v>542361075</v>
      </c>
      <c r="C886" t="s">
        <v>277</v>
      </c>
      <c r="D886" t="s">
        <v>257</v>
      </c>
      <c r="E886">
        <v>172</v>
      </c>
      <c r="F886" t="s">
        <v>258</v>
      </c>
    </row>
    <row r="887" spans="1:6" x14ac:dyDescent="0.3">
      <c r="A887" s="629">
        <v>45636.650729166664</v>
      </c>
      <c r="B887">
        <v>542361075</v>
      </c>
      <c r="C887" t="s">
        <v>277</v>
      </c>
      <c r="D887" t="s">
        <v>257</v>
      </c>
      <c r="E887">
        <v>69</v>
      </c>
      <c r="F887" t="s">
        <v>258</v>
      </c>
    </row>
    <row r="888" spans="1:6" x14ac:dyDescent="0.3">
      <c r="A888" s="629">
        <v>45636.648784722223</v>
      </c>
      <c r="B888">
        <v>542361075</v>
      </c>
      <c r="C888" t="s">
        <v>277</v>
      </c>
      <c r="D888" t="s">
        <v>257</v>
      </c>
      <c r="E888">
        <v>226</v>
      </c>
      <c r="F888" t="s">
        <v>258</v>
      </c>
    </row>
    <row r="889" spans="1:6" x14ac:dyDescent="0.3">
      <c r="A889" s="629">
        <v>45636.6483912037</v>
      </c>
      <c r="B889">
        <v>542361075</v>
      </c>
      <c r="C889" t="s">
        <v>277</v>
      </c>
      <c r="D889" t="s">
        <v>257</v>
      </c>
      <c r="E889">
        <v>235</v>
      </c>
      <c r="F889" t="s">
        <v>258</v>
      </c>
    </row>
    <row r="890" spans="1:6" x14ac:dyDescent="0.3">
      <c r="A890" s="629">
        <v>45636.648240740738</v>
      </c>
      <c r="B890">
        <v>542361075</v>
      </c>
      <c r="C890" t="s">
        <v>277</v>
      </c>
      <c r="D890" t="s">
        <v>257</v>
      </c>
      <c r="E890">
        <v>107</v>
      </c>
      <c r="F890" t="s">
        <v>258</v>
      </c>
    </row>
    <row r="891" spans="1:6" x14ac:dyDescent="0.3">
      <c r="A891" s="629">
        <v>45636.647152777776</v>
      </c>
      <c r="B891">
        <v>542361075</v>
      </c>
      <c r="C891" t="s">
        <v>277</v>
      </c>
      <c r="D891" t="s">
        <v>257</v>
      </c>
      <c r="E891">
        <v>111</v>
      </c>
      <c r="F891" t="s">
        <v>258</v>
      </c>
    </row>
    <row r="892" spans="1:6" x14ac:dyDescent="0.3">
      <c r="A892" s="629">
        <v>45636.647118055553</v>
      </c>
      <c r="B892">
        <v>542361075</v>
      </c>
      <c r="C892" t="s">
        <v>277</v>
      </c>
      <c r="D892" t="s">
        <v>257</v>
      </c>
      <c r="E892">
        <v>73</v>
      </c>
      <c r="F892" t="s">
        <v>258</v>
      </c>
    </row>
    <row r="893" spans="1:6" x14ac:dyDescent="0.3">
      <c r="A893" s="629">
        <v>45636.64707175926</v>
      </c>
      <c r="B893">
        <v>542361075</v>
      </c>
      <c r="C893" t="s">
        <v>277</v>
      </c>
      <c r="D893" t="s">
        <v>257</v>
      </c>
      <c r="E893">
        <v>241</v>
      </c>
      <c r="F893" t="s">
        <v>258</v>
      </c>
    </row>
    <row r="894" spans="1:6" x14ac:dyDescent="0.3">
      <c r="A894" s="629">
        <v>45636.646435185183</v>
      </c>
      <c r="B894">
        <v>542361075</v>
      </c>
      <c r="C894" t="s">
        <v>277</v>
      </c>
      <c r="D894" t="s">
        <v>257</v>
      </c>
      <c r="E894">
        <v>230</v>
      </c>
      <c r="F894" t="s">
        <v>258</v>
      </c>
    </row>
    <row r="895" spans="1:6" x14ac:dyDescent="0.3">
      <c r="A895" s="629">
        <v>45636.645289351851</v>
      </c>
      <c r="B895">
        <v>542361075</v>
      </c>
      <c r="C895" t="s">
        <v>277</v>
      </c>
      <c r="D895" t="s">
        <v>257</v>
      </c>
      <c r="E895">
        <v>207</v>
      </c>
      <c r="F895" t="s">
        <v>258</v>
      </c>
    </row>
    <row r="896" spans="1:6" x14ac:dyDescent="0.3">
      <c r="A896" s="629">
        <v>45636.645231481481</v>
      </c>
      <c r="B896">
        <v>542361075</v>
      </c>
      <c r="C896" t="s">
        <v>277</v>
      </c>
      <c r="D896" t="s">
        <v>257</v>
      </c>
      <c r="E896">
        <v>132</v>
      </c>
      <c r="F896" t="s">
        <v>258</v>
      </c>
    </row>
    <row r="897" spans="1:6" x14ac:dyDescent="0.3">
      <c r="A897" s="629">
        <v>45636.645196759258</v>
      </c>
      <c r="B897">
        <v>542361075</v>
      </c>
      <c r="C897" t="s">
        <v>277</v>
      </c>
      <c r="D897" t="s">
        <v>257</v>
      </c>
      <c r="E897">
        <v>232</v>
      </c>
      <c r="F897" t="s">
        <v>258</v>
      </c>
    </row>
    <row r="898" spans="1:6" x14ac:dyDescent="0.3">
      <c r="A898" s="629">
        <v>45636.627511574072</v>
      </c>
      <c r="B898">
        <v>542361075</v>
      </c>
      <c r="C898" t="s">
        <v>277</v>
      </c>
      <c r="D898" t="s">
        <v>257</v>
      </c>
      <c r="E898">
        <v>217</v>
      </c>
      <c r="F898" t="s">
        <v>258</v>
      </c>
    </row>
    <row r="899" spans="1:6" x14ac:dyDescent="0.3">
      <c r="A899" s="629">
        <v>45636.571099537039</v>
      </c>
      <c r="B899">
        <v>542361075</v>
      </c>
      <c r="C899" t="s">
        <v>277</v>
      </c>
      <c r="D899" t="s">
        <v>257</v>
      </c>
      <c r="E899">
        <v>9</v>
      </c>
      <c r="F899" t="s">
        <v>258</v>
      </c>
    </row>
    <row r="900" spans="1:6" x14ac:dyDescent="0.3">
      <c r="A900" s="629">
        <v>45636.571064814816</v>
      </c>
      <c r="B900">
        <v>542361075</v>
      </c>
      <c r="C900" t="s">
        <v>277</v>
      </c>
      <c r="D900" t="s">
        <v>257</v>
      </c>
      <c r="E900">
        <v>28</v>
      </c>
      <c r="F900" t="s">
        <v>258</v>
      </c>
    </row>
    <row r="901" spans="1:6" x14ac:dyDescent="0.3">
      <c r="A901" s="629">
        <v>45636.548796296294</v>
      </c>
      <c r="B901">
        <v>542361075</v>
      </c>
      <c r="C901" t="s">
        <v>277</v>
      </c>
      <c r="D901" t="s">
        <v>257</v>
      </c>
      <c r="E901">
        <v>19</v>
      </c>
      <c r="F901" t="s">
        <v>258</v>
      </c>
    </row>
    <row r="902" spans="1:6" x14ac:dyDescent="0.3">
      <c r="A902" s="629">
        <v>45636.548495370371</v>
      </c>
      <c r="B902">
        <v>542361075</v>
      </c>
      <c r="C902" t="s">
        <v>277</v>
      </c>
      <c r="D902" t="s">
        <v>257</v>
      </c>
      <c r="E902">
        <v>9</v>
      </c>
      <c r="F902" t="s">
        <v>258</v>
      </c>
    </row>
    <row r="903" spans="1:6" x14ac:dyDescent="0.3">
      <c r="A903" s="629">
        <v>45636.547673611109</v>
      </c>
      <c r="B903">
        <v>542361075</v>
      </c>
      <c r="C903" t="s">
        <v>277</v>
      </c>
      <c r="D903" t="s">
        <v>257</v>
      </c>
      <c r="E903">
        <v>28</v>
      </c>
      <c r="F903" t="s">
        <v>258</v>
      </c>
    </row>
    <row r="904" spans="1:6" x14ac:dyDescent="0.3">
      <c r="A904" s="629">
        <v>45636.529872685183</v>
      </c>
      <c r="B904">
        <v>542361075</v>
      </c>
      <c r="C904" t="s">
        <v>277</v>
      </c>
      <c r="D904" t="s">
        <v>257</v>
      </c>
      <c r="E904">
        <v>32</v>
      </c>
      <c r="F904" t="s">
        <v>258</v>
      </c>
    </row>
    <row r="905" spans="1:6" x14ac:dyDescent="0.3">
      <c r="A905" s="629">
        <v>45636.52921296296</v>
      </c>
      <c r="B905">
        <v>542361075</v>
      </c>
      <c r="C905" t="s">
        <v>277</v>
      </c>
      <c r="D905" t="s">
        <v>257</v>
      </c>
      <c r="E905">
        <v>246</v>
      </c>
      <c r="F905" t="s">
        <v>258</v>
      </c>
    </row>
    <row r="906" spans="1:6" x14ac:dyDescent="0.3">
      <c r="A906" s="629">
        <v>45636.529166666667</v>
      </c>
      <c r="B906">
        <v>542361075</v>
      </c>
      <c r="C906" t="s">
        <v>277</v>
      </c>
      <c r="D906" t="s">
        <v>257</v>
      </c>
      <c r="E906">
        <v>216</v>
      </c>
      <c r="F906" t="s">
        <v>258</v>
      </c>
    </row>
    <row r="907" spans="1:6" x14ac:dyDescent="0.3">
      <c r="A907" s="629">
        <v>45636.528946759259</v>
      </c>
      <c r="B907">
        <v>542361075</v>
      </c>
      <c r="C907" t="s">
        <v>277</v>
      </c>
      <c r="D907" t="s">
        <v>257</v>
      </c>
      <c r="E907">
        <v>245</v>
      </c>
      <c r="F907" t="s">
        <v>258</v>
      </c>
    </row>
    <row r="908" spans="1:6" x14ac:dyDescent="0.3">
      <c r="A908" s="629">
        <v>45636.527326388888</v>
      </c>
      <c r="B908">
        <v>542361075</v>
      </c>
      <c r="C908" t="s">
        <v>277</v>
      </c>
      <c r="D908" t="s">
        <v>257</v>
      </c>
      <c r="E908">
        <v>59</v>
      </c>
      <c r="F908" t="s">
        <v>258</v>
      </c>
    </row>
    <row r="909" spans="1:6" x14ac:dyDescent="0.3">
      <c r="A909" s="629">
        <v>45636.516041666669</v>
      </c>
      <c r="B909">
        <v>542361075</v>
      </c>
      <c r="C909" t="s">
        <v>277</v>
      </c>
      <c r="D909" t="s">
        <v>257</v>
      </c>
      <c r="E909">
        <v>241</v>
      </c>
      <c r="F909" t="s">
        <v>258</v>
      </c>
    </row>
    <row r="910" spans="1:6" x14ac:dyDescent="0.3">
      <c r="A910" s="629">
        <v>45636.515162037038</v>
      </c>
      <c r="B910">
        <v>542361075</v>
      </c>
      <c r="C910" t="s">
        <v>277</v>
      </c>
      <c r="D910" t="s">
        <v>257</v>
      </c>
      <c r="E910">
        <v>12</v>
      </c>
      <c r="F910" t="s">
        <v>258</v>
      </c>
    </row>
    <row r="911" spans="1:6" x14ac:dyDescent="0.3">
      <c r="A911" s="629">
        <v>45636.50540509259</v>
      </c>
      <c r="B911">
        <v>542361075</v>
      </c>
      <c r="C911" t="s">
        <v>277</v>
      </c>
      <c r="D911" t="s">
        <v>257</v>
      </c>
      <c r="E911">
        <v>241</v>
      </c>
      <c r="F911" t="s">
        <v>258</v>
      </c>
    </row>
    <row r="912" spans="1:6" x14ac:dyDescent="0.3">
      <c r="A912" s="629">
        <v>45636.501446759263</v>
      </c>
      <c r="B912">
        <v>542361075</v>
      </c>
      <c r="C912" t="s">
        <v>277</v>
      </c>
      <c r="D912" t="s">
        <v>257</v>
      </c>
      <c r="E912">
        <v>12</v>
      </c>
      <c r="F912" t="s">
        <v>258</v>
      </c>
    </row>
    <row r="913" spans="1:6" x14ac:dyDescent="0.3">
      <c r="A913" s="629">
        <v>45636.500162037039</v>
      </c>
      <c r="B913">
        <v>542361075</v>
      </c>
      <c r="C913" t="s">
        <v>277</v>
      </c>
      <c r="D913" t="s">
        <v>257</v>
      </c>
      <c r="E913">
        <v>245</v>
      </c>
      <c r="F913" t="s">
        <v>258</v>
      </c>
    </row>
    <row r="914" spans="1:6" x14ac:dyDescent="0.3">
      <c r="A914" s="629">
        <v>45636.500115740739</v>
      </c>
      <c r="B914">
        <v>542361075</v>
      </c>
      <c r="C914" t="s">
        <v>277</v>
      </c>
      <c r="D914" t="s">
        <v>257</v>
      </c>
      <c r="E914">
        <v>216</v>
      </c>
      <c r="F914" t="s">
        <v>258</v>
      </c>
    </row>
    <row r="915" spans="1:6" x14ac:dyDescent="0.3">
      <c r="A915" s="629">
        <v>45636.500069444446</v>
      </c>
      <c r="B915">
        <v>542361075</v>
      </c>
      <c r="C915" t="s">
        <v>277</v>
      </c>
      <c r="D915" t="s">
        <v>257</v>
      </c>
      <c r="E915">
        <v>246</v>
      </c>
      <c r="F915" t="s">
        <v>258</v>
      </c>
    </row>
    <row r="916" spans="1:6" x14ac:dyDescent="0.3">
      <c r="A916" s="629">
        <v>45636.499409722222</v>
      </c>
      <c r="B916">
        <v>542361075</v>
      </c>
      <c r="C916" t="s">
        <v>277</v>
      </c>
      <c r="D916" t="s">
        <v>257</v>
      </c>
      <c r="E916">
        <v>237</v>
      </c>
      <c r="F916" t="s">
        <v>258</v>
      </c>
    </row>
    <row r="917" spans="1:6" x14ac:dyDescent="0.3">
      <c r="A917" s="629">
        <v>45636.4924537037</v>
      </c>
      <c r="B917">
        <v>542361075</v>
      </c>
      <c r="C917" t="s">
        <v>277</v>
      </c>
      <c r="D917" t="s">
        <v>257</v>
      </c>
      <c r="E917">
        <v>141</v>
      </c>
      <c r="F917" t="s">
        <v>258</v>
      </c>
    </row>
    <row r="918" spans="1:6" x14ac:dyDescent="0.3">
      <c r="A918" s="629">
        <v>45636.492418981485</v>
      </c>
      <c r="B918">
        <v>542361075</v>
      </c>
      <c r="C918" t="s">
        <v>277</v>
      </c>
      <c r="D918" t="s">
        <v>257</v>
      </c>
      <c r="E918">
        <v>39</v>
      </c>
      <c r="F918" t="s">
        <v>258</v>
      </c>
    </row>
    <row r="919" spans="1:6" x14ac:dyDescent="0.3">
      <c r="A919" s="629">
        <v>45636.492384259262</v>
      </c>
      <c r="B919">
        <v>542361075</v>
      </c>
      <c r="C919" t="s">
        <v>277</v>
      </c>
      <c r="D919" t="s">
        <v>257</v>
      </c>
      <c r="E919">
        <v>166</v>
      </c>
      <c r="F919" t="s">
        <v>258</v>
      </c>
    </row>
    <row r="920" spans="1:6" x14ac:dyDescent="0.3">
      <c r="A920" s="629">
        <v>45636.490798611114</v>
      </c>
      <c r="B920">
        <v>542361075</v>
      </c>
      <c r="C920" t="s">
        <v>277</v>
      </c>
      <c r="D920" t="s">
        <v>257</v>
      </c>
      <c r="E920">
        <v>2</v>
      </c>
      <c r="F920" t="s">
        <v>258</v>
      </c>
    </row>
    <row r="921" spans="1:6" x14ac:dyDescent="0.3">
      <c r="A921" s="629">
        <v>45636.490752314814</v>
      </c>
      <c r="B921">
        <v>542361075</v>
      </c>
      <c r="C921" t="s">
        <v>277</v>
      </c>
      <c r="D921" t="s">
        <v>257</v>
      </c>
      <c r="E921">
        <v>6</v>
      </c>
      <c r="F921" t="s">
        <v>258</v>
      </c>
    </row>
    <row r="922" spans="1:6" x14ac:dyDescent="0.3">
      <c r="A922" s="629">
        <v>45636.490682870368</v>
      </c>
      <c r="B922">
        <v>542361075</v>
      </c>
      <c r="C922" t="s">
        <v>277</v>
      </c>
      <c r="D922" t="s">
        <v>257</v>
      </c>
      <c r="E922">
        <v>26</v>
      </c>
      <c r="F922" t="s">
        <v>258</v>
      </c>
    </row>
    <row r="923" spans="1:6" x14ac:dyDescent="0.3">
      <c r="A923" s="629">
        <v>45636.479537037034</v>
      </c>
      <c r="B923">
        <v>542361075</v>
      </c>
      <c r="C923" t="s">
        <v>277</v>
      </c>
      <c r="D923" t="s">
        <v>257</v>
      </c>
      <c r="E923">
        <v>237</v>
      </c>
      <c r="F923" t="s">
        <v>258</v>
      </c>
    </row>
    <row r="924" spans="1:6" x14ac:dyDescent="0.3">
      <c r="A924" s="629">
        <v>45636.478668981479</v>
      </c>
      <c r="B924">
        <v>542361075</v>
      </c>
      <c r="C924" t="s">
        <v>277</v>
      </c>
      <c r="D924" t="s">
        <v>257</v>
      </c>
      <c r="E924">
        <v>220</v>
      </c>
      <c r="F924" t="s">
        <v>258</v>
      </c>
    </row>
    <row r="925" spans="1:6" x14ac:dyDescent="0.3">
      <c r="A925" s="629">
        <v>45636.478344907409</v>
      </c>
      <c r="B925">
        <v>542361075</v>
      </c>
      <c r="C925" t="s">
        <v>277</v>
      </c>
      <c r="D925" t="s">
        <v>257</v>
      </c>
      <c r="E925">
        <v>146</v>
      </c>
      <c r="F925" t="s">
        <v>258</v>
      </c>
    </row>
    <row r="926" spans="1:6" x14ac:dyDescent="0.3">
      <c r="A926" s="629">
        <v>45636.464097222219</v>
      </c>
      <c r="B926">
        <v>542361075</v>
      </c>
      <c r="C926" t="s">
        <v>277</v>
      </c>
      <c r="D926" t="s">
        <v>257</v>
      </c>
      <c r="E926">
        <v>2</v>
      </c>
      <c r="F926" t="s">
        <v>258</v>
      </c>
    </row>
    <row r="927" spans="1:6" x14ac:dyDescent="0.3">
      <c r="A927" s="629">
        <v>45636.464050925926</v>
      </c>
      <c r="B927">
        <v>542361075</v>
      </c>
      <c r="C927" t="s">
        <v>277</v>
      </c>
      <c r="D927" t="s">
        <v>257</v>
      </c>
      <c r="E927">
        <v>26</v>
      </c>
      <c r="F927" t="s">
        <v>258</v>
      </c>
    </row>
    <row r="928" spans="1:6" x14ac:dyDescent="0.3">
      <c r="A928" s="629">
        <v>45636.463634259257</v>
      </c>
      <c r="B928">
        <v>542361075</v>
      </c>
      <c r="C928" t="s">
        <v>277</v>
      </c>
      <c r="D928" t="s">
        <v>257</v>
      </c>
      <c r="E928">
        <v>146</v>
      </c>
      <c r="F928" t="s">
        <v>258</v>
      </c>
    </row>
    <row r="929" spans="1:6" x14ac:dyDescent="0.3">
      <c r="A929" s="629">
        <v>45636.463252314818</v>
      </c>
      <c r="B929">
        <v>542361075</v>
      </c>
      <c r="C929" t="s">
        <v>277</v>
      </c>
      <c r="D929" t="s">
        <v>257</v>
      </c>
      <c r="E929">
        <v>95</v>
      </c>
      <c r="F929" t="s">
        <v>258</v>
      </c>
    </row>
    <row r="930" spans="1:6" x14ac:dyDescent="0.3">
      <c r="A930" s="629">
        <v>45636.461562500001</v>
      </c>
      <c r="B930">
        <v>542361075</v>
      </c>
      <c r="C930" t="s">
        <v>277</v>
      </c>
      <c r="D930" t="s">
        <v>257</v>
      </c>
      <c r="E930">
        <v>6</v>
      </c>
      <c r="F930" t="s">
        <v>258</v>
      </c>
    </row>
    <row r="931" spans="1:6" x14ac:dyDescent="0.3">
      <c r="A931" s="629">
        <v>45636.460590277777</v>
      </c>
      <c r="B931">
        <v>542361075</v>
      </c>
      <c r="C931" t="s">
        <v>277</v>
      </c>
      <c r="D931" t="s">
        <v>257</v>
      </c>
      <c r="E931">
        <v>169</v>
      </c>
      <c r="F931" t="s">
        <v>258</v>
      </c>
    </row>
    <row r="932" spans="1:6" x14ac:dyDescent="0.3">
      <c r="A932" s="629">
        <v>45636.459803240738</v>
      </c>
      <c r="B932">
        <v>542361075</v>
      </c>
      <c r="C932" t="s">
        <v>277</v>
      </c>
      <c r="D932" t="s">
        <v>257</v>
      </c>
      <c r="E932">
        <v>212</v>
      </c>
      <c r="F932" t="s">
        <v>258</v>
      </c>
    </row>
    <row r="933" spans="1:6" x14ac:dyDescent="0.3">
      <c r="A933" s="629">
        <v>45636.459062499998</v>
      </c>
      <c r="B933">
        <v>542361075</v>
      </c>
      <c r="C933" t="s">
        <v>277</v>
      </c>
      <c r="D933" t="s">
        <v>257</v>
      </c>
      <c r="E933">
        <v>166</v>
      </c>
      <c r="F933" t="s">
        <v>258</v>
      </c>
    </row>
    <row r="934" spans="1:6" x14ac:dyDescent="0.3">
      <c r="A934" s="629">
        <v>45636.458981481483</v>
      </c>
      <c r="B934">
        <v>542361075</v>
      </c>
      <c r="C934" t="s">
        <v>277</v>
      </c>
      <c r="D934" t="s">
        <v>257</v>
      </c>
      <c r="E934">
        <v>141</v>
      </c>
      <c r="F934" t="s">
        <v>258</v>
      </c>
    </row>
    <row r="935" spans="1:6" x14ac:dyDescent="0.3">
      <c r="A935" s="629">
        <v>45636.45894675926</v>
      </c>
      <c r="B935">
        <v>542361075</v>
      </c>
      <c r="C935" t="s">
        <v>277</v>
      </c>
      <c r="D935" t="s">
        <v>257</v>
      </c>
      <c r="E935">
        <v>39</v>
      </c>
      <c r="F935" t="s">
        <v>258</v>
      </c>
    </row>
    <row r="936" spans="1:6" x14ac:dyDescent="0.3">
      <c r="A936" s="629">
        <v>45636.458252314813</v>
      </c>
      <c r="B936">
        <v>542361075</v>
      </c>
      <c r="C936" t="s">
        <v>277</v>
      </c>
      <c r="D936" t="s">
        <v>257</v>
      </c>
      <c r="E936">
        <v>236</v>
      </c>
      <c r="F936" t="s">
        <v>258</v>
      </c>
    </row>
    <row r="937" spans="1:6" x14ac:dyDescent="0.3">
      <c r="A937" s="629">
        <v>45636.457199074073</v>
      </c>
      <c r="B937">
        <v>542361075</v>
      </c>
      <c r="C937" t="s">
        <v>277</v>
      </c>
      <c r="D937" t="s">
        <v>257</v>
      </c>
      <c r="E937">
        <v>220</v>
      </c>
      <c r="F937" t="s">
        <v>258</v>
      </c>
    </row>
    <row r="938" spans="1:6" x14ac:dyDescent="0.3">
      <c r="A938" s="629">
        <v>45636.441400462965</v>
      </c>
      <c r="B938">
        <v>542361075</v>
      </c>
      <c r="C938" t="s">
        <v>277</v>
      </c>
      <c r="D938" t="s">
        <v>257</v>
      </c>
      <c r="E938">
        <v>169</v>
      </c>
      <c r="F938" t="s">
        <v>258</v>
      </c>
    </row>
    <row r="939" spans="1:6" x14ac:dyDescent="0.3">
      <c r="A939" s="629">
        <v>45636.441250000003</v>
      </c>
      <c r="B939">
        <v>542361075</v>
      </c>
      <c r="C939" t="s">
        <v>277</v>
      </c>
      <c r="D939" t="s">
        <v>257</v>
      </c>
      <c r="E939">
        <v>212</v>
      </c>
      <c r="F939" t="s">
        <v>258</v>
      </c>
    </row>
    <row r="940" spans="1:6" x14ac:dyDescent="0.3">
      <c r="A940" s="629">
        <v>45636.440381944441</v>
      </c>
      <c r="B940">
        <v>542361075</v>
      </c>
      <c r="C940" t="s">
        <v>277</v>
      </c>
      <c r="D940" t="s">
        <v>257</v>
      </c>
      <c r="E940">
        <v>236</v>
      </c>
      <c r="F940" t="s">
        <v>258</v>
      </c>
    </row>
    <row r="941" spans="1:6" x14ac:dyDescent="0.3">
      <c r="A941" s="629">
        <v>45636.439745370371</v>
      </c>
      <c r="B941">
        <v>542361075</v>
      </c>
      <c r="C941" t="s">
        <v>277</v>
      </c>
      <c r="D941" t="s">
        <v>257</v>
      </c>
      <c r="E941">
        <v>116</v>
      </c>
      <c r="F941" t="s">
        <v>258</v>
      </c>
    </row>
    <row r="942" spans="1:6" x14ac:dyDescent="0.3">
      <c r="A942" s="629">
        <v>45636.439710648148</v>
      </c>
      <c r="B942">
        <v>542361075</v>
      </c>
      <c r="C942" t="s">
        <v>277</v>
      </c>
      <c r="D942" t="s">
        <v>257</v>
      </c>
      <c r="E942">
        <v>222</v>
      </c>
      <c r="F942" t="s">
        <v>258</v>
      </c>
    </row>
    <row r="943" spans="1:6" x14ac:dyDescent="0.3">
      <c r="A943" s="629">
        <v>45636.439675925925</v>
      </c>
      <c r="B943">
        <v>542361075</v>
      </c>
      <c r="C943" t="s">
        <v>277</v>
      </c>
      <c r="D943" t="s">
        <v>257</v>
      </c>
      <c r="E943">
        <v>217</v>
      </c>
      <c r="F943" t="s">
        <v>258</v>
      </c>
    </row>
    <row r="944" spans="1:6" x14ac:dyDescent="0.3">
      <c r="A944" s="629">
        <v>45636.438402777778</v>
      </c>
      <c r="B944">
        <v>542361075</v>
      </c>
      <c r="C944" t="s">
        <v>277</v>
      </c>
      <c r="D944" t="s">
        <v>257</v>
      </c>
      <c r="E944">
        <v>234</v>
      </c>
      <c r="F944" t="s">
        <v>258</v>
      </c>
    </row>
    <row r="945" spans="1:6" x14ac:dyDescent="0.3">
      <c r="A945" s="629">
        <v>45636.426215277781</v>
      </c>
      <c r="B945">
        <v>542361075</v>
      </c>
      <c r="C945" t="s">
        <v>277</v>
      </c>
      <c r="D945" t="s">
        <v>257</v>
      </c>
      <c r="E945">
        <v>205</v>
      </c>
      <c r="F945" t="s">
        <v>258</v>
      </c>
    </row>
    <row r="946" spans="1:6" x14ac:dyDescent="0.3">
      <c r="A946" s="629">
        <v>45636.417719907404</v>
      </c>
      <c r="B946">
        <v>542361075</v>
      </c>
      <c r="C946" t="s">
        <v>277</v>
      </c>
      <c r="D946" t="s">
        <v>257</v>
      </c>
      <c r="E946">
        <v>222</v>
      </c>
      <c r="F946" t="s">
        <v>258</v>
      </c>
    </row>
    <row r="947" spans="1:6" x14ac:dyDescent="0.3">
      <c r="A947" s="629">
        <v>45636.41741898148</v>
      </c>
      <c r="B947">
        <v>542361075</v>
      </c>
      <c r="C947" t="s">
        <v>277</v>
      </c>
      <c r="D947" t="s">
        <v>257</v>
      </c>
      <c r="E947">
        <v>217</v>
      </c>
      <c r="F947" t="s">
        <v>258</v>
      </c>
    </row>
    <row r="948" spans="1:6" x14ac:dyDescent="0.3">
      <c r="A948" s="629">
        <v>45636.417372685188</v>
      </c>
      <c r="B948">
        <v>542361075</v>
      </c>
      <c r="C948" t="s">
        <v>277</v>
      </c>
      <c r="D948" t="s">
        <v>257</v>
      </c>
      <c r="E948">
        <v>116</v>
      </c>
      <c r="F948" t="s">
        <v>258</v>
      </c>
    </row>
    <row r="949" spans="1:6" x14ac:dyDescent="0.3">
      <c r="A949" s="629">
        <v>45636.416701388887</v>
      </c>
      <c r="B949">
        <v>542361075</v>
      </c>
      <c r="C949" t="s">
        <v>277</v>
      </c>
      <c r="D949" t="s">
        <v>257</v>
      </c>
      <c r="E949">
        <v>234</v>
      </c>
      <c r="F949" t="s">
        <v>258</v>
      </c>
    </row>
    <row r="950" spans="1:6" x14ac:dyDescent="0.3">
      <c r="A950" s="629">
        <v>45636.356527777774</v>
      </c>
      <c r="B950">
        <v>542361075</v>
      </c>
      <c r="C950" t="s">
        <v>277</v>
      </c>
      <c r="D950" t="s">
        <v>257</v>
      </c>
      <c r="E950">
        <v>97</v>
      </c>
      <c r="F950" t="s">
        <v>258</v>
      </c>
    </row>
    <row r="951" spans="1:6" x14ac:dyDescent="0.3">
      <c r="A951" s="629">
        <v>45636.336423611108</v>
      </c>
      <c r="B951">
        <v>542361075</v>
      </c>
      <c r="C951" t="s">
        <v>277</v>
      </c>
      <c r="D951" t="s">
        <v>257</v>
      </c>
      <c r="E951">
        <v>82497</v>
      </c>
      <c r="F951" t="s">
        <v>258</v>
      </c>
    </row>
    <row r="952" spans="1:6" x14ac:dyDescent="0.3">
      <c r="A952" s="629">
        <v>45636.332789351851</v>
      </c>
      <c r="B952">
        <v>542361075</v>
      </c>
      <c r="C952" t="s">
        <v>277</v>
      </c>
      <c r="D952" t="s">
        <v>257</v>
      </c>
      <c r="E952">
        <v>34</v>
      </c>
      <c r="F952" t="s">
        <v>258</v>
      </c>
    </row>
    <row r="953" spans="1:6" x14ac:dyDescent="0.3">
      <c r="A953" s="629">
        <v>45636.331724537034</v>
      </c>
      <c r="B953">
        <v>542361075</v>
      </c>
      <c r="C953" t="s">
        <v>277</v>
      </c>
      <c r="F953" t="s">
        <v>455</v>
      </c>
    </row>
    <row r="954" spans="1:6" x14ac:dyDescent="0.3">
      <c r="A954" s="629">
        <v>45636.330266203702</v>
      </c>
      <c r="B954">
        <v>542361075</v>
      </c>
      <c r="C954" t="s">
        <v>277</v>
      </c>
      <c r="D954" t="s">
        <v>257</v>
      </c>
      <c r="E954">
        <v>41</v>
      </c>
      <c r="F954" t="s">
        <v>258</v>
      </c>
    </row>
    <row r="955" spans="1:6" x14ac:dyDescent="0.3">
      <c r="A955" s="629">
        <v>45636.330057870371</v>
      </c>
      <c r="B955">
        <v>542361075</v>
      </c>
      <c r="C955" t="s">
        <v>277</v>
      </c>
      <c r="D955" t="s">
        <v>257</v>
      </c>
      <c r="E955">
        <v>35</v>
      </c>
      <c r="F955" t="s">
        <v>258</v>
      </c>
    </row>
    <row r="956" spans="1:6" x14ac:dyDescent="0.3">
      <c r="A956" s="629">
        <v>45636.330023148148</v>
      </c>
      <c r="B956">
        <v>542361075</v>
      </c>
      <c r="C956" t="s">
        <v>277</v>
      </c>
      <c r="D956" t="s">
        <v>257</v>
      </c>
      <c r="E956">
        <v>35</v>
      </c>
      <c r="F956" t="s">
        <v>258</v>
      </c>
    </row>
    <row r="957" spans="1:6" x14ac:dyDescent="0.3">
      <c r="A957" s="629">
        <v>45636.321342592593</v>
      </c>
      <c r="B957">
        <v>542361075</v>
      </c>
      <c r="C957" t="s">
        <v>277</v>
      </c>
      <c r="D957" t="s">
        <v>257</v>
      </c>
      <c r="E957">
        <v>236</v>
      </c>
      <c r="F957" t="s">
        <v>258</v>
      </c>
    </row>
    <row r="958" spans="1:6" x14ac:dyDescent="0.3">
      <c r="A958" s="629">
        <v>45636.320925925924</v>
      </c>
      <c r="B958">
        <v>542361075</v>
      </c>
      <c r="C958" t="s">
        <v>277</v>
      </c>
      <c r="D958" t="s">
        <v>257</v>
      </c>
      <c r="E958">
        <v>58</v>
      </c>
      <c r="F958" t="s">
        <v>258</v>
      </c>
    </row>
    <row r="959" spans="1:6" x14ac:dyDescent="0.3">
      <c r="A959" s="629">
        <v>45636.320115740738</v>
      </c>
      <c r="B959">
        <v>542361075</v>
      </c>
      <c r="C959" t="s">
        <v>277</v>
      </c>
      <c r="D959" t="s">
        <v>257</v>
      </c>
      <c r="E959">
        <v>89</v>
      </c>
      <c r="F959" t="s">
        <v>258</v>
      </c>
    </row>
    <row r="960" spans="1:6" x14ac:dyDescent="0.3">
      <c r="A960" s="629">
        <v>45636.319467592592</v>
      </c>
      <c r="B960">
        <v>542361075</v>
      </c>
      <c r="C960" t="s">
        <v>277</v>
      </c>
      <c r="D960" t="s">
        <v>257</v>
      </c>
      <c r="E960">
        <v>30</v>
      </c>
      <c r="F960" t="s">
        <v>258</v>
      </c>
    </row>
    <row r="961" spans="1:6" x14ac:dyDescent="0.3">
      <c r="A961" s="629">
        <v>45636.319432870368</v>
      </c>
      <c r="B961">
        <v>542361075</v>
      </c>
      <c r="C961" t="s">
        <v>277</v>
      </c>
      <c r="D961" t="s">
        <v>257</v>
      </c>
      <c r="E961">
        <v>63</v>
      </c>
      <c r="F961" t="s">
        <v>258</v>
      </c>
    </row>
    <row r="962" spans="1:6" x14ac:dyDescent="0.3">
      <c r="A962" s="629">
        <v>45636.319386574076</v>
      </c>
      <c r="B962">
        <v>542361075</v>
      </c>
      <c r="C962" t="s">
        <v>277</v>
      </c>
      <c r="D962" t="s">
        <v>257</v>
      </c>
      <c r="E962">
        <v>94</v>
      </c>
      <c r="F962" t="s">
        <v>258</v>
      </c>
    </row>
    <row r="963" spans="1:6" x14ac:dyDescent="0.3">
      <c r="A963" s="629">
        <v>45636.319340277776</v>
      </c>
      <c r="B963">
        <v>542361075</v>
      </c>
      <c r="C963" t="s">
        <v>277</v>
      </c>
      <c r="D963" t="s">
        <v>257</v>
      </c>
      <c r="E963">
        <v>45</v>
      </c>
      <c r="F963" t="s">
        <v>258</v>
      </c>
    </row>
    <row r="964" spans="1:6" x14ac:dyDescent="0.3">
      <c r="A964" s="629">
        <v>45636.317962962959</v>
      </c>
      <c r="B964">
        <v>542361075</v>
      </c>
      <c r="C964" t="s">
        <v>277</v>
      </c>
      <c r="D964" t="s">
        <v>257</v>
      </c>
      <c r="E964">
        <v>222</v>
      </c>
      <c r="F964" t="s">
        <v>258</v>
      </c>
    </row>
    <row r="965" spans="1:6" x14ac:dyDescent="0.3">
      <c r="A965" s="629">
        <v>45636.317164351851</v>
      </c>
      <c r="B965">
        <v>542361075</v>
      </c>
      <c r="C965" t="s">
        <v>277</v>
      </c>
      <c r="D965" t="s">
        <v>257</v>
      </c>
      <c r="E965">
        <v>205</v>
      </c>
      <c r="F965" t="s">
        <v>258</v>
      </c>
    </row>
    <row r="966" spans="1:6" x14ac:dyDescent="0.3">
      <c r="A966" s="629">
        <v>45636.317060185182</v>
      </c>
      <c r="B966">
        <v>542361075</v>
      </c>
      <c r="C966" t="s">
        <v>277</v>
      </c>
      <c r="D966" t="s">
        <v>257</v>
      </c>
      <c r="E966">
        <v>210</v>
      </c>
      <c r="F966" t="s">
        <v>258</v>
      </c>
    </row>
    <row r="967" spans="1:6" x14ac:dyDescent="0.3">
      <c r="A967" s="629">
        <v>45636.316724537035</v>
      </c>
      <c r="B967">
        <v>542361075</v>
      </c>
      <c r="C967" t="s">
        <v>277</v>
      </c>
      <c r="D967" t="s">
        <v>257</v>
      </c>
      <c r="E967">
        <v>116</v>
      </c>
      <c r="F967" t="s">
        <v>258</v>
      </c>
    </row>
    <row r="968" spans="1:6" x14ac:dyDescent="0.3">
      <c r="A968" s="629">
        <v>45636.316678240742</v>
      </c>
      <c r="B968">
        <v>542361075</v>
      </c>
      <c r="C968" t="s">
        <v>277</v>
      </c>
      <c r="D968" t="s">
        <v>257</v>
      </c>
      <c r="E968">
        <v>169</v>
      </c>
      <c r="F968" t="s">
        <v>258</v>
      </c>
    </row>
    <row r="969" spans="1:6" x14ac:dyDescent="0.3">
      <c r="A969" s="629">
        <v>45636.316493055558</v>
      </c>
      <c r="B969">
        <v>542361075</v>
      </c>
      <c r="C969" t="s">
        <v>277</v>
      </c>
      <c r="D969" t="s">
        <v>257</v>
      </c>
      <c r="E969">
        <v>247</v>
      </c>
      <c r="F969" t="s">
        <v>258</v>
      </c>
    </row>
    <row r="970" spans="1:6" x14ac:dyDescent="0.3">
      <c r="A970" s="629">
        <v>45636.31627314815</v>
      </c>
      <c r="B970">
        <v>542361075</v>
      </c>
      <c r="C970" t="s">
        <v>277</v>
      </c>
      <c r="D970" t="s">
        <v>257</v>
      </c>
      <c r="E970">
        <v>33</v>
      </c>
      <c r="F970" t="s">
        <v>258</v>
      </c>
    </row>
    <row r="971" spans="1:6" x14ac:dyDescent="0.3">
      <c r="A971" s="629">
        <v>45636.316192129627</v>
      </c>
      <c r="B971">
        <v>542361075</v>
      </c>
      <c r="C971" t="s">
        <v>277</v>
      </c>
      <c r="D971" t="s">
        <v>257</v>
      </c>
      <c r="E971">
        <v>37</v>
      </c>
      <c r="F971" t="s">
        <v>258</v>
      </c>
    </row>
    <row r="972" spans="1:6" x14ac:dyDescent="0.3">
      <c r="A972" s="629">
        <v>45636.316030092596</v>
      </c>
      <c r="B972">
        <v>542361075</v>
      </c>
      <c r="C972" t="s">
        <v>277</v>
      </c>
      <c r="D972" t="s">
        <v>257</v>
      </c>
      <c r="E972">
        <v>246</v>
      </c>
      <c r="F972" t="s">
        <v>258</v>
      </c>
    </row>
    <row r="973" spans="1:6" x14ac:dyDescent="0.3">
      <c r="A973" s="629">
        <v>45636.31523148148</v>
      </c>
      <c r="B973">
        <v>542361075</v>
      </c>
      <c r="C973" t="s">
        <v>277</v>
      </c>
      <c r="D973" t="s">
        <v>257</v>
      </c>
      <c r="E973">
        <v>6</v>
      </c>
      <c r="F973" t="s">
        <v>258</v>
      </c>
    </row>
    <row r="974" spans="1:6" x14ac:dyDescent="0.3">
      <c r="A974" s="629">
        <v>45636.315185185187</v>
      </c>
      <c r="B974">
        <v>542361075</v>
      </c>
      <c r="C974" t="s">
        <v>277</v>
      </c>
      <c r="D974" t="s">
        <v>257</v>
      </c>
      <c r="E974">
        <v>91</v>
      </c>
      <c r="F974" t="s">
        <v>258</v>
      </c>
    </row>
    <row r="975" spans="1:6" x14ac:dyDescent="0.3">
      <c r="A975" s="629">
        <v>45636.315000000002</v>
      </c>
      <c r="B975">
        <v>542361075</v>
      </c>
      <c r="C975" t="s">
        <v>277</v>
      </c>
      <c r="D975" t="s">
        <v>257</v>
      </c>
      <c r="E975">
        <v>135</v>
      </c>
      <c r="F975" t="s">
        <v>258</v>
      </c>
    </row>
    <row r="976" spans="1:6" x14ac:dyDescent="0.3">
      <c r="A976" s="629">
        <v>45636.314826388887</v>
      </c>
      <c r="B976">
        <v>542361075</v>
      </c>
      <c r="C976" t="s">
        <v>277</v>
      </c>
      <c r="D976" t="s">
        <v>257</v>
      </c>
      <c r="E976">
        <v>75</v>
      </c>
      <c r="F976" t="s">
        <v>258</v>
      </c>
    </row>
    <row r="977" spans="1:6" x14ac:dyDescent="0.3">
      <c r="A977" s="629">
        <v>45636.314467592594</v>
      </c>
      <c r="B977">
        <v>542361075</v>
      </c>
      <c r="C977" t="s">
        <v>277</v>
      </c>
      <c r="D977" t="s">
        <v>257</v>
      </c>
      <c r="E977">
        <v>27</v>
      </c>
      <c r="F977" t="s">
        <v>258</v>
      </c>
    </row>
    <row r="978" spans="1:6" x14ac:dyDescent="0.3">
      <c r="A978" s="629">
        <v>45636.314340277779</v>
      </c>
      <c r="B978">
        <v>542361075</v>
      </c>
      <c r="C978" t="s">
        <v>277</v>
      </c>
      <c r="D978" t="s">
        <v>257</v>
      </c>
      <c r="E978">
        <v>227</v>
      </c>
      <c r="F978" t="s">
        <v>258</v>
      </c>
    </row>
    <row r="979" spans="1:6" x14ac:dyDescent="0.3">
      <c r="A979" s="629">
        <v>45636.314259259256</v>
      </c>
      <c r="B979">
        <v>542361075</v>
      </c>
      <c r="C979" t="s">
        <v>277</v>
      </c>
      <c r="D979" t="s">
        <v>257</v>
      </c>
      <c r="E979">
        <v>244</v>
      </c>
      <c r="F979" t="s">
        <v>258</v>
      </c>
    </row>
    <row r="980" spans="1:6" x14ac:dyDescent="0.3">
      <c r="A980" s="629">
        <v>45636.314201388886</v>
      </c>
      <c r="B980">
        <v>542361075</v>
      </c>
      <c r="C980" t="s">
        <v>277</v>
      </c>
      <c r="D980" t="s">
        <v>257</v>
      </c>
      <c r="E980">
        <v>14</v>
      </c>
      <c r="F980" t="s">
        <v>258</v>
      </c>
    </row>
    <row r="981" spans="1:6" x14ac:dyDescent="0.3">
      <c r="A981" s="629">
        <v>45636.314097222225</v>
      </c>
      <c r="B981">
        <v>542361075</v>
      </c>
      <c r="C981" t="s">
        <v>277</v>
      </c>
      <c r="D981" t="s">
        <v>257</v>
      </c>
      <c r="E981">
        <v>158</v>
      </c>
      <c r="F981" t="s">
        <v>258</v>
      </c>
    </row>
    <row r="982" spans="1:6" x14ac:dyDescent="0.3">
      <c r="A982" s="629">
        <v>45636.314062500001</v>
      </c>
      <c r="B982">
        <v>542361075</v>
      </c>
      <c r="C982" t="s">
        <v>277</v>
      </c>
      <c r="D982" t="s">
        <v>257</v>
      </c>
      <c r="E982">
        <v>212</v>
      </c>
      <c r="F982" t="s">
        <v>258</v>
      </c>
    </row>
    <row r="983" spans="1:6" x14ac:dyDescent="0.3">
      <c r="A983" s="629">
        <v>45636.313807870371</v>
      </c>
      <c r="B983">
        <v>542361075</v>
      </c>
      <c r="C983" t="s">
        <v>277</v>
      </c>
      <c r="D983" t="s">
        <v>257</v>
      </c>
      <c r="E983">
        <v>29</v>
      </c>
      <c r="F983" t="s">
        <v>258</v>
      </c>
    </row>
    <row r="984" spans="1:6" x14ac:dyDescent="0.3">
      <c r="A984" s="629">
        <v>45636.313692129632</v>
      </c>
      <c r="B984">
        <v>542361075</v>
      </c>
      <c r="C984" t="s">
        <v>277</v>
      </c>
      <c r="D984" t="s">
        <v>257</v>
      </c>
      <c r="E984">
        <v>7</v>
      </c>
      <c r="F984" t="s">
        <v>258</v>
      </c>
    </row>
    <row r="985" spans="1:6" x14ac:dyDescent="0.3">
      <c r="A985" s="629">
        <v>45636.313449074078</v>
      </c>
      <c r="B985">
        <v>542361075</v>
      </c>
      <c r="C985" t="s">
        <v>277</v>
      </c>
      <c r="D985" t="s">
        <v>257</v>
      </c>
      <c r="E985">
        <v>251</v>
      </c>
      <c r="F985" t="s">
        <v>258</v>
      </c>
    </row>
    <row r="986" spans="1:6" x14ac:dyDescent="0.3">
      <c r="A986" s="629">
        <v>45636.313414351855</v>
      </c>
      <c r="B986">
        <v>542361075</v>
      </c>
      <c r="C986" t="s">
        <v>277</v>
      </c>
      <c r="D986" t="s">
        <v>257</v>
      </c>
      <c r="E986">
        <v>214</v>
      </c>
      <c r="F986" t="s">
        <v>258</v>
      </c>
    </row>
    <row r="987" spans="1:6" x14ac:dyDescent="0.3">
      <c r="A987" s="629">
        <v>45636.313379629632</v>
      </c>
      <c r="B987">
        <v>542361075</v>
      </c>
      <c r="C987" t="s">
        <v>277</v>
      </c>
      <c r="D987" t="s">
        <v>257</v>
      </c>
      <c r="E987">
        <v>231</v>
      </c>
      <c r="F987" t="s">
        <v>258</v>
      </c>
    </row>
    <row r="988" spans="1:6" x14ac:dyDescent="0.3">
      <c r="A988" s="629">
        <v>45636.313344907408</v>
      </c>
      <c r="B988">
        <v>542361075</v>
      </c>
      <c r="C988" t="s">
        <v>277</v>
      </c>
      <c r="D988" t="s">
        <v>257</v>
      </c>
      <c r="E988">
        <v>228</v>
      </c>
      <c r="F988" t="s">
        <v>258</v>
      </c>
    </row>
    <row r="989" spans="1:6" x14ac:dyDescent="0.3">
      <c r="A989" s="629">
        <v>45636.313206018516</v>
      </c>
      <c r="B989">
        <v>542361075</v>
      </c>
      <c r="C989" t="s">
        <v>277</v>
      </c>
      <c r="D989" t="s">
        <v>257</v>
      </c>
      <c r="E989">
        <v>19</v>
      </c>
      <c r="F989" t="s">
        <v>258</v>
      </c>
    </row>
    <row r="990" spans="1:6" x14ac:dyDescent="0.3">
      <c r="A990" s="629">
        <v>45636.313090277778</v>
      </c>
      <c r="B990">
        <v>542361075</v>
      </c>
      <c r="C990" t="s">
        <v>277</v>
      </c>
      <c r="D990" t="s">
        <v>257</v>
      </c>
      <c r="E990">
        <v>2</v>
      </c>
      <c r="F990" t="s">
        <v>258</v>
      </c>
    </row>
    <row r="991" spans="1:6" x14ac:dyDescent="0.3">
      <c r="A991" s="629">
        <v>45636.312905092593</v>
      </c>
      <c r="B991">
        <v>542361075</v>
      </c>
      <c r="C991" t="s">
        <v>277</v>
      </c>
      <c r="D991" t="s">
        <v>257</v>
      </c>
      <c r="E991">
        <v>39</v>
      </c>
      <c r="F991" t="s">
        <v>258</v>
      </c>
    </row>
    <row r="992" spans="1:6" x14ac:dyDescent="0.3">
      <c r="A992" s="629">
        <v>45636.312789351854</v>
      </c>
      <c r="B992">
        <v>542361075</v>
      </c>
      <c r="C992" t="s">
        <v>277</v>
      </c>
      <c r="D992" t="s">
        <v>257</v>
      </c>
      <c r="E992">
        <v>181</v>
      </c>
      <c r="F992" t="s">
        <v>258</v>
      </c>
    </row>
    <row r="993" spans="1:6" x14ac:dyDescent="0.3">
      <c r="A993" s="629">
        <v>45636.312615740739</v>
      </c>
      <c r="B993">
        <v>542361075</v>
      </c>
      <c r="C993" t="s">
        <v>277</v>
      </c>
      <c r="D993" t="s">
        <v>257</v>
      </c>
      <c r="E993">
        <v>242</v>
      </c>
      <c r="F993" t="s">
        <v>258</v>
      </c>
    </row>
    <row r="994" spans="1:6" x14ac:dyDescent="0.3">
      <c r="A994" s="629">
        <v>45636.312581018516</v>
      </c>
      <c r="B994">
        <v>542361075</v>
      </c>
      <c r="C994" t="s">
        <v>277</v>
      </c>
      <c r="D994" t="s">
        <v>257</v>
      </c>
      <c r="E994">
        <v>159</v>
      </c>
      <c r="F994" t="s">
        <v>258</v>
      </c>
    </row>
    <row r="995" spans="1:6" x14ac:dyDescent="0.3">
      <c r="A995" s="629">
        <v>45636.312361111108</v>
      </c>
      <c r="B995">
        <v>542361075</v>
      </c>
      <c r="C995" t="s">
        <v>277</v>
      </c>
      <c r="D995" t="s">
        <v>257</v>
      </c>
      <c r="E995">
        <v>51</v>
      </c>
      <c r="F995" t="s">
        <v>258</v>
      </c>
    </row>
    <row r="996" spans="1:6" x14ac:dyDescent="0.3">
      <c r="A996" s="629">
        <v>45636.312314814815</v>
      </c>
      <c r="B996">
        <v>542361075</v>
      </c>
      <c r="C996" t="s">
        <v>277</v>
      </c>
      <c r="D996" t="s">
        <v>257</v>
      </c>
      <c r="E996">
        <v>237</v>
      </c>
      <c r="F996" t="s">
        <v>258</v>
      </c>
    </row>
    <row r="997" spans="1:6" x14ac:dyDescent="0.3">
      <c r="A997" s="629">
        <v>45636.312118055554</v>
      </c>
      <c r="B997">
        <v>542361075</v>
      </c>
      <c r="C997" t="s">
        <v>277</v>
      </c>
      <c r="D997" t="s">
        <v>257</v>
      </c>
      <c r="E997">
        <v>220</v>
      </c>
      <c r="F997" t="s">
        <v>258</v>
      </c>
    </row>
    <row r="998" spans="1:6" x14ac:dyDescent="0.3">
      <c r="A998" s="629">
        <v>45636.311874999999</v>
      </c>
      <c r="B998">
        <v>542361075</v>
      </c>
      <c r="C998" t="s">
        <v>277</v>
      </c>
      <c r="D998" t="s">
        <v>257</v>
      </c>
      <c r="E998">
        <v>111</v>
      </c>
      <c r="F998" t="s">
        <v>258</v>
      </c>
    </row>
    <row r="999" spans="1:6" x14ac:dyDescent="0.3">
      <c r="A999" s="629">
        <v>45636.310266203705</v>
      </c>
      <c r="B999">
        <v>542361075</v>
      </c>
      <c r="C999" t="s">
        <v>277</v>
      </c>
      <c r="D999" t="s">
        <v>257</v>
      </c>
      <c r="E999">
        <v>95</v>
      </c>
      <c r="F999" t="s">
        <v>258</v>
      </c>
    </row>
    <row r="1000" spans="1:6" x14ac:dyDescent="0.3">
      <c r="A1000" s="629">
        <v>45636.309571759259</v>
      </c>
      <c r="B1000">
        <v>542361075</v>
      </c>
      <c r="C1000" t="s">
        <v>277</v>
      </c>
      <c r="D1000" t="s">
        <v>257</v>
      </c>
      <c r="E1000">
        <v>141</v>
      </c>
      <c r="F1000" t="s">
        <v>258</v>
      </c>
    </row>
    <row r="1001" spans="1:6" x14ac:dyDescent="0.3">
      <c r="A1001" s="629">
        <v>45636.309525462966</v>
      </c>
      <c r="B1001">
        <v>542361075</v>
      </c>
      <c r="C1001" t="s">
        <v>277</v>
      </c>
      <c r="D1001" t="s">
        <v>257</v>
      </c>
      <c r="E1001">
        <v>166</v>
      </c>
      <c r="F1001" t="s">
        <v>258</v>
      </c>
    </row>
    <row r="1002" spans="1:6" x14ac:dyDescent="0.3">
      <c r="A1002" s="629">
        <v>45636.309166666666</v>
      </c>
      <c r="B1002">
        <v>542361075</v>
      </c>
      <c r="C1002" t="s">
        <v>277</v>
      </c>
      <c r="D1002" t="s">
        <v>257</v>
      </c>
      <c r="E1002">
        <v>234</v>
      </c>
      <c r="F1002" t="s">
        <v>258</v>
      </c>
    </row>
    <row r="1003" spans="1:6" x14ac:dyDescent="0.3">
      <c r="A1003" s="629">
        <v>45636.307858796295</v>
      </c>
      <c r="B1003">
        <v>542361075</v>
      </c>
      <c r="C1003" t="s">
        <v>277</v>
      </c>
      <c r="D1003" t="s">
        <v>257</v>
      </c>
      <c r="E1003">
        <v>146</v>
      </c>
      <c r="F1003" t="s">
        <v>258</v>
      </c>
    </row>
    <row r="1004" spans="1:6" x14ac:dyDescent="0.3">
      <c r="A1004" s="629">
        <v>45636.30709490741</v>
      </c>
      <c r="B1004">
        <v>542361075</v>
      </c>
      <c r="C1004" t="s">
        <v>277</v>
      </c>
      <c r="D1004" t="s">
        <v>257</v>
      </c>
      <c r="E1004">
        <v>59</v>
      </c>
      <c r="F1004" t="s">
        <v>258</v>
      </c>
    </row>
    <row r="1005" spans="1:6" x14ac:dyDescent="0.3">
      <c r="A1005" s="629">
        <v>45636.306759259256</v>
      </c>
      <c r="B1005">
        <v>542361075</v>
      </c>
      <c r="C1005" t="s">
        <v>277</v>
      </c>
      <c r="D1005" t="s">
        <v>257</v>
      </c>
      <c r="E1005">
        <v>28</v>
      </c>
      <c r="F1005" t="s">
        <v>258</v>
      </c>
    </row>
    <row r="1006" spans="1:6" x14ac:dyDescent="0.3">
      <c r="A1006" s="629">
        <v>45636.306261574071</v>
      </c>
      <c r="B1006">
        <v>542361075</v>
      </c>
      <c r="C1006" t="s">
        <v>277</v>
      </c>
      <c r="D1006" t="s">
        <v>257</v>
      </c>
      <c r="E1006">
        <v>9</v>
      </c>
      <c r="F1006" t="s">
        <v>258</v>
      </c>
    </row>
    <row r="1007" spans="1:6" x14ac:dyDescent="0.3">
      <c r="A1007" s="629">
        <v>45636.306226851855</v>
      </c>
      <c r="B1007">
        <v>542361075</v>
      </c>
      <c r="C1007" t="s">
        <v>277</v>
      </c>
      <c r="D1007" t="s">
        <v>257</v>
      </c>
      <c r="E1007">
        <v>239</v>
      </c>
      <c r="F1007" t="s">
        <v>258</v>
      </c>
    </row>
    <row r="1008" spans="1:6" x14ac:dyDescent="0.3">
      <c r="A1008" s="629">
        <v>45636.306168981479</v>
      </c>
      <c r="B1008">
        <v>542361075</v>
      </c>
      <c r="C1008" t="s">
        <v>277</v>
      </c>
      <c r="D1008" t="s">
        <v>257</v>
      </c>
      <c r="E1008">
        <v>230</v>
      </c>
      <c r="F1008" t="s">
        <v>258</v>
      </c>
    </row>
    <row r="1009" spans="1:6" x14ac:dyDescent="0.3">
      <c r="A1009" s="629">
        <v>45636.306134259263</v>
      </c>
      <c r="B1009">
        <v>542361075</v>
      </c>
      <c r="C1009" t="s">
        <v>277</v>
      </c>
      <c r="D1009" t="s">
        <v>257</v>
      </c>
      <c r="E1009">
        <v>216</v>
      </c>
      <c r="F1009" t="s">
        <v>258</v>
      </c>
    </row>
    <row r="1010" spans="1:6" x14ac:dyDescent="0.3">
      <c r="A1010" s="629">
        <v>45636.306087962963</v>
      </c>
      <c r="B1010">
        <v>542361075</v>
      </c>
      <c r="C1010" t="s">
        <v>277</v>
      </c>
      <c r="D1010" t="s">
        <v>257</v>
      </c>
      <c r="E1010">
        <v>73</v>
      </c>
      <c r="F1010" t="s">
        <v>258</v>
      </c>
    </row>
    <row r="1011" spans="1:6" x14ac:dyDescent="0.3">
      <c r="A1011" s="629">
        <v>45636.30605324074</v>
      </c>
      <c r="B1011">
        <v>542361075</v>
      </c>
      <c r="C1011" t="s">
        <v>277</v>
      </c>
      <c r="D1011" t="s">
        <v>257</v>
      </c>
      <c r="E1011">
        <v>64</v>
      </c>
      <c r="F1011" t="s">
        <v>258</v>
      </c>
    </row>
    <row r="1012" spans="1:6" x14ac:dyDescent="0.3">
      <c r="A1012" s="629">
        <v>45636.305659722224</v>
      </c>
      <c r="B1012">
        <v>542361075</v>
      </c>
      <c r="C1012" t="s">
        <v>277</v>
      </c>
      <c r="D1012" t="s">
        <v>257</v>
      </c>
      <c r="E1012">
        <v>26</v>
      </c>
      <c r="F1012" t="s">
        <v>258</v>
      </c>
    </row>
    <row r="1013" spans="1:6" x14ac:dyDescent="0.3">
      <c r="A1013" s="629">
        <v>45636.304074074076</v>
      </c>
      <c r="B1013">
        <v>542361075</v>
      </c>
      <c r="C1013" t="s">
        <v>277</v>
      </c>
      <c r="D1013" t="s">
        <v>257</v>
      </c>
      <c r="E1013">
        <v>32</v>
      </c>
      <c r="F1013" t="s">
        <v>258</v>
      </c>
    </row>
    <row r="1014" spans="1:6" x14ac:dyDescent="0.3">
      <c r="A1014" s="629">
        <v>45636.301851851851</v>
      </c>
      <c r="B1014">
        <v>542361075</v>
      </c>
      <c r="C1014" t="s">
        <v>277</v>
      </c>
      <c r="D1014" t="s">
        <v>257</v>
      </c>
      <c r="E1014">
        <v>12</v>
      </c>
      <c r="F1014" t="s">
        <v>258</v>
      </c>
    </row>
    <row r="1015" spans="1:6" x14ac:dyDescent="0.3">
      <c r="A1015" s="629">
        <v>45636.301689814813</v>
      </c>
      <c r="B1015">
        <v>542361075</v>
      </c>
      <c r="C1015" t="s">
        <v>277</v>
      </c>
      <c r="D1015" t="s">
        <v>257</v>
      </c>
      <c r="E1015">
        <v>241</v>
      </c>
      <c r="F1015" t="s">
        <v>258</v>
      </c>
    </row>
    <row r="1016" spans="1:6" x14ac:dyDescent="0.3">
      <c r="A1016" s="629">
        <v>45636.295347222222</v>
      </c>
      <c r="B1016">
        <v>542361075</v>
      </c>
      <c r="C1016" t="s">
        <v>277</v>
      </c>
      <c r="D1016" t="s">
        <v>257</v>
      </c>
      <c r="E1016">
        <v>245</v>
      </c>
      <c r="F1016" t="s">
        <v>258</v>
      </c>
    </row>
    <row r="1017" spans="1:6" x14ac:dyDescent="0.3">
      <c r="A1017" s="629">
        <v>45636.293761574074</v>
      </c>
      <c r="B1017">
        <v>542361075</v>
      </c>
      <c r="C1017" t="s">
        <v>277</v>
      </c>
      <c r="D1017" t="s">
        <v>257</v>
      </c>
      <c r="E1017">
        <v>217</v>
      </c>
      <c r="F1017" t="s">
        <v>258</v>
      </c>
    </row>
    <row r="1018" spans="1:6" x14ac:dyDescent="0.3">
      <c r="A1018" s="629">
        <v>45636.284907407404</v>
      </c>
      <c r="B1018">
        <v>542361075</v>
      </c>
      <c r="C1018" t="s">
        <v>277</v>
      </c>
      <c r="D1018" t="s">
        <v>257</v>
      </c>
      <c r="E1018">
        <v>172</v>
      </c>
      <c r="F1018" t="s">
        <v>258</v>
      </c>
    </row>
    <row r="1019" spans="1:6" x14ac:dyDescent="0.3">
      <c r="A1019" s="629">
        <v>45636.284849537034</v>
      </c>
      <c r="B1019">
        <v>542361075</v>
      </c>
      <c r="C1019" t="s">
        <v>277</v>
      </c>
      <c r="D1019" t="s">
        <v>257</v>
      </c>
      <c r="E1019">
        <v>172</v>
      </c>
      <c r="F1019" t="s">
        <v>258</v>
      </c>
    </row>
    <row r="1020" spans="1:6" x14ac:dyDescent="0.3">
      <c r="A1020" s="629">
        <v>45636.192083333335</v>
      </c>
      <c r="B1020">
        <v>542361075</v>
      </c>
      <c r="C1020" t="s">
        <v>277</v>
      </c>
      <c r="D1020" t="s">
        <v>257</v>
      </c>
      <c r="E1020">
        <v>159</v>
      </c>
      <c r="F1020" t="s">
        <v>258</v>
      </c>
    </row>
    <row r="1021" spans="1:6" x14ac:dyDescent="0.3">
      <c r="A1021" s="629">
        <v>45636.192048611112</v>
      </c>
      <c r="B1021">
        <v>542361075</v>
      </c>
      <c r="C1021" t="s">
        <v>277</v>
      </c>
      <c r="D1021" t="s">
        <v>257</v>
      </c>
      <c r="E1021">
        <v>242</v>
      </c>
      <c r="F1021" t="s">
        <v>258</v>
      </c>
    </row>
    <row r="1022" spans="1:6" x14ac:dyDescent="0.3">
      <c r="A1022" s="629">
        <v>45636.170127314814</v>
      </c>
      <c r="B1022">
        <v>542361075</v>
      </c>
      <c r="C1022" t="s">
        <v>277</v>
      </c>
      <c r="D1022" t="s">
        <v>257</v>
      </c>
      <c r="E1022">
        <v>158</v>
      </c>
      <c r="F1022" t="s">
        <v>258</v>
      </c>
    </row>
    <row r="1023" spans="1:6" x14ac:dyDescent="0.3">
      <c r="A1023" s="629">
        <v>45636.170057870368</v>
      </c>
      <c r="B1023">
        <v>542361075</v>
      </c>
      <c r="C1023" t="s">
        <v>277</v>
      </c>
      <c r="D1023" t="s">
        <v>257</v>
      </c>
      <c r="E1023">
        <v>210</v>
      </c>
      <c r="F1023" t="s">
        <v>258</v>
      </c>
    </row>
    <row r="1024" spans="1:6" x14ac:dyDescent="0.3">
      <c r="A1024" s="629">
        <v>45636.169988425929</v>
      </c>
      <c r="B1024">
        <v>542361075</v>
      </c>
      <c r="C1024" t="s">
        <v>277</v>
      </c>
      <c r="D1024" t="s">
        <v>257</v>
      </c>
      <c r="E1024">
        <v>228</v>
      </c>
      <c r="F1024" t="s">
        <v>258</v>
      </c>
    </row>
    <row r="1025" spans="1:6" x14ac:dyDescent="0.3">
      <c r="A1025" s="629">
        <v>45636.168449074074</v>
      </c>
      <c r="B1025">
        <v>542361075</v>
      </c>
      <c r="C1025" t="s">
        <v>277</v>
      </c>
      <c r="D1025" t="s">
        <v>257</v>
      </c>
      <c r="E1025">
        <v>242</v>
      </c>
      <c r="F1025" t="s">
        <v>258</v>
      </c>
    </row>
    <row r="1026" spans="1:6" x14ac:dyDescent="0.3">
      <c r="A1026" s="629">
        <v>45636.168414351851</v>
      </c>
      <c r="B1026">
        <v>542361075</v>
      </c>
      <c r="C1026" t="s">
        <v>277</v>
      </c>
      <c r="D1026" t="s">
        <v>257</v>
      </c>
      <c r="E1026">
        <v>159</v>
      </c>
      <c r="F1026" t="s">
        <v>258</v>
      </c>
    </row>
    <row r="1027" spans="1:6" x14ac:dyDescent="0.3">
      <c r="A1027" s="629">
        <v>45636.147129629629</v>
      </c>
      <c r="B1027">
        <v>542361075</v>
      </c>
      <c r="C1027" t="s">
        <v>277</v>
      </c>
      <c r="D1027" t="s">
        <v>257</v>
      </c>
      <c r="E1027">
        <v>158</v>
      </c>
      <c r="F1027" t="s">
        <v>258</v>
      </c>
    </row>
    <row r="1028" spans="1:6" x14ac:dyDescent="0.3">
      <c r="A1028" s="629">
        <v>45636.14702546296</v>
      </c>
      <c r="B1028">
        <v>542361075</v>
      </c>
      <c r="C1028" t="s">
        <v>277</v>
      </c>
      <c r="D1028" t="s">
        <v>257</v>
      </c>
      <c r="E1028">
        <v>210</v>
      </c>
      <c r="F1028" t="s">
        <v>258</v>
      </c>
    </row>
    <row r="1029" spans="1:6" x14ac:dyDescent="0.3">
      <c r="A1029" s="629">
        <v>45636.138784722221</v>
      </c>
      <c r="B1029">
        <v>542361075</v>
      </c>
      <c r="C1029" t="s">
        <v>277</v>
      </c>
      <c r="D1029" t="s">
        <v>257</v>
      </c>
      <c r="E1029">
        <v>181</v>
      </c>
      <c r="F1029" t="s">
        <v>258</v>
      </c>
    </row>
    <row r="1030" spans="1:6" x14ac:dyDescent="0.3">
      <c r="A1030" s="629">
        <v>45636.123935185184</v>
      </c>
      <c r="B1030">
        <v>542361075</v>
      </c>
      <c r="C1030" t="s">
        <v>277</v>
      </c>
      <c r="D1030" t="s">
        <v>257</v>
      </c>
      <c r="E1030">
        <v>91</v>
      </c>
      <c r="F1030" t="s">
        <v>258</v>
      </c>
    </row>
    <row r="1031" spans="1:6" x14ac:dyDescent="0.3">
      <c r="A1031" s="629">
        <v>45636.118078703701</v>
      </c>
      <c r="B1031">
        <v>542361075</v>
      </c>
      <c r="C1031" t="s">
        <v>277</v>
      </c>
      <c r="D1031" t="s">
        <v>257</v>
      </c>
      <c r="E1031">
        <v>181</v>
      </c>
      <c r="F1031" t="s">
        <v>258</v>
      </c>
    </row>
    <row r="1032" spans="1:6" x14ac:dyDescent="0.3">
      <c r="A1032" s="629">
        <v>45636.113159722219</v>
      </c>
      <c r="B1032">
        <v>542361075</v>
      </c>
      <c r="C1032" t="s">
        <v>277</v>
      </c>
      <c r="D1032" t="s">
        <v>257</v>
      </c>
      <c r="E1032">
        <v>227</v>
      </c>
      <c r="F1032" t="s">
        <v>258</v>
      </c>
    </row>
    <row r="1033" spans="1:6" x14ac:dyDescent="0.3">
      <c r="A1033" s="629">
        <v>45636.113113425927</v>
      </c>
      <c r="B1033">
        <v>542361075</v>
      </c>
      <c r="C1033" t="s">
        <v>277</v>
      </c>
      <c r="D1033" t="s">
        <v>257</v>
      </c>
      <c r="E1033">
        <v>135</v>
      </c>
      <c r="F1033" t="s">
        <v>258</v>
      </c>
    </row>
    <row r="1034" spans="1:6" x14ac:dyDescent="0.3">
      <c r="A1034" s="629">
        <v>45636.110393518517</v>
      </c>
      <c r="B1034">
        <v>542361075</v>
      </c>
      <c r="C1034" t="s">
        <v>277</v>
      </c>
      <c r="D1034" t="s">
        <v>257</v>
      </c>
      <c r="E1034">
        <v>214</v>
      </c>
      <c r="F1034" t="s">
        <v>258</v>
      </c>
    </row>
    <row r="1035" spans="1:6" x14ac:dyDescent="0.3">
      <c r="A1035" s="629">
        <v>45636.106157407405</v>
      </c>
      <c r="B1035">
        <v>542361075</v>
      </c>
      <c r="C1035" t="s">
        <v>277</v>
      </c>
      <c r="D1035" t="s">
        <v>257</v>
      </c>
      <c r="E1035">
        <v>75</v>
      </c>
      <c r="F1035" t="s">
        <v>258</v>
      </c>
    </row>
    <row r="1036" spans="1:6" x14ac:dyDescent="0.3">
      <c r="A1036" s="629">
        <v>45636.104224537034</v>
      </c>
      <c r="B1036">
        <v>542361075</v>
      </c>
      <c r="C1036" t="s">
        <v>277</v>
      </c>
      <c r="D1036" t="s">
        <v>257</v>
      </c>
      <c r="E1036">
        <v>91</v>
      </c>
      <c r="F1036" t="s">
        <v>258</v>
      </c>
    </row>
    <row r="1037" spans="1:6" x14ac:dyDescent="0.3">
      <c r="A1037" s="629">
        <v>45636.091481481482</v>
      </c>
      <c r="B1037">
        <v>542361075</v>
      </c>
      <c r="C1037" t="s">
        <v>277</v>
      </c>
      <c r="D1037" t="s">
        <v>257</v>
      </c>
      <c r="E1037">
        <v>214</v>
      </c>
      <c r="F1037" t="s">
        <v>258</v>
      </c>
    </row>
    <row r="1038" spans="1:6" x14ac:dyDescent="0.3">
      <c r="A1038" s="629">
        <v>45636.086412037039</v>
      </c>
      <c r="B1038">
        <v>542361075</v>
      </c>
      <c r="C1038" t="s">
        <v>277</v>
      </c>
      <c r="D1038" t="s">
        <v>257</v>
      </c>
      <c r="E1038">
        <v>227</v>
      </c>
      <c r="F1038" t="s">
        <v>258</v>
      </c>
    </row>
    <row r="1039" spans="1:6" x14ac:dyDescent="0.3">
      <c r="A1039" s="629">
        <v>45636.086377314816</v>
      </c>
      <c r="B1039">
        <v>542361075</v>
      </c>
      <c r="C1039" t="s">
        <v>277</v>
      </c>
      <c r="D1039" t="s">
        <v>257</v>
      </c>
      <c r="E1039">
        <v>135</v>
      </c>
      <c r="F1039" t="s">
        <v>258</v>
      </c>
    </row>
    <row r="1040" spans="1:6" x14ac:dyDescent="0.3">
      <c r="A1040" s="629">
        <v>45636.085706018515</v>
      </c>
      <c r="B1040">
        <v>542361075</v>
      </c>
      <c r="C1040" t="s">
        <v>277</v>
      </c>
      <c r="D1040" t="s">
        <v>257</v>
      </c>
      <c r="E1040">
        <v>75</v>
      </c>
      <c r="F1040" t="s">
        <v>258</v>
      </c>
    </row>
    <row r="1041" spans="1:6" x14ac:dyDescent="0.3">
      <c r="A1041" s="629">
        <v>45636.085046296299</v>
      </c>
      <c r="B1041">
        <v>542361075</v>
      </c>
      <c r="C1041" t="s">
        <v>277</v>
      </c>
      <c r="D1041" t="s">
        <v>257</v>
      </c>
      <c r="E1041">
        <v>29</v>
      </c>
      <c r="F1041" t="s">
        <v>258</v>
      </c>
    </row>
    <row r="1042" spans="1:6" x14ac:dyDescent="0.3">
      <c r="A1042" s="629">
        <v>45636.084247685183</v>
      </c>
      <c r="B1042">
        <v>542361075</v>
      </c>
      <c r="C1042" t="s">
        <v>277</v>
      </c>
      <c r="D1042" t="s">
        <v>257</v>
      </c>
      <c r="E1042">
        <v>94</v>
      </c>
      <c r="F1042" t="s">
        <v>258</v>
      </c>
    </row>
    <row r="1043" spans="1:6" x14ac:dyDescent="0.3">
      <c r="A1043" s="629">
        <v>45636.08388888889</v>
      </c>
      <c r="B1043">
        <v>542361075</v>
      </c>
      <c r="C1043" t="s">
        <v>277</v>
      </c>
      <c r="D1043" t="s">
        <v>257</v>
      </c>
      <c r="E1043">
        <v>251</v>
      </c>
      <c r="F1043" t="s">
        <v>258</v>
      </c>
    </row>
    <row r="1044" spans="1:6" x14ac:dyDescent="0.3">
      <c r="A1044" s="629">
        <v>45636.083645833336</v>
      </c>
      <c r="B1044">
        <v>542361075</v>
      </c>
      <c r="C1044" t="s">
        <v>277</v>
      </c>
      <c r="D1044" t="s">
        <v>257</v>
      </c>
      <c r="E1044">
        <v>14</v>
      </c>
      <c r="F1044" t="s">
        <v>258</v>
      </c>
    </row>
    <row r="1045" spans="1:6" x14ac:dyDescent="0.3">
      <c r="A1045" s="629">
        <v>45636.065636574072</v>
      </c>
      <c r="B1045">
        <v>542361075</v>
      </c>
      <c r="C1045" t="s">
        <v>277</v>
      </c>
      <c r="D1045" t="s">
        <v>257</v>
      </c>
      <c r="E1045">
        <v>14</v>
      </c>
      <c r="F1045" t="s">
        <v>258</v>
      </c>
    </row>
    <row r="1046" spans="1:6" x14ac:dyDescent="0.3">
      <c r="A1046" s="629">
        <v>45636.064467592594</v>
      </c>
      <c r="B1046">
        <v>542361075</v>
      </c>
      <c r="C1046" t="s">
        <v>277</v>
      </c>
      <c r="D1046" t="s">
        <v>257</v>
      </c>
      <c r="E1046">
        <v>94</v>
      </c>
      <c r="F1046" t="s">
        <v>258</v>
      </c>
    </row>
    <row r="1047" spans="1:6" x14ac:dyDescent="0.3">
      <c r="A1047" s="629">
        <v>45636.063726851855</v>
      </c>
      <c r="B1047">
        <v>542361075</v>
      </c>
      <c r="C1047" t="s">
        <v>277</v>
      </c>
      <c r="D1047" t="s">
        <v>257</v>
      </c>
      <c r="E1047">
        <v>251</v>
      </c>
      <c r="F1047" t="s">
        <v>258</v>
      </c>
    </row>
    <row r="1048" spans="1:6" x14ac:dyDescent="0.3">
      <c r="A1048" s="629">
        <v>45636.06322916667</v>
      </c>
      <c r="B1048">
        <v>542361075</v>
      </c>
      <c r="C1048" t="s">
        <v>277</v>
      </c>
      <c r="D1048" t="s">
        <v>257</v>
      </c>
      <c r="E1048">
        <v>29</v>
      </c>
      <c r="F1048" t="s">
        <v>258</v>
      </c>
    </row>
    <row r="1049" spans="1:6" x14ac:dyDescent="0.3">
      <c r="A1049" s="629">
        <v>45635.990081018521</v>
      </c>
      <c r="B1049">
        <v>542361075</v>
      </c>
      <c r="C1049" t="s">
        <v>277</v>
      </c>
      <c r="D1049" t="s">
        <v>257</v>
      </c>
      <c r="E1049">
        <v>231</v>
      </c>
      <c r="F1049" t="s">
        <v>258</v>
      </c>
    </row>
    <row r="1050" spans="1:6" x14ac:dyDescent="0.3">
      <c r="A1050" s="629">
        <v>45635.987037037034</v>
      </c>
      <c r="B1050">
        <v>542361075</v>
      </c>
      <c r="C1050" t="s">
        <v>277</v>
      </c>
      <c r="D1050" t="s">
        <v>257</v>
      </c>
      <c r="E1050">
        <v>210</v>
      </c>
      <c r="F1050" t="s">
        <v>258</v>
      </c>
    </row>
    <row r="1051" spans="1:6" x14ac:dyDescent="0.3">
      <c r="A1051" s="629">
        <v>45635.981574074074</v>
      </c>
      <c r="B1051">
        <v>542361075</v>
      </c>
      <c r="C1051" t="s">
        <v>277</v>
      </c>
      <c r="D1051" t="s">
        <v>257</v>
      </c>
      <c r="E1051">
        <v>158</v>
      </c>
      <c r="F1051" t="s">
        <v>258</v>
      </c>
    </row>
    <row r="1052" spans="1:6" x14ac:dyDescent="0.3">
      <c r="A1052" s="629">
        <v>45635.981261574074</v>
      </c>
      <c r="B1052">
        <v>542361075</v>
      </c>
      <c r="C1052" t="s">
        <v>277</v>
      </c>
      <c r="D1052" t="s">
        <v>257</v>
      </c>
      <c r="E1052">
        <v>227</v>
      </c>
      <c r="F1052" t="s">
        <v>258</v>
      </c>
    </row>
    <row r="1053" spans="1:6" x14ac:dyDescent="0.3">
      <c r="A1053" s="629">
        <v>45635.981226851851</v>
      </c>
      <c r="B1053">
        <v>542361075</v>
      </c>
      <c r="C1053" t="s">
        <v>277</v>
      </c>
      <c r="D1053" t="s">
        <v>257</v>
      </c>
      <c r="E1053">
        <v>135</v>
      </c>
      <c r="F1053" t="s">
        <v>258</v>
      </c>
    </row>
    <row r="1054" spans="1:6" x14ac:dyDescent="0.3">
      <c r="A1054" s="629">
        <v>45635.980740740742</v>
      </c>
      <c r="B1054">
        <v>542361075</v>
      </c>
      <c r="C1054" t="s">
        <v>277</v>
      </c>
      <c r="D1054" t="s">
        <v>257</v>
      </c>
      <c r="E1054">
        <v>75</v>
      </c>
      <c r="F1054" t="s">
        <v>258</v>
      </c>
    </row>
    <row r="1055" spans="1:6" x14ac:dyDescent="0.3">
      <c r="A1055" s="629">
        <v>45635.98065972222</v>
      </c>
      <c r="B1055">
        <v>542361075</v>
      </c>
      <c r="C1055" t="s">
        <v>277</v>
      </c>
      <c r="D1055" t="s">
        <v>257</v>
      </c>
      <c r="E1055">
        <v>226</v>
      </c>
      <c r="F1055" t="s">
        <v>258</v>
      </c>
    </row>
    <row r="1056" spans="1:6" x14ac:dyDescent="0.3">
      <c r="A1056" s="629">
        <v>45635.980624999997</v>
      </c>
      <c r="B1056">
        <v>542361075</v>
      </c>
      <c r="C1056" t="s">
        <v>277</v>
      </c>
      <c r="D1056" t="s">
        <v>257</v>
      </c>
      <c r="E1056">
        <v>132</v>
      </c>
      <c r="F1056" t="s">
        <v>258</v>
      </c>
    </row>
    <row r="1057" spans="1:6" x14ac:dyDescent="0.3">
      <c r="A1057" s="629">
        <v>45635.980590277781</v>
      </c>
      <c r="B1057">
        <v>542361075</v>
      </c>
      <c r="C1057" t="s">
        <v>277</v>
      </c>
      <c r="D1057" t="s">
        <v>257</v>
      </c>
      <c r="E1057">
        <v>232</v>
      </c>
      <c r="F1057" t="s">
        <v>258</v>
      </c>
    </row>
    <row r="1058" spans="1:6" x14ac:dyDescent="0.3">
      <c r="A1058" s="629">
        <v>45635.980543981481</v>
      </c>
      <c r="B1058">
        <v>542361075</v>
      </c>
      <c r="C1058" t="s">
        <v>277</v>
      </c>
      <c r="F1058" t="s">
        <v>259</v>
      </c>
    </row>
    <row r="1059" spans="1:6" x14ac:dyDescent="0.3">
      <c r="A1059" s="629">
        <v>45635.980358796296</v>
      </c>
      <c r="B1059">
        <v>542361075</v>
      </c>
      <c r="C1059" t="s">
        <v>277</v>
      </c>
      <c r="D1059" t="s">
        <v>257</v>
      </c>
      <c r="E1059">
        <v>207</v>
      </c>
      <c r="F1059" t="s">
        <v>258</v>
      </c>
    </row>
    <row r="1060" spans="1:6" x14ac:dyDescent="0.3">
      <c r="A1060" s="629">
        <v>45635.980312500003</v>
      </c>
      <c r="B1060">
        <v>542361075</v>
      </c>
      <c r="C1060" t="s">
        <v>277</v>
      </c>
      <c r="D1060" t="s">
        <v>257</v>
      </c>
      <c r="E1060">
        <v>235</v>
      </c>
      <c r="F1060" t="s">
        <v>258</v>
      </c>
    </row>
    <row r="1061" spans="1:6" x14ac:dyDescent="0.3">
      <c r="A1061" s="629">
        <v>45635.98027777778</v>
      </c>
      <c r="B1061">
        <v>542361075</v>
      </c>
      <c r="C1061" t="s">
        <v>277</v>
      </c>
      <c r="D1061" t="s">
        <v>257</v>
      </c>
      <c r="E1061">
        <v>69</v>
      </c>
      <c r="F1061" t="s">
        <v>258</v>
      </c>
    </row>
    <row r="1062" spans="1:6" x14ac:dyDescent="0.3">
      <c r="A1062" s="629">
        <v>45635.980034722219</v>
      </c>
      <c r="B1062">
        <v>542361075</v>
      </c>
      <c r="C1062" t="s">
        <v>277</v>
      </c>
      <c r="D1062" t="s">
        <v>257</v>
      </c>
      <c r="E1062">
        <v>107</v>
      </c>
      <c r="F1062" t="s">
        <v>258</v>
      </c>
    </row>
    <row r="1063" spans="1:6" x14ac:dyDescent="0.3">
      <c r="A1063" s="629">
        <v>45635.978425925925</v>
      </c>
      <c r="B1063">
        <v>542361075</v>
      </c>
      <c r="C1063" t="s">
        <v>277</v>
      </c>
      <c r="D1063" t="s">
        <v>257</v>
      </c>
      <c r="E1063">
        <v>214</v>
      </c>
      <c r="F1063" t="s">
        <v>258</v>
      </c>
    </row>
    <row r="1064" spans="1:6" x14ac:dyDescent="0.3">
      <c r="A1064" s="629">
        <v>45635.977662037039</v>
      </c>
      <c r="B1064">
        <v>542361075</v>
      </c>
      <c r="C1064" t="s">
        <v>277</v>
      </c>
      <c r="D1064" t="s">
        <v>257</v>
      </c>
      <c r="E1064">
        <v>228</v>
      </c>
      <c r="F1064" t="s">
        <v>258</v>
      </c>
    </row>
    <row r="1065" spans="1:6" x14ac:dyDescent="0.3">
      <c r="A1065" s="629">
        <v>45635.97755787037</v>
      </c>
      <c r="B1065">
        <v>542361075</v>
      </c>
      <c r="C1065" t="s">
        <v>277</v>
      </c>
      <c r="D1065" t="s">
        <v>257</v>
      </c>
      <c r="E1065">
        <v>251</v>
      </c>
      <c r="F1065" t="s">
        <v>258</v>
      </c>
    </row>
    <row r="1066" spans="1:6" x14ac:dyDescent="0.3">
      <c r="A1066" s="629">
        <v>45635.977488425924</v>
      </c>
      <c r="B1066">
        <v>542361075</v>
      </c>
      <c r="C1066" t="s">
        <v>277</v>
      </c>
      <c r="D1066" t="s">
        <v>257</v>
      </c>
      <c r="E1066">
        <v>244</v>
      </c>
      <c r="F1066" t="s">
        <v>258</v>
      </c>
    </row>
    <row r="1067" spans="1:6" x14ac:dyDescent="0.3">
      <c r="A1067" s="629">
        <v>45635.976041666669</v>
      </c>
      <c r="B1067">
        <v>542361075</v>
      </c>
      <c r="C1067" t="s">
        <v>277</v>
      </c>
      <c r="D1067" t="s">
        <v>257</v>
      </c>
      <c r="E1067">
        <v>45</v>
      </c>
      <c r="F1067" t="s">
        <v>258</v>
      </c>
    </row>
    <row r="1068" spans="1:6" x14ac:dyDescent="0.3">
      <c r="A1068" s="629">
        <v>45635.974386574075</v>
      </c>
      <c r="B1068">
        <v>542361075</v>
      </c>
      <c r="C1068" t="s">
        <v>277</v>
      </c>
      <c r="D1068" t="s">
        <v>257</v>
      </c>
      <c r="E1068">
        <v>242</v>
      </c>
      <c r="F1068" t="s">
        <v>258</v>
      </c>
    </row>
    <row r="1069" spans="1:6" x14ac:dyDescent="0.3">
      <c r="A1069" s="629">
        <v>45635.971782407411</v>
      </c>
      <c r="B1069">
        <v>542361075</v>
      </c>
      <c r="C1069" t="s">
        <v>277</v>
      </c>
      <c r="D1069" t="s">
        <v>257</v>
      </c>
      <c r="E1069">
        <v>181</v>
      </c>
      <c r="F1069" t="s">
        <v>258</v>
      </c>
    </row>
    <row r="1070" spans="1:6" x14ac:dyDescent="0.3">
      <c r="A1070" s="629">
        <v>45635.971354166664</v>
      </c>
      <c r="B1070">
        <v>542361075</v>
      </c>
      <c r="C1070" t="s">
        <v>277</v>
      </c>
      <c r="D1070" t="s">
        <v>257</v>
      </c>
      <c r="E1070">
        <v>37</v>
      </c>
      <c r="F1070" t="s">
        <v>258</v>
      </c>
    </row>
    <row r="1071" spans="1:6" x14ac:dyDescent="0.3">
      <c r="A1071" s="629">
        <v>45635.97111111111</v>
      </c>
      <c r="B1071">
        <v>542361075</v>
      </c>
      <c r="C1071" t="s">
        <v>277</v>
      </c>
      <c r="D1071" t="s">
        <v>257</v>
      </c>
      <c r="E1071">
        <v>27</v>
      </c>
      <c r="F1071" t="s">
        <v>258</v>
      </c>
    </row>
    <row r="1072" spans="1:6" x14ac:dyDescent="0.3">
      <c r="A1072" s="629">
        <v>45635.968773148146</v>
      </c>
      <c r="B1072">
        <v>542361075</v>
      </c>
      <c r="C1072" t="s">
        <v>277</v>
      </c>
      <c r="D1072" t="s">
        <v>257</v>
      </c>
      <c r="E1072">
        <v>29</v>
      </c>
      <c r="F1072" t="s">
        <v>258</v>
      </c>
    </row>
    <row r="1073" spans="1:6" x14ac:dyDescent="0.3">
      <c r="A1073" s="629">
        <v>45635.966377314813</v>
      </c>
      <c r="B1073">
        <v>542361075</v>
      </c>
      <c r="C1073" t="s">
        <v>277</v>
      </c>
      <c r="D1073" t="s">
        <v>257</v>
      </c>
      <c r="E1073">
        <v>7</v>
      </c>
      <c r="F1073" t="s">
        <v>258</v>
      </c>
    </row>
    <row r="1074" spans="1:6" x14ac:dyDescent="0.3">
      <c r="A1074" s="629">
        <v>45635.966168981482</v>
      </c>
      <c r="B1074">
        <v>542361075</v>
      </c>
      <c r="C1074" t="s">
        <v>277</v>
      </c>
      <c r="D1074" t="s">
        <v>257</v>
      </c>
      <c r="E1074">
        <v>91</v>
      </c>
      <c r="F1074" t="s">
        <v>258</v>
      </c>
    </row>
    <row r="1075" spans="1:6" x14ac:dyDescent="0.3">
      <c r="A1075" s="629">
        <v>45635.965775462966</v>
      </c>
      <c r="B1075">
        <v>542361075</v>
      </c>
      <c r="C1075" t="s">
        <v>277</v>
      </c>
      <c r="D1075" t="s">
        <v>257</v>
      </c>
      <c r="E1075">
        <v>33</v>
      </c>
      <c r="F1075" t="s">
        <v>258</v>
      </c>
    </row>
    <row r="1076" spans="1:6" x14ac:dyDescent="0.3">
      <c r="A1076" s="629">
        <v>45635.964120370372</v>
      </c>
      <c r="B1076">
        <v>542361075</v>
      </c>
      <c r="C1076" t="s">
        <v>277</v>
      </c>
      <c r="D1076" t="s">
        <v>257</v>
      </c>
      <c r="E1076">
        <v>159</v>
      </c>
      <c r="F1076" t="s">
        <v>258</v>
      </c>
    </row>
    <row r="1077" spans="1:6" x14ac:dyDescent="0.3">
      <c r="A1077" s="629">
        <v>45635.964074074072</v>
      </c>
      <c r="B1077">
        <v>542361075</v>
      </c>
      <c r="C1077" t="s">
        <v>277</v>
      </c>
      <c r="D1077" t="s">
        <v>257</v>
      </c>
      <c r="E1077">
        <v>94</v>
      </c>
      <c r="F1077" t="s">
        <v>258</v>
      </c>
    </row>
    <row r="1078" spans="1:6" x14ac:dyDescent="0.3">
      <c r="A1078" s="629">
        <v>45635.96398148148</v>
      </c>
      <c r="B1078">
        <v>542361075</v>
      </c>
      <c r="C1078" t="s">
        <v>277</v>
      </c>
      <c r="D1078" t="s">
        <v>257</v>
      </c>
      <c r="E1078">
        <v>14</v>
      </c>
      <c r="F1078" t="s">
        <v>258</v>
      </c>
    </row>
    <row r="1079" spans="1:6" x14ac:dyDescent="0.3">
      <c r="A1079" s="629">
        <v>45635.963784722226</v>
      </c>
      <c r="B1079">
        <v>542361075</v>
      </c>
      <c r="C1079" t="s">
        <v>277</v>
      </c>
      <c r="F1079" t="s">
        <v>449</v>
      </c>
    </row>
    <row r="1080" spans="1:6" x14ac:dyDescent="0.3">
      <c r="A1080" s="629">
        <v>45635.96366898148</v>
      </c>
      <c r="B1080">
        <v>542361075</v>
      </c>
      <c r="C1080" t="s">
        <v>277</v>
      </c>
      <c r="F1080" t="s">
        <v>311</v>
      </c>
    </row>
    <row r="1081" spans="1:6" x14ac:dyDescent="0.3">
      <c r="A1081" s="629">
        <v>45635.963645833333</v>
      </c>
      <c r="B1081">
        <v>542361075</v>
      </c>
      <c r="C1081" t="s">
        <v>277</v>
      </c>
      <c r="F1081" t="s">
        <v>450</v>
      </c>
    </row>
    <row r="1082" spans="1:6" x14ac:dyDescent="0.3">
      <c r="A1082" s="629">
        <v>45635.963645833333</v>
      </c>
      <c r="B1082">
        <v>542361075</v>
      </c>
      <c r="C1082" t="s">
        <v>277</v>
      </c>
      <c r="F1082" t="s">
        <v>451</v>
      </c>
    </row>
    <row r="1083" spans="1:6" x14ac:dyDescent="0.3">
      <c r="A1083" s="629">
        <v>45635.710277777776</v>
      </c>
      <c r="B1083">
        <v>542361075</v>
      </c>
      <c r="C1083" t="s">
        <v>277</v>
      </c>
      <c r="D1083" t="s">
        <v>257</v>
      </c>
      <c r="E1083">
        <v>116</v>
      </c>
      <c r="F1083" t="s">
        <v>258</v>
      </c>
    </row>
    <row r="1084" spans="1:6" x14ac:dyDescent="0.3">
      <c r="A1084" s="629">
        <v>45635.710173611114</v>
      </c>
      <c r="B1084">
        <v>542361075</v>
      </c>
      <c r="C1084" t="s">
        <v>277</v>
      </c>
      <c r="D1084" t="s">
        <v>257</v>
      </c>
      <c r="E1084">
        <v>32</v>
      </c>
      <c r="F1084" t="s">
        <v>258</v>
      </c>
    </row>
    <row r="1085" spans="1:6" x14ac:dyDescent="0.3">
      <c r="A1085" s="629">
        <v>45635.709722222222</v>
      </c>
      <c r="B1085">
        <v>542361075</v>
      </c>
      <c r="C1085" t="s">
        <v>277</v>
      </c>
      <c r="D1085" t="s">
        <v>257</v>
      </c>
      <c r="E1085">
        <v>169</v>
      </c>
      <c r="F1085" t="s">
        <v>258</v>
      </c>
    </row>
    <row r="1086" spans="1:6" x14ac:dyDescent="0.3">
      <c r="A1086" s="629">
        <v>45635.709641203706</v>
      </c>
      <c r="B1086">
        <v>542361075</v>
      </c>
      <c r="C1086" t="s">
        <v>277</v>
      </c>
      <c r="D1086" t="s">
        <v>257</v>
      </c>
      <c r="E1086">
        <v>95</v>
      </c>
      <c r="F1086" t="s">
        <v>258</v>
      </c>
    </row>
    <row r="1087" spans="1:6" x14ac:dyDescent="0.3">
      <c r="A1087" s="629">
        <v>45635.709618055553</v>
      </c>
      <c r="B1087">
        <v>542361075</v>
      </c>
      <c r="C1087" t="s">
        <v>277</v>
      </c>
      <c r="D1087" t="s">
        <v>257</v>
      </c>
      <c r="E1087">
        <v>1005</v>
      </c>
      <c r="F1087" t="s">
        <v>258</v>
      </c>
    </row>
    <row r="1088" spans="1:6" x14ac:dyDescent="0.3">
      <c r="A1088" s="629">
        <v>45635.70957175926</v>
      </c>
      <c r="B1088">
        <v>542361075</v>
      </c>
      <c r="C1088" t="s">
        <v>277</v>
      </c>
      <c r="D1088" t="s">
        <v>257</v>
      </c>
      <c r="E1088">
        <v>12</v>
      </c>
      <c r="F1088" t="s">
        <v>258</v>
      </c>
    </row>
    <row r="1089" spans="1:6" x14ac:dyDescent="0.3">
      <c r="A1089" s="629">
        <v>45635.709467592591</v>
      </c>
      <c r="B1089">
        <v>542361075</v>
      </c>
      <c r="C1089" t="s">
        <v>277</v>
      </c>
      <c r="D1089" t="s">
        <v>257</v>
      </c>
      <c r="E1089">
        <v>237</v>
      </c>
      <c r="F1089" t="s">
        <v>258</v>
      </c>
    </row>
    <row r="1090" spans="1:6" x14ac:dyDescent="0.3">
      <c r="A1090" s="629">
        <v>45635.709351851852</v>
      </c>
      <c r="B1090">
        <v>542361075</v>
      </c>
      <c r="C1090" t="s">
        <v>277</v>
      </c>
      <c r="D1090" t="s">
        <v>257</v>
      </c>
      <c r="E1090">
        <v>30</v>
      </c>
      <c r="F1090" t="s">
        <v>258</v>
      </c>
    </row>
    <row r="1091" spans="1:6" x14ac:dyDescent="0.3">
      <c r="A1091" s="629">
        <v>45635.709317129629</v>
      </c>
      <c r="B1091">
        <v>542361075</v>
      </c>
      <c r="C1091" t="s">
        <v>277</v>
      </c>
      <c r="D1091" t="s">
        <v>257</v>
      </c>
      <c r="E1091">
        <v>195</v>
      </c>
      <c r="F1091" t="s">
        <v>258</v>
      </c>
    </row>
    <row r="1092" spans="1:6" x14ac:dyDescent="0.3">
      <c r="A1092" s="629">
        <v>45635.709282407406</v>
      </c>
      <c r="B1092">
        <v>542361075</v>
      </c>
      <c r="C1092" t="s">
        <v>277</v>
      </c>
      <c r="D1092" t="s">
        <v>257</v>
      </c>
      <c r="E1092">
        <v>19</v>
      </c>
      <c r="F1092" t="s">
        <v>258</v>
      </c>
    </row>
    <row r="1093" spans="1:6" x14ac:dyDescent="0.3">
      <c r="A1093" s="629">
        <v>45635.709247685183</v>
      </c>
      <c r="B1093">
        <v>542361075</v>
      </c>
      <c r="C1093" t="s">
        <v>277</v>
      </c>
      <c r="D1093" t="s">
        <v>257</v>
      </c>
      <c r="E1093">
        <v>146</v>
      </c>
      <c r="F1093" t="s">
        <v>258</v>
      </c>
    </row>
    <row r="1094" spans="1:6" x14ac:dyDescent="0.3">
      <c r="A1094" s="629">
        <v>45635.70921296296</v>
      </c>
      <c r="B1094">
        <v>542361075</v>
      </c>
      <c r="C1094" t="s">
        <v>277</v>
      </c>
      <c r="D1094" t="s">
        <v>257</v>
      </c>
      <c r="E1094">
        <v>236</v>
      </c>
      <c r="F1094" t="s">
        <v>258</v>
      </c>
    </row>
    <row r="1095" spans="1:6" x14ac:dyDescent="0.3">
      <c r="A1095" s="629">
        <v>45635.709155092591</v>
      </c>
      <c r="B1095">
        <v>542361075</v>
      </c>
      <c r="C1095" t="s">
        <v>277</v>
      </c>
      <c r="D1095" t="s">
        <v>257</v>
      </c>
      <c r="E1095">
        <v>234</v>
      </c>
      <c r="F1095" t="s">
        <v>258</v>
      </c>
    </row>
    <row r="1096" spans="1:6" x14ac:dyDescent="0.3">
      <c r="A1096" s="629">
        <v>45635.708854166667</v>
      </c>
      <c r="B1096">
        <v>542361075</v>
      </c>
      <c r="C1096" t="s">
        <v>277</v>
      </c>
      <c r="D1096" t="s">
        <v>257</v>
      </c>
      <c r="E1096">
        <v>51</v>
      </c>
      <c r="F1096" t="s">
        <v>258</v>
      </c>
    </row>
    <row r="1097" spans="1:6" x14ac:dyDescent="0.3">
      <c r="A1097" s="629">
        <v>45635.708831018521</v>
      </c>
      <c r="B1097">
        <v>542361075</v>
      </c>
      <c r="C1097" t="s">
        <v>277</v>
      </c>
      <c r="D1097" t="s">
        <v>257</v>
      </c>
      <c r="E1097">
        <v>141</v>
      </c>
      <c r="F1097" t="s">
        <v>258</v>
      </c>
    </row>
    <row r="1098" spans="1:6" x14ac:dyDescent="0.3">
      <c r="A1098" s="629">
        <v>45635.708784722221</v>
      </c>
      <c r="B1098">
        <v>542361075</v>
      </c>
      <c r="C1098" t="s">
        <v>277</v>
      </c>
      <c r="D1098" t="s">
        <v>257</v>
      </c>
      <c r="E1098">
        <v>166</v>
      </c>
      <c r="F1098" t="s">
        <v>258</v>
      </c>
    </row>
    <row r="1099" spans="1:6" x14ac:dyDescent="0.3">
      <c r="A1099" s="629">
        <v>45635.708761574075</v>
      </c>
      <c r="B1099">
        <v>542361075</v>
      </c>
      <c r="C1099" t="s">
        <v>277</v>
      </c>
      <c r="D1099" t="s">
        <v>257</v>
      </c>
      <c r="E1099">
        <v>39</v>
      </c>
      <c r="F1099" t="s">
        <v>258</v>
      </c>
    </row>
    <row r="1100" spans="1:6" x14ac:dyDescent="0.3">
      <c r="A1100" s="629">
        <v>45635.708715277775</v>
      </c>
      <c r="B1100">
        <v>542361075</v>
      </c>
      <c r="C1100" t="s">
        <v>277</v>
      </c>
      <c r="D1100" t="s">
        <v>257</v>
      </c>
      <c r="E1100">
        <v>64</v>
      </c>
      <c r="F1100" t="s">
        <v>258</v>
      </c>
    </row>
    <row r="1101" spans="1:6" x14ac:dyDescent="0.3">
      <c r="A1101" s="629">
        <v>45635.708680555559</v>
      </c>
      <c r="B1101">
        <v>542361075</v>
      </c>
      <c r="C1101" t="s">
        <v>277</v>
      </c>
      <c r="D1101" t="s">
        <v>257</v>
      </c>
      <c r="E1101">
        <v>217</v>
      </c>
      <c r="F1101" t="s">
        <v>258</v>
      </c>
    </row>
    <row r="1102" spans="1:6" x14ac:dyDescent="0.3">
      <c r="A1102" s="629">
        <v>45635.708657407406</v>
      </c>
      <c r="B1102">
        <v>542361075</v>
      </c>
      <c r="C1102" t="s">
        <v>277</v>
      </c>
      <c r="D1102" t="s">
        <v>257</v>
      </c>
      <c r="E1102">
        <v>222</v>
      </c>
      <c r="F1102" t="s">
        <v>258</v>
      </c>
    </row>
    <row r="1103" spans="1:6" x14ac:dyDescent="0.3">
      <c r="A1103" s="629">
        <v>45635.708611111113</v>
      </c>
      <c r="B1103">
        <v>542361075</v>
      </c>
      <c r="C1103" t="s">
        <v>277</v>
      </c>
      <c r="D1103" t="s">
        <v>257</v>
      </c>
      <c r="E1103">
        <v>212</v>
      </c>
      <c r="F1103" t="s">
        <v>258</v>
      </c>
    </row>
    <row r="1104" spans="1:6" x14ac:dyDescent="0.3">
      <c r="A1104" s="629">
        <v>45635.708495370367</v>
      </c>
      <c r="B1104">
        <v>542361075</v>
      </c>
      <c r="C1104" t="s">
        <v>277</v>
      </c>
      <c r="D1104" t="s">
        <v>257</v>
      </c>
      <c r="E1104">
        <v>28</v>
      </c>
      <c r="F1104" t="s">
        <v>258</v>
      </c>
    </row>
    <row r="1105" spans="1:6" x14ac:dyDescent="0.3">
      <c r="A1105" s="629">
        <v>45635.708460648151</v>
      </c>
      <c r="B1105">
        <v>542361075</v>
      </c>
      <c r="C1105" t="s">
        <v>277</v>
      </c>
      <c r="D1105" t="s">
        <v>257</v>
      </c>
      <c r="E1105">
        <v>247</v>
      </c>
      <c r="F1105" t="s">
        <v>258</v>
      </c>
    </row>
    <row r="1106" spans="1:6" x14ac:dyDescent="0.3">
      <c r="A1106" s="629">
        <v>45635.708414351851</v>
      </c>
      <c r="B1106">
        <v>542361075</v>
      </c>
      <c r="C1106" t="s">
        <v>277</v>
      </c>
      <c r="D1106" t="s">
        <v>257</v>
      </c>
      <c r="E1106">
        <v>26</v>
      </c>
      <c r="F1106" t="s">
        <v>258</v>
      </c>
    </row>
    <row r="1107" spans="1:6" x14ac:dyDescent="0.3">
      <c r="A1107" s="629">
        <v>45635.708368055559</v>
      </c>
      <c r="B1107">
        <v>542361075</v>
      </c>
      <c r="C1107" t="s">
        <v>277</v>
      </c>
      <c r="D1107" t="s">
        <v>257</v>
      </c>
      <c r="E1107">
        <v>245</v>
      </c>
      <c r="F1107" t="s">
        <v>258</v>
      </c>
    </row>
    <row r="1108" spans="1:6" x14ac:dyDescent="0.3">
      <c r="A1108" s="629">
        <v>45635.707951388889</v>
      </c>
      <c r="B1108">
        <v>542361075</v>
      </c>
      <c r="C1108" t="s">
        <v>277</v>
      </c>
      <c r="D1108" t="s">
        <v>257</v>
      </c>
      <c r="E1108">
        <v>6</v>
      </c>
      <c r="F1108" t="s">
        <v>258</v>
      </c>
    </row>
    <row r="1109" spans="1:6" x14ac:dyDescent="0.3">
      <c r="A1109" s="629">
        <v>45635.69736111111</v>
      </c>
      <c r="B1109">
        <v>542361075</v>
      </c>
      <c r="C1109" t="s">
        <v>277</v>
      </c>
      <c r="D1109" t="s">
        <v>257</v>
      </c>
      <c r="E1109">
        <v>41</v>
      </c>
      <c r="F1109" t="s">
        <v>258</v>
      </c>
    </row>
    <row r="1110" spans="1:6" x14ac:dyDescent="0.3">
      <c r="A1110" s="629">
        <v>45635.697280092594</v>
      </c>
      <c r="B1110">
        <v>542361075</v>
      </c>
      <c r="C1110" t="s">
        <v>277</v>
      </c>
      <c r="D1110" t="s">
        <v>257</v>
      </c>
      <c r="E1110">
        <v>97</v>
      </c>
      <c r="F1110" t="s">
        <v>258</v>
      </c>
    </row>
    <row r="1111" spans="1:6" x14ac:dyDescent="0.3">
      <c r="A1111" s="629">
        <v>45635.692916666667</v>
      </c>
      <c r="B1111">
        <v>542361075</v>
      </c>
      <c r="C1111" t="s">
        <v>277</v>
      </c>
      <c r="D1111" t="s">
        <v>257</v>
      </c>
      <c r="E1111">
        <v>239</v>
      </c>
      <c r="F1111" t="s">
        <v>258</v>
      </c>
    </row>
    <row r="1112" spans="1:6" x14ac:dyDescent="0.3">
      <c r="A1112" s="629">
        <v>45635.680821759262</v>
      </c>
      <c r="B1112">
        <v>542361075</v>
      </c>
      <c r="C1112" t="s">
        <v>277</v>
      </c>
      <c r="D1112" t="s">
        <v>257</v>
      </c>
      <c r="E1112">
        <v>172</v>
      </c>
      <c r="F1112" t="s">
        <v>258</v>
      </c>
    </row>
    <row r="1113" spans="1:6" x14ac:dyDescent="0.3">
      <c r="A1113" s="629">
        <v>45635.674803240741</v>
      </c>
      <c r="B1113">
        <v>542361075</v>
      </c>
      <c r="C1113" t="s">
        <v>277</v>
      </c>
      <c r="D1113" t="s">
        <v>257</v>
      </c>
      <c r="E1113">
        <v>63</v>
      </c>
      <c r="F1113" t="s">
        <v>258</v>
      </c>
    </row>
    <row r="1114" spans="1:6" x14ac:dyDescent="0.3">
      <c r="A1114" s="629">
        <v>45635.672256944446</v>
      </c>
      <c r="B1114">
        <v>542361075</v>
      </c>
      <c r="C1114" t="s">
        <v>277</v>
      </c>
      <c r="D1114" t="s">
        <v>257</v>
      </c>
      <c r="E1114">
        <v>250</v>
      </c>
      <c r="F1114" t="s">
        <v>258</v>
      </c>
    </row>
    <row r="1115" spans="1:6" x14ac:dyDescent="0.3">
      <c r="A1115" s="629">
        <v>45635.647881944446</v>
      </c>
      <c r="B1115">
        <v>542361075</v>
      </c>
      <c r="C1115" t="s">
        <v>277</v>
      </c>
      <c r="D1115" t="s">
        <v>257</v>
      </c>
      <c r="E1115">
        <v>132</v>
      </c>
      <c r="F1115" t="s">
        <v>258</v>
      </c>
    </row>
    <row r="1116" spans="1:6" x14ac:dyDescent="0.3">
      <c r="A1116" s="629">
        <v>45635.647847222222</v>
      </c>
      <c r="B1116">
        <v>542361075</v>
      </c>
      <c r="C1116" t="s">
        <v>277</v>
      </c>
      <c r="D1116" t="s">
        <v>257</v>
      </c>
      <c r="E1116">
        <v>207</v>
      </c>
      <c r="F1116" t="s">
        <v>258</v>
      </c>
    </row>
    <row r="1117" spans="1:6" x14ac:dyDescent="0.3">
      <c r="A1117" s="629">
        <v>45635.647129629629</v>
      </c>
      <c r="B1117">
        <v>542361075</v>
      </c>
      <c r="C1117" t="s">
        <v>277</v>
      </c>
      <c r="D1117" t="s">
        <v>257</v>
      </c>
      <c r="E1117">
        <v>235</v>
      </c>
      <c r="F1117" t="s">
        <v>258</v>
      </c>
    </row>
    <row r="1118" spans="1:6" x14ac:dyDescent="0.3">
      <c r="A1118" s="629">
        <v>45635.647083333337</v>
      </c>
      <c r="B1118">
        <v>542361075</v>
      </c>
      <c r="C1118" t="s">
        <v>277</v>
      </c>
      <c r="D1118" t="s">
        <v>257</v>
      </c>
      <c r="E1118">
        <v>232</v>
      </c>
      <c r="F1118" t="s">
        <v>258</v>
      </c>
    </row>
    <row r="1119" spans="1:6" x14ac:dyDescent="0.3">
      <c r="A1119" s="629">
        <v>45635.647037037037</v>
      </c>
      <c r="B1119">
        <v>542361075</v>
      </c>
      <c r="C1119" t="s">
        <v>277</v>
      </c>
      <c r="D1119" t="s">
        <v>257</v>
      </c>
      <c r="E1119">
        <v>226</v>
      </c>
      <c r="F1119" t="s">
        <v>258</v>
      </c>
    </row>
    <row r="1120" spans="1:6" x14ac:dyDescent="0.3">
      <c r="A1120" s="629">
        <v>45635.646967592591</v>
      </c>
      <c r="B1120">
        <v>542361075</v>
      </c>
      <c r="C1120" t="s">
        <v>277</v>
      </c>
      <c r="D1120" t="s">
        <v>257</v>
      </c>
      <c r="E1120">
        <v>107</v>
      </c>
      <c r="F1120" t="s">
        <v>258</v>
      </c>
    </row>
    <row r="1121" spans="1:6" x14ac:dyDescent="0.3">
      <c r="A1121" s="629">
        <v>45635.646655092591</v>
      </c>
      <c r="B1121">
        <v>542361075</v>
      </c>
      <c r="C1121" t="s">
        <v>277</v>
      </c>
      <c r="D1121" t="s">
        <v>257</v>
      </c>
      <c r="E1121">
        <v>241</v>
      </c>
      <c r="F1121" t="s">
        <v>258</v>
      </c>
    </row>
    <row r="1122" spans="1:6" x14ac:dyDescent="0.3">
      <c r="A1122" s="629">
        <v>45635.646608796298</v>
      </c>
      <c r="B1122">
        <v>542361075</v>
      </c>
      <c r="C1122" t="s">
        <v>277</v>
      </c>
      <c r="D1122" t="s">
        <v>257</v>
      </c>
      <c r="E1122">
        <v>111</v>
      </c>
      <c r="F1122" t="s">
        <v>258</v>
      </c>
    </row>
    <row r="1123" spans="1:6" x14ac:dyDescent="0.3">
      <c r="A1123" s="629">
        <v>45635.646539351852</v>
      </c>
      <c r="B1123">
        <v>542361075</v>
      </c>
      <c r="C1123" t="s">
        <v>277</v>
      </c>
      <c r="D1123" t="s">
        <v>257</v>
      </c>
      <c r="E1123">
        <v>73</v>
      </c>
      <c r="F1123" t="s">
        <v>258</v>
      </c>
    </row>
    <row r="1124" spans="1:6" x14ac:dyDescent="0.3">
      <c r="A1124" s="629">
        <v>45635.646458333336</v>
      </c>
      <c r="B1124">
        <v>542361075</v>
      </c>
      <c r="C1124" t="s">
        <v>277</v>
      </c>
      <c r="D1124" t="s">
        <v>257</v>
      </c>
      <c r="E1124">
        <v>230</v>
      </c>
      <c r="F1124" t="s">
        <v>258</v>
      </c>
    </row>
    <row r="1125" spans="1:6" x14ac:dyDescent="0.3">
      <c r="A1125" s="629">
        <v>45635.646307870367</v>
      </c>
      <c r="B1125">
        <v>542361075</v>
      </c>
      <c r="C1125" t="s">
        <v>277</v>
      </c>
      <c r="D1125" t="s">
        <v>257</v>
      </c>
      <c r="E1125">
        <v>69</v>
      </c>
      <c r="F1125" t="s">
        <v>258</v>
      </c>
    </row>
    <row r="1126" spans="1:6" x14ac:dyDescent="0.3">
      <c r="A1126" s="629">
        <v>45635.63821759259</v>
      </c>
      <c r="B1126">
        <v>542361075</v>
      </c>
      <c r="C1126" t="s">
        <v>277</v>
      </c>
      <c r="D1126" t="s">
        <v>257</v>
      </c>
      <c r="E1126">
        <v>89</v>
      </c>
      <c r="F1126" t="s">
        <v>258</v>
      </c>
    </row>
    <row r="1127" spans="1:6" x14ac:dyDescent="0.3">
      <c r="A1127" s="629">
        <v>45635.567280092589</v>
      </c>
      <c r="B1127">
        <v>542361075</v>
      </c>
      <c r="C1127" t="s">
        <v>277</v>
      </c>
      <c r="D1127" t="s">
        <v>257</v>
      </c>
      <c r="E1127">
        <v>28</v>
      </c>
      <c r="F1127" t="s">
        <v>258</v>
      </c>
    </row>
    <row r="1128" spans="1:6" x14ac:dyDescent="0.3">
      <c r="A1128" s="629">
        <v>45635.562002314815</v>
      </c>
      <c r="B1128">
        <v>542361075</v>
      </c>
      <c r="C1128" t="s">
        <v>277</v>
      </c>
      <c r="D1128" t="s">
        <v>257</v>
      </c>
      <c r="E1128">
        <v>19</v>
      </c>
      <c r="F1128" t="s">
        <v>258</v>
      </c>
    </row>
    <row r="1129" spans="1:6" x14ac:dyDescent="0.3">
      <c r="A1129" s="629">
        <v>45635.547986111109</v>
      </c>
      <c r="B1129">
        <v>542361075</v>
      </c>
      <c r="C1129" t="s">
        <v>277</v>
      </c>
      <c r="D1129" t="s">
        <v>257</v>
      </c>
      <c r="E1129">
        <v>59</v>
      </c>
      <c r="F1129" t="s">
        <v>258</v>
      </c>
    </row>
    <row r="1130" spans="1:6" x14ac:dyDescent="0.3">
      <c r="A1130" s="629">
        <v>45635.54650462963</v>
      </c>
      <c r="B1130">
        <v>542361075</v>
      </c>
      <c r="C1130" t="s">
        <v>277</v>
      </c>
      <c r="D1130" t="s">
        <v>257</v>
      </c>
      <c r="E1130">
        <v>245</v>
      </c>
      <c r="F1130" t="s">
        <v>258</v>
      </c>
    </row>
    <row r="1131" spans="1:6" x14ac:dyDescent="0.3">
      <c r="A1131" s="629">
        <v>45635.545856481483</v>
      </c>
      <c r="B1131">
        <v>542361075</v>
      </c>
      <c r="C1131" t="s">
        <v>277</v>
      </c>
      <c r="D1131" t="s">
        <v>257</v>
      </c>
      <c r="E1131">
        <v>216</v>
      </c>
      <c r="F1131" t="s">
        <v>258</v>
      </c>
    </row>
    <row r="1132" spans="1:6" x14ac:dyDescent="0.3">
      <c r="A1132" s="629">
        <v>45635.543321759258</v>
      </c>
      <c r="B1132">
        <v>542361075</v>
      </c>
      <c r="C1132" t="s">
        <v>277</v>
      </c>
      <c r="D1132" t="s">
        <v>257</v>
      </c>
      <c r="E1132">
        <v>28</v>
      </c>
      <c r="F1132" t="s">
        <v>258</v>
      </c>
    </row>
    <row r="1133" spans="1:6" x14ac:dyDescent="0.3">
      <c r="A1133" s="629">
        <v>45635.53875</v>
      </c>
      <c r="B1133">
        <v>542361075</v>
      </c>
      <c r="C1133" t="s">
        <v>277</v>
      </c>
      <c r="D1133" t="s">
        <v>257</v>
      </c>
      <c r="E1133">
        <v>19</v>
      </c>
      <c r="F1133" t="s">
        <v>258</v>
      </c>
    </row>
    <row r="1134" spans="1:6" x14ac:dyDescent="0.3">
      <c r="A1134" s="629">
        <v>45635.536828703705</v>
      </c>
      <c r="B1134">
        <v>542361075</v>
      </c>
      <c r="C1134" t="s">
        <v>277</v>
      </c>
      <c r="D1134" t="s">
        <v>257</v>
      </c>
      <c r="E1134">
        <v>32</v>
      </c>
      <c r="F1134" t="s">
        <v>258</v>
      </c>
    </row>
    <row r="1135" spans="1:6" x14ac:dyDescent="0.3">
      <c r="A1135" s="629">
        <v>45635.524027777778</v>
      </c>
      <c r="B1135">
        <v>542361075</v>
      </c>
      <c r="C1135" t="s">
        <v>277</v>
      </c>
      <c r="D1135" t="s">
        <v>257</v>
      </c>
      <c r="E1135">
        <v>59</v>
      </c>
      <c r="F1135" t="s">
        <v>258</v>
      </c>
    </row>
    <row r="1136" spans="1:6" x14ac:dyDescent="0.3">
      <c r="A1136" s="629">
        <v>45635.522129629629</v>
      </c>
      <c r="B1136">
        <v>542361075</v>
      </c>
      <c r="C1136" t="s">
        <v>277</v>
      </c>
      <c r="D1136" t="s">
        <v>257</v>
      </c>
      <c r="E1136">
        <v>12</v>
      </c>
      <c r="F1136" t="s">
        <v>258</v>
      </c>
    </row>
    <row r="1137" spans="1:6" x14ac:dyDescent="0.3">
      <c r="A1137" s="629">
        <v>45635.520983796298</v>
      </c>
      <c r="B1137">
        <v>542361075</v>
      </c>
      <c r="C1137" t="s">
        <v>277</v>
      </c>
      <c r="D1137" t="s">
        <v>257</v>
      </c>
      <c r="E1137">
        <v>216</v>
      </c>
      <c r="F1137" t="s">
        <v>258</v>
      </c>
    </row>
    <row r="1138" spans="1:6" x14ac:dyDescent="0.3">
      <c r="A1138" s="629">
        <v>45635.518900462965</v>
      </c>
      <c r="B1138">
        <v>542361075</v>
      </c>
      <c r="C1138" t="s">
        <v>277</v>
      </c>
      <c r="D1138" t="s">
        <v>257</v>
      </c>
      <c r="E1138">
        <v>241</v>
      </c>
      <c r="F1138" t="s">
        <v>258</v>
      </c>
    </row>
    <row r="1139" spans="1:6" x14ac:dyDescent="0.3">
      <c r="A1139" s="629">
        <v>45635.51835648148</v>
      </c>
      <c r="B1139">
        <v>542361075</v>
      </c>
      <c r="C1139" t="s">
        <v>277</v>
      </c>
      <c r="D1139" t="s">
        <v>257</v>
      </c>
      <c r="E1139">
        <v>32</v>
      </c>
      <c r="F1139" t="s">
        <v>258</v>
      </c>
    </row>
    <row r="1140" spans="1:6" x14ac:dyDescent="0.3">
      <c r="A1140" s="629">
        <v>45635.518009259256</v>
      </c>
      <c r="B1140">
        <v>542361075</v>
      </c>
      <c r="C1140" t="s">
        <v>277</v>
      </c>
      <c r="D1140" t="s">
        <v>257</v>
      </c>
      <c r="E1140">
        <v>245</v>
      </c>
      <c r="F1140" t="s">
        <v>258</v>
      </c>
    </row>
    <row r="1141" spans="1:6" x14ac:dyDescent="0.3">
      <c r="A1141" s="629">
        <v>45635.508472222224</v>
      </c>
      <c r="B1141">
        <v>542361075</v>
      </c>
      <c r="C1141" t="s">
        <v>277</v>
      </c>
      <c r="D1141" t="s">
        <v>257</v>
      </c>
      <c r="E1141">
        <v>51</v>
      </c>
      <c r="F1141" t="s">
        <v>258</v>
      </c>
    </row>
    <row r="1142" spans="1:6" x14ac:dyDescent="0.3">
      <c r="A1142" s="629">
        <v>45635.50576388889</v>
      </c>
      <c r="B1142">
        <v>542361075</v>
      </c>
      <c r="C1142" t="s">
        <v>277</v>
      </c>
      <c r="D1142" t="s">
        <v>257</v>
      </c>
      <c r="E1142">
        <v>241</v>
      </c>
      <c r="F1142" t="s">
        <v>258</v>
      </c>
    </row>
    <row r="1143" spans="1:6" x14ac:dyDescent="0.3">
      <c r="A1143" s="629">
        <v>45635.501944444448</v>
      </c>
      <c r="B1143">
        <v>542361075</v>
      </c>
      <c r="C1143" t="s">
        <v>277</v>
      </c>
      <c r="D1143" t="s">
        <v>257</v>
      </c>
      <c r="E1143">
        <v>12</v>
      </c>
      <c r="F1143" t="s">
        <v>258</v>
      </c>
    </row>
    <row r="1144" spans="1:6" x14ac:dyDescent="0.3">
      <c r="A1144" s="629">
        <v>45635.499259259261</v>
      </c>
      <c r="B1144">
        <v>542361075</v>
      </c>
      <c r="C1144" t="s">
        <v>277</v>
      </c>
      <c r="D1144" t="s">
        <v>257</v>
      </c>
      <c r="E1144">
        <v>237</v>
      </c>
      <c r="F1144" t="s">
        <v>258</v>
      </c>
    </row>
    <row r="1145" spans="1:6" x14ac:dyDescent="0.3">
      <c r="A1145" s="629">
        <v>45635.493935185186</v>
      </c>
      <c r="B1145">
        <v>542361075</v>
      </c>
      <c r="C1145" t="s">
        <v>277</v>
      </c>
      <c r="D1145" t="s">
        <v>257</v>
      </c>
      <c r="E1145">
        <v>2</v>
      </c>
      <c r="F1145" t="s">
        <v>258</v>
      </c>
    </row>
    <row r="1146" spans="1:6" x14ac:dyDescent="0.3">
      <c r="A1146" s="629">
        <v>45635.493888888886</v>
      </c>
      <c r="B1146">
        <v>542361075</v>
      </c>
      <c r="C1146" t="s">
        <v>277</v>
      </c>
      <c r="D1146" t="s">
        <v>257</v>
      </c>
      <c r="E1146">
        <v>6</v>
      </c>
      <c r="F1146" t="s">
        <v>258</v>
      </c>
    </row>
    <row r="1147" spans="1:6" x14ac:dyDescent="0.3">
      <c r="A1147" s="629">
        <v>45635.489988425928</v>
      </c>
      <c r="B1147">
        <v>542361075</v>
      </c>
      <c r="C1147" t="s">
        <v>277</v>
      </c>
      <c r="D1147" t="s">
        <v>257</v>
      </c>
      <c r="E1147">
        <v>26</v>
      </c>
      <c r="F1147" t="s">
        <v>258</v>
      </c>
    </row>
    <row r="1148" spans="1:6" x14ac:dyDescent="0.3">
      <c r="A1148" s="629">
        <v>45635.485590277778</v>
      </c>
      <c r="B1148">
        <v>542361075</v>
      </c>
      <c r="C1148" t="s">
        <v>277</v>
      </c>
      <c r="D1148" t="s">
        <v>257</v>
      </c>
      <c r="E1148">
        <v>141</v>
      </c>
      <c r="F1148" t="s">
        <v>258</v>
      </c>
    </row>
    <row r="1149" spans="1:6" x14ac:dyDescent="0.3">
      <c r="A1149" s="629">
        <v>45635.485555555555</v>
      </c>
      <c r="B1149">
        <v>542361075</v>
      </c>
      <c r="C1149" t="s">
        <v>277</v>
      </c>
      <c r="D1149" t="s">
        <v>257</v>
      </c>
      <c r="E1149">
        <v>39</v>
      </c>
      <c r="F1149" t="s">
        <v>258</v>
      </c>
    </row>
    <row r="1150" spans="1:6" x14ac:dyDescent="0.3">
      <c r="A1150" s="629">
        <v>45635.485520833332</v>
      </c>
      <c r="B1150">
        <v>542361075</v>
      </c>
      <c r="C1150" t="s">
        <v>277</v>
      </c>
      <c r="D1150" t="s">
        <v>257</v>
      </c>
      <c r="E1150">
        <v>166</v>
      </c>
      <c r="F1150" t="s">
        <v>258</v>
      </c>
    </row>
    <row r="1151" spans="1:6" x14ac:dyDescent="0.3">
      <c r="A1151" s="629">
        <v>45635.483495370368</v>
      </c>
      <c r="B1151">
        <v>542361075</v>
      </c>
      <c r="C1151" t="s">
        <v>277</v>
      </c>
      <c r="D1151" t="s">
        <v>257</v>
      </c>
      <c r="E1151">
        <v>95</v>
      </c>
      <c r="F1151" t="s">
        <v>258</v>
      </c>
    </row>
    <row r="1152" spans="1:6" x14ac:dyDescent="0.3">
      <c r="A1152" s="629">
        <v>45635.481678240743</v>
      </c>
      <c r="B1152">
        <v>542361075</v>
      </c>
      <c r="C1152" t="s">
        <v>277</v>
      </c>
      <c r="D1152" t="s">
        <v>257</v>
      </c>
      <c r="E1152">
        <v>51</v>
      </c>
      <c r="F1152" t="s">
        <v>258</v>
      </c>
    </row>
    <row r="1153" spans="1:6" x14ac:dyDescent="0.3">
      <c r="A1153" s="629">
        <v>45635.478726851848</v>
      </c>
      <c r="B1153">
        <v>542361075</v>
      </c>
      <c r="C1153" t="s">
        <v>277</v>
      </c>
      <c r="D1153" t="s">
        <v>257</v>
      </c>
      <c r="E1153">
        <v>237</v>
      </c>
      <c r="F1153" t="s">
        <v>258</v>
      </c>
    </row>
    <row r="1154" spans="1:6" x14ac:dyDescent="0.3">
      <c r="A1154" s="629">
        <v>45635.477372685185</v>
      </c>
      <c r="B1154">
        <v>542361075</v>
      </c>
      <c r="C1154" t="s">
        <v>277</v>
      </c>
      <c r="D1154" t="s">
        <v>257</v>
      </c>
      <c r="E1154">
        <v>220</v>
      </c>
      <c r="F1154" t="s">
        <v>258</v>
      </c>
    </row>
    <row r="1155" spans="1:6" x14ac:dyDescent="0.3">
      <c r="A1155" s="629">
        <v>45635.475937499999</v>
      </c>
      <c r="B1155">
        <v>542361075</v>
      </c>
      <c r="C1155" t="s">
        <v>277</v>
      </c>
      <c r="D1155" t="s">
        <v>257</v>
      </c>
      <c r="E1155">
        <v>146</v>
      </c>
      <c r="F1155" t="s">
        <v>258</v>
      </c>
    </row>
    <row r="1156" spans="1:6" x14ac:dyDescent="0.3">
      <c r="A1156" s="629">
        <v>45635.467731481483</v>
      </c>
      <c r="B1156">
        <v>542361075</v>
      </c>
      <c r="C1156" t="s">
        <v>277</v>
      </c>
      <c r="D1156" t="s">
        <v>257</v>
      </c>
      <c r="E1156">
        <v>26</v>
      </c>
      <c r="F1156" t="s">
        <v>258</v>
      </c>
    </row>
    <row r="1157" spans="1:6" x14ac:dyDescent="0.3">
      <c r="A1157" s="629">
        <v>45635.465312499997</v>
      </c>
      <c r="B1157">
        <v>542361075</v>
      </c>
      <c r="C1157" t="s">
        <v>277</v>
      </c>
      <c r="D1157" t="s">
        <v>257</v>
      </c>
      <c r="E1157">
        <v>6</v>
      </c>
      <c r="F1157" t="s">
        <v>258</v>
      </c>
    </row>
    <row r="1158" spans="1:6" x14ac:dyDescent="0.3">
      <c r="A1158" s="629">
        <v>45635.465208333335</v>
      </c>
      <c r="B1158">
        <v>542361075</v>
      </c>
      <c r="C1158" t="s">
        <v>277</v>
      </c>
      <c r="D1158" t="s">
        <v>257</v>
      </c>
      <c r="E1158">
        <v>2</v>
      </c>
      <c r="F1158" t="s">
        <v>258</v>
      </c>
    </row>
    <row r="1159" spans="1:6" x14ac:dyDescent="0.3">
      <c r="A1159" s="629">
        <v>45635.462361111109</v>
      </c>
      <c r="B1159">
        <v>542361075</v>
      </c>
      <c r="C1159" t="s">
        <v>277</v>
      </c>
      <c r="D1159" t="s">
        <v>257</v>
      </c>
      <c r="E1159">
        <v>95</v>
      </c>
      <c r="F1159" t="s">
        <v>258</v>
      </c>
    </row>
    <row r="1160" spans="1:6" x14ac:dyDescent="0.3">
      <c r="A1160" s="629">
        <v>45635.460138888891</v>
      </c>
      <c r="B1160">
        <v>542361075</v>
      </c>
      <c r="C1160" t="s">
        <v>277</v>
      </c>
      <c r="D1160" t="s">
        <v>257</v>
      </c>
      <c r="E1160">
        <v>146</v>
      </c>
      <c r="F1160" t="s">
        <v>258</v>
      </c>
    </row>
    <row r="1161" spans="1:6" x14ac:dyDescent="0.3">
      <c r="A1161" s="629">
        <v>45635.459409722222</v>
      </c>
      <c r="B1161">
        <v>542361075</v>
      </c>
      <c r="C1161" t="s">
        <v>277</v>
      </c>
      <c r="D1161" t="s">
        <v>257</v>
      </c>
      <c r="E1161">
        <v>236</v>
      </c>
      <c r="F1161" t="s">
        <v>258</v>
      </c>
    </row>
    <row r="1162" spans="1:6" x14ac:dyDescent="0.3">
      <c r="A1162" s="629">
        <v>45635.459282407406</v>
      </c>
      <c r="B1162">
        <v>542361075</v>
      </c>
      <c r="C1162" t="s">
        <v>277</v>
      </c>
      <c r="D1162" t="s">
        <v>257</v>
      </c>
      <c r="E1162">
        <v>212</v>
      </c>
      <c r="F1162" t="s">
        <v>258</v>
      </c>
    </row>
    <row r="1163" spans="1:6" x14ac:dyDescent="0.3">
      <c r="A1163" s="629">
        <v>45635.459108796298</v>
      </c>
      <c r="B1163">
        <v>542361075</v>
      </c>
      <c r="C1163" t="s">
        <v>277</v>
      </c>
      <c r="D1163" t="s">
        <v>257</v>
      </c>
      <c r="E1163">
        <v>169</v>
      </c>
      <c r="F1163" t="s">
        <v>258</v>
      </c>
    </row>
    <row r="1164" spans="1:6" x14ac:dyDescent="0.3">
      <c r="A1164" s="629">
        <v>45635.457488425927</v>
      </c>
      <c r="B1164">
        <v>542361075</v>
      </c>
      <c r="C1164" t="s">
        <v>277</v>
      </c>
      <c r="D1164" t="s">
        <v>257</v>
      </c>
      <c r="E1164">
        <v>220</v>
      </c>
      <c r="F1164" t="s">
        <v>258</v>
      </c>
    </row>
    <row r="1165" spans="1:6" x14ac:dyDescent="0.3">
      <c r="A1165" s="629">
        <v>45635.454652777778</v>
      </c>
      <c r="B1165">
        <v>542361075</v>
      </c>
      <c r="C1165" t="s">
        <v>277</v>
      </c>
      <c r="D1165" t="s">
        <v>257</v>
      </c>
      <c r="E1165">
        <v>141</v>
      </c>
      <c r="F1165" t="s">
        <v>258</v>
      </c>
    </row>
    <row r="1166" spans="1:6" x14ac:dyDescent="0.3">
      <c r="A1166" s="629">
        <v>45635.454618055555</v>
      </c>
      <c r="B1166">
        <v>542361075</v>
      </c>
      <c r="C1166" t="s">
        <v>277</v>
      </c>
      <c r="D1166" t="s">
        <v>257</v>
      </c>
      <c r="E1166">
        <v>39</v>
      </c>
      <c r="F1166" t="s">
        <v>258</v>
      </c>
    </row>
    <row r="1167" spans="1:6" x14ac:dyDescent="0.3">
      <c r="A1167" s="629">
        <v>45635.454583333332</v>
      </c>
      <c r="B1167">
        <v>542361075</v>
      </c>
      <c r="C1167" t="s">
        <v>277</v>
      </c>
      <c r="D1167" t="s">
        <v>257</v>
      </c>
      <c r="E1167">
        <v>166</v>
      </c>
      <c r="F1167" t="s">
        <v>258</v>
      </c>
    </row>
    <row r="1168" spans="1:6" x14ac:dyDescent="0.3">
      <c r="A1168" s="629">
        <v>45635.446250000001</v>
      </c>
      <c r="B1168">
        <v>542361075</v>
      </c>
      <c r="C1168" t="s">
        <v>277</v>
      </c>
      <c r="D1168" t="s">
        <v>257</v>
      </c>
      <c r="E1168">
        <v>116</v>
      </c>
      <c r="F1168" t="s">
        <v>258</v>
      </c>
    </row>
    <row r="1169" spans="1:6" x14ac:dyDescent="0.3">
      <c r="A1169" s="629">
        <v>45635.440983796296</v>
      </c>
      <c r="B1169">
        <v>542361075</v>
      </c>
      <c r="C1169" t="s">
        <v>277</v>
      </c>
      <c r="D1169" t="s">
        <v>257</v>
      </c>
      <c r="E1169">
        <v>212</v>
      </c>
      <c r="F1169" t="s">
        <v>258</v>
      </c>
    </row>
    <row r="1170" spans="1:6" x14ac:dyDescent="0.3">
      <c r="A1170" s="629">
        <v>45635.440937500003</v>
      </c>
      <c r="B1170">
        <v>542361075</v>
      </c>
      <c r="C1170" t="s">
        <v>277</v>
      </c>
      <c r="D1170" t="s">
        <v>257</v>
      </c>
      <c r="E1170">
        <v>169</v>
      </c>
      <c r="F1170" t="s">
        <v>258</v>
      </c>
    </row>
    <row r="1171" spans="1:6" x14ac:dyDescent="0.3">
      <c r="A1171" s="629">
        <v>45635.439791666664</v>
      </c>
      <c r="B1171">
        <v>542361075</v>
      </c>
      <c r="C1171" t="s">
        <v>277</v>
      </c>
      <c r="D1171" t="s">
        <v>257</v>
      </c>
      <c r="E1171">
        <v>222</v>
      </c>
      <c r="F1171" t="s">
        <v>258</v>
      </c>
    </row>
    <row r="1172" spans="1:6" x14ac:dyDescent="0.3">
      <c r="A1172" s="629">
        <v>45635.439282407409</v>
      </c>
      <c r="B1172">
        <v>542361075</v>
      </c>
      <c r="C1172" t="s">
        <v>277</v>
      </c>
      <c r="D1172" t="s">
        <v>257</v>
      </c>
      <c r="E1172">
        <v>236</v>
      </c>
      <c r="F1172" t="s">
        <v>258</v>
      </c>
    </row>
    <row r="1173" spans="1:6" x14ac:dyDescent="0.3">
      <c r="A1173" s="629">
        <v>45635.439004629632</v>
      </c>
      <c r="B1173">
        <v>542361075</v>
      </c>
      <c r="C1173" t="s">
        <v>277</v>
      </c>
      <c r="D1173" t="s">
        <v>257</v>
      </c>
      <c r="E1173">
        <v>217</v>
      </c>
      <c r="F1173" t="s">
        <v>258</v>
      </c>
    </row>
    <row r="1174" spans="1:6" x14ac:dyDescent="0.3">
      <c r="A1174" s="629">
        <v>45635.437777777777</v>
      </c>
      <c r="B1174">
        <v>542361075</v>
      </c>
      <c r="C1174" t="s">
        <v>277</v>
      </c>
      <c r="D1174" t="s">
        <v>257</v>
      </c>
      <c r="E1174">
        <v>234</v>
      </c>
      <c r="F1174" t="s">
        <v>258</v>
      </c>
    </row>
    <row r="1175" spans="1:6" x14ac:dyDescent="0.3">
      <c r="A1175" s="629">
        <v>45635.423090277778</v>
      </c>
      <c r="B1175">
        <v>542361075</v>
      </c>
      <c r="C1175" t="s">
        <v>277</v>
      </c>
      <c r="D1175" t="s">
        <v>257</v>
      </c>
      <c r="E1175">
        <v>116</v>
      </c>
      <c r="F1175" t="s">
        <v>258</v>
      </c>
    </row>
    <row r="1176" spans="1:6" x14ac:dyDescent="0.3">
      <c r="A1176" s="629">
        <v>45635.417743055557</v>
      </c>
      <c r="B1176">
        <v>542361075</v>
      </c>
      <c r="C1176" t="s">
        <v>277</v>
      </c>
      <c r="D1176" t="s">
        <v>257</v>
      </c>
      <c r="E1176">
        <v>234</v>
      </c>
      <c r="F1176" t="s">
        <v>258</v>
      </c>
    </row>
    <row r="1177" spans="1:6" x14ac:dyDescent="0.3">
      <c r="A1177" s="629">
        <v>45635.417673611111</v>
      </c>
      <c r="B1177">
        <v>542361075</v>
      </c>
      <c r="C1177" t="s">
        <v>277</v>
      </c>
      <c r="D1177" t="s">
        <v>257</v>
      </c>
      <c r="E1177">
        <v>217</v>
      </c>
      <c r="F1177" t="s">
        <v>258</v>
      </c>
    </row>
    <row r="1178" spans="1:6" x14ac:dyDescent="0.3">
      <c r="A1178" s="629">
        <v>45635.417638888888</v>
      </c>
      <c r="B1178">
        <v>542361075</v>
      </c>
      <c r="C1178" t="s">
        <v>277</v>
      </c>
      <c r="D1178" t="s">
        <v>257</v>
      </c>
      <c r="E1178">
        <v>222</v>
      </c>
      <c r="F1178" t="s">
        <v>258</v>
      </c>
    </row>
    <row r="1179" spans="1:6" x14ac:dyDescent="0.3">
      <c r="A1179" s="629">
        <v>45635.400543981479</v>
      </c>
      <c r="B1179">
        <v>542361075</v>
      </c>
      <c r="C1179" t="s">
        <v>277</v>
      </c>
      <c r="F1179" t="s">
        <v>449</v>
      </c>
    </row>
    <row r="1180" spans="1:6" x14ac:dyDescent="0.3">
      <c r="A1180" s="629">
        <v>45635.400439814817</v>
      </c>
      <c r="B1180">
        <v>542361075</v>
      </c>
      <c r="C1180" t="s">
        <v>277</v>
      </c>
      <c r="F1180" t="s">
        <v>311</v>
      </c>
    </row>
    <row r="1181" spans="1:6" x14ac:dyDescent="0.3">
      <c r="A1181" s="629">
        <v>45635.400405092594</v>
      </c>
      <c r="B1181">
        <v>542361075</v>
      </c>
      <c r="C1181" t="s">
        <v>277</v>
      </c>
      <c r="F1181" t="s">
        <v>450</v>
      </c>
    </row>
    <row r="1182" spans="1:6" x14ac:dyDescent="0.3">
      <c r="A1182" s="629">
        <v>45635.400405092594</v>
      </c>
      <c r="B1182">
        <v>542361075</v>
      </c>
      <c r="C1182" t="s">
        <v>277</v>
      </c>
      <c r="F1182" t="s">
        <v>451</v>
      </c>
    </row>
    <row r="1183" spans="1:6" x14ac:dyDescent="0.3">
      <c r="A1183" s="629">
        <v>45635.360046296293</v>
      </c>
      <c r="B1183">
        <v>542361075</v>
      </c>
      <c r="C1183" t="s">
        <v>277</v>
      </c>
      <c r="D1183" t="s">
        <v>257</v>
      </c>
      <c r="E1183">
        <v>97</v>
      </c>
      <c r="F1183" t="s">
        <v>258</v>
      </c>
    </row>
    <row r="1184" spans="1:6" x14ac:dyDescent="0.3">
      <c r="A1184" s="629">
        <v>45635.355243055557</v>
      </c>
      <c r="B1184">
        <v>542361075</v>
      </c>
      <c r="C1184" t="s">
        <v>277</v>
      </c>
      <c r="F1184" t="s">
        <v>455</v>
      </c>
    </row>
    <row r="1185" spans="1:6" x14ac:dyDescent="0.3">
      <c r="A1185" s="629">
        <v>45635.354942129627</v>
      </c>
      <c r="B1185">
        <v>542361075</v>
      </c>
      <c r="C1185" t="s">
        <v>277</v>
      </c>
      <c r="F1185" t="s">
        <v>454</v>
      </c>
    </row>
    <row r="1186" spans="1:6" x14ac:dyDescent="0.3">
      <c r="A1186" s="629">
        <v>45635.34034722222</v>
      </c>
      <c r="B1186">
        <v>542361075</v>
      </c>
      <c r="C1186" t="s">
        <v>277</v>
      </c>
      <c r="F1186" t="s">
        <v>456</v>
      </c>
    </row>
    <row r="1187" spans="1:6" x14ac:dyDescent="0.3">
      <c r="A1187" s="629">
        <v>45635.340219907404</v>
      </c>
      <c r="B1187">
        <v>542361075</v>
      </c>
      <c r="C1187" t="s">
        <v>277</v>
      </c>
      <c r="F1187" t="s">
        <v>456</v>
      </c>
    </row>
    <row r="1188" spans="1:6" x14ac:dyDescent="0.3">
      <c r="A1188" s="629">
        <v>45635.339872685188</v>
      </c>
      <c r="B1188">
        <v>542361075</v>
      </c>
      <c r="C1188" t="s">
        <v>277</v>
      </c>
      <c r="F1188" t="s">
        <v>455</v>
      </c>
    </row>
    <row r="1189" spans="1:6" x14ac:dyDescent="0.3">
      <c r="A1189" s="629">
        <v>45635.338935185187</v>
      </c>
      <c r="B1189">
        <v>542361075</v>
      </c>
      <c r="C1189" t="s">
        <v>277</v>
      </c>
      <c r="D1189" t="s">
        <v>257</v>
      </c>
      <c r="E1189">
        <v>41</v>
      </c>
      <c r="F1189" t="s">
        <v>258</v>
      </c>
    </row>
    <row r="1190" spans="1:6" x14ac:dyDescent="0.3">
      <c r="A1190" s="629">
        <v>45635.325381944444</v>
      </c>
      <c r="B1190">
        <v>542361075</v>
      </c>
      <c r="C1190" t="s">
        <v>277</v>
      </c>
      <c r="D1190" t="s">
        <v>257</v>
      </c>
      <c r="E1190">
        <v>58</v>
      </c>
      <c r="F1190" t="s">
        <v>258</v>
      </c>
    </row>
    <row r="1191" spans="1:6" x14ac:dyDescent="0.3">
      <c r="A1191" s="629">
        <v>45635.324861111112</v>
      </c>
      <c r="B1191">
        <v>542361075</v>
      </c>
      <c r="C1191" t="s">
        <v>277</v>
      </c>
      <c r="D1191" t="s">
        <v>257</v>
      </c>
      <c r="E1191">
        <v>34</v>
      </c>
      <c r="F1191" t="s">
        <v>258</v>
      </c>
    </row>
    <row r="1192" spans="1:6" x14ac:dyDescent="0.3">
      <c r="A1192" s="629">
        <v>45635.323784722219</v>
      </c>
      <c r="B1192">
        <v>542361075</v>
      </c>
      <c r="C1192" t="s">
        <v>277</v>
      </c>
      <c r="D1192" t="s">
        <v>257</v>
      </c>
      <c r="E1192">
        <v>216</v>
      </c>
      <c r="F1192" t="s">
        <v>258</v>
      </c>
    </row>
    <row r="1193" spans="1:6" x14ac:dyDescent="0.3">
      <c r="A1193" s="629">
        <v>45635.321782407409</v>
      </c>
      <c r="B1193">
        <v>542361075</v>
      </c>
      <c r="C1193" t="s">
        <v>277</v>
      </c>
      <c r="D1193" t="s">
        <v>257</v>
      </c>
      <c r="E1193">
        <v>35</v>
      </c>
      <c r="F1193" t="s">
        <v>258</v>
      </c>
    </row>
    <row r="1194" spans="1:6" x14ac:dyDescent="0.3">
      <c r="A1194" s="629">
        <v>45635.321747685186</v>
      </c>
      <c r="B1194">
        <v>542361075</v>
      </c>
      <c r="C1194" t="s">
        <v>277</v>
      </c>
      <c r="D1194" t="s">
        <v>257</v>
      </c>
      <c r="E1194">
        <v>35</v>
      </c>
      <c r="F1194" t="s">
        <v>258</v>
      </c>
    </row>
    <row r="1195" spans="1:6" x14ac:dyDescent="0.3">
      <c r="A1195" s="629">
        <v>45635.321689814817</v>
      </c>
      <c r="B1195">
        <v>542361075</v>
      </c>
      <c r="C1195" t="s">
        <v>277</v>
      </c>
      <c r="D1195" t="s">
        <v>257</v>
      </c>
      <c r="E1195">
        <v>63</v>
      </c>
      <c r="F1195" t="s">
        <v>258</v>
      </c>
    </row>
    <row r="1196" spans="1:6" x14ac:dyDescent="0.3">
      <c r="A1196" s="629">
        <v>45635.321516203701</v>
      </c>
      <c r="B1196">
        <v>542361075</v>
      </c>
      <c r="C1196" t="s">
        <v>277</v>
      </c>
      <c r="D1196" t="s">
        <v>257</v>
      </c>
      <c r="E1196">
        <v>45</v>
      </c>
      <c r="F1196" t="s">
        <v>258</v>
      </c>
    </row>
    <row r="1197" spans="1:6" x14ac:dyDescent="0.3">
      <c r="A1197" s="629">
        <v>45635.320775462962</v>
      </c>
      <c r="B1197">
        <v>542361075</v>
      </c>
      <c r="C1197" t="s">
        <v>277</v>
      </c>
      <c r="D1197" t="s">
        <v>257</v>
      </c>
      <c r="E1197">
        <v>94</v>
      </c>
      <c r="F1197" t="s">
        <v>258</v>
      </c>
    </row>
    <row r="1198" spans="1:6" x14ac:dyDescent="0.3">
      <c r="A1198" s="629">
        <v>45635.320150462961</v>
      </c>
      <c r="B1198">
        <v>542361075</v>
      </c>
      <c r="C1198" t="s">
        <v>277</v>
      </c>
      <c r="D1198" t="s">
        <v>257</v>
      </c>
      <c r="E1198">
        <v>247</v>
      </c>
      <c r="F1198" t="s">
        <v>258</v>
      </c>
    </row>
    <row r="1199" spans="1:6" x14ac:dyDescent="0.3">
      <c r="A1199" s="629">
        <v>45635.319409722222</v>
      </c>
      <c r="B1199">
        <v>542361075</v>
      </c>
      <c r="C1199" t="s">
        <v>277</v>
      </c>
      <c r="D1199" t="s">
        <v>257</v>
      </c>
      <c r="E1199">
        <v>39</v>
      </c>
      <c r="F1199" t="s">
        <v>258</v>
      </c>
    </row>
    <row r="1200" spans="1:6" x14ac:dyDescent="0.3">
      <c r="A1200" s="629">
        <v>45635.318553240744</v>
      </c>
      <c r="B1200">
        <v>542361075</v>
      </c>
      <c r="C1200" t="s">
        <v>277</v>
      </c>
      <c r="D1200" t="s">
        <v>257</v>
      </c>
      <c r="E1200">
        <v>222</v>
      </c>
      <c r="F1200" t="s">
        <v>258</v>
      </c>
    </row>
    <row r="1201" spans="1:6" x14ac:dyDescent="0.3">
      <c r="A1201" s="629">
        <v>45635.317870370367</v>
      </c>
      <c r="B1201">
        <v>542361075</v>
      </c>
      <c r="C1201" t="s">
        <v>277</v>
      </c>
      <c r="D1201" t="s">
        <v>257</v>
      </c>
      <c r="E1201">
        <v>89</v>
      </c>
      <c r="F1201" t="s">
        <v>258</v>
      </c>
    </row>
    <row r="1202" spans="1:6" x14ac:dyDescent="0.3">
      <c r="A1202" s="629">
        <v>45635.317824074074</v>
      </c>
      <c r="B1202">
        <v>542361075</v>
      </c>
      <c r="C1202" t="s">
        <v>277</v>
      </c>
      <c r="F1202" t="s">
        <v>259</v>
      </c>
    </row>
    <row r="1203" spans="1:6" x14ac:dyDescent="0.3">
      <c r="A1203" s="629">
        <v>45635.315196759257</v>
      </c>
      <c r="B1203">
        <v>542361075</v>
      </c>
      <c r="C1203" t="s">
        <v>277</v>
      </c>
      <c r="D1203" t="s">
        <v>257</v>
      </c>
      <c r="E1203">
        <v>237</v>
      </c>
      <c r="F1203" t="s">
        <v>258</v>
      </c>
    </row>
    <row r="1204" spans="1:6" x14ac:dyDescent="0.3">
      <c r="A1204" s="629">
        <v>45635.314479166664</v>
      </c>
      <c r="B1204">
        <v>542361075</v>
      </c>
      <c r="C1204" t="s">
        <v>277</v>
      </c>
      <c r="D1204" t="s">
        <v>257</v>
      </c>
      <c r="E1204">
        <v>19</v>
      </c>
      <c r="F1204" t="s">
        <v>258</v>
      </c>
    </row>
    <row r="1205" spans="1:6" x14ac:dyDescent="0.3">
      <c r="A1205" s="629">
        <v>45635.314050925925</v>
      </c>
      <c r="B1205">
        <v>542361075</v>
      </c>
      <c r="C1205" t="s">
        <v>277</v>
      </c>
      <c r="D1205" t="s">
        <v>257</v>
      </c>
      <c r="E1205">
        <v>169</v>
      </c>
      <c r="F1205" t="s">
        <v>258</v>
      </c>
    </row>
    <row r="1206" spans="1:6" x14ac:dyDescent="0.3">
      <c r="A1206" s="629">
        <v>45635.313842592594</v>
      </c>
      <c r="B1206">
        <v>542361075</v>
      </c>
      <c r="C1206" t="s">
        <v>277</v>
      </c>
      <c r="D1206" t="s">
        <v>257</v>
      </c>
      <c r="E1206">
        <v>2</v>
      </c>
      <c r="F1206" t="s">
        <v>258</v>
      </c>
    </row>
    <row r="1207" spans="1:6" x14ac:dyDescent="0.3">
      <c r="A1207" s="629">
        <v>45635.313622685186</v>
      </c>
      <c r="B1207">
        <v>542361075</v>
      </c>
      <c r="C1207" t="s">
        <v>277</v>
      </c>
      <c r="D1207" t="s">
        <v>257</v>
      </c>
      <c r="E1207">
        <v>6</v>
      </c>
      <c r="F1207" t="s">
        <v>258</v>
      </c>
    </row>
    <row r="1208" spans="1:6" x14ac:dyDescent="0.3">
      <c r="A1208" s="629">
        <v>45635.312638888892</v>
      </c>
      <c r="B1208">
        <v>542361075</v>
      </c>
      <c r="C1208" t="s">
        <v>277</v>
      </c>
      <c r="D1208" t="s">
        <v>257</v>
      </c>
      <c r="E1208">
        <v>95</v>
      </c>
      <c r="F1208" t="s">
        <v>258</v>
      </c>
    </row>
    <row r="1209" spans="1:6" x14ac:dyDescent="0.3">
      <c r="A1209" s="629">
        <v>45635.312592592592</v>
      </c>
      <c r="B1209">
        <v>542361075</v>
      </c>
      <c r="C1209" t="s">
        <v>277</v>
      </c>
      <c r="D1209" t="s">
        <v>257</v>
      </c>
      <c r="E1209">
        <v>195</v>
      </c>
      <c r="F1209" t="s">
        <v>258</v>
      </c>
    </row>
    <row r="1210" spans="1:6" x14ac:dyDescent="0.3">
      <c r="A1210" s="629">
        <v>45635.312557870369</v>
      </c>
      <c r="B1210">
        <v>542361075</v>
      </c>
      <c r="C1210" t="s">
        <v>277</v>
      </c>
      <c r="D1210" t="s">
        <v>257</v>
      </c>
      <c r="E1210">
        <v>30</v>
      </c>
      <c r="F1210" t="s">
        <v>258</v>
      </c>
    </row>
    <row r="1211" spans="1:6" x14ac:dyDescent="0.3">
      <c r="A1211" s="629">
        <v>45635.312361111108</v>
      </c>
      <c r="B1211">
        <v>542361075</v>
      </c>
      <c r="C1211" t="s">
        <v>277</v>
      </c>
      <c r="D1211" t="s">
        <v>257</v>
      </c>
      <c r="E1211">
        <v>116</v>
      </c>
      <c r="F1211" t="s">
        <v>258</v>
      </c>
    </row>
    <row r="1212" spans="1:6" x14ac:dyDescent="0.3">
      <c r="A1212" s="629">
        <v>45635.311782407407</v>
      </c>
      <c r="B1212">
        <v>542361075</v>
      </c>
      <c r="C1212" t="s">
        <v>277</v>
      </c>
      <c r="D1212" t="s">
        <v>257</v>
      </c>
      <c r="E1212">
        <v>220</v>
      </c>
      <c r="F1212" t="s">
        <v>258</v>
      </c>
    </row>
    <row r="1213" spans="1:6" x14ac:dyDescent="0.3">
      <c r="A1213" s="629">
        <v>45635.310717592591</v>
      </c>
      <c r="B1213">
        <v>542361075</v>
      </c>
      <c r="C1213" t="s">
        <v>277</v>
      </c>
      <c r="D1213" t="s">
        <v>257</v>
      </c>
      <c r="E1213">
        <v>212</v>
      </c>
      <c r="F1213" t="s">
        <v>258</v>
      </c>
    </row>
    <row r="1214" spans="1:6" x14ac:dyDescent="0.3">
      <c r="A1214" s="629">
        <v>45635.310057870367</v>
      </c>
      <c r="B1214">
        <v>542361075</v>
      </c>
      <c r="C1214" t="s">
        <v>277</v>
      </c>
      <c r="D1214" t="s">
        <v>257</v>
      </c>
      <c r="E1214">
        <v>111</v>
      </c>
      <c r="F1214" t="s">
        <v>258</v>
      </c>
    </row>
    <row r="1215" spans="1:6" x14ac:dyDescent="0.3">
      <c r="A1215" s="629">
        <v>45635.309560185182</v>
      </c>
      <c r="B1215">
        <v>542361075</v>
      </c>
      <c r="C1215" t="s">
        <v>277</v>
      </c>
      <c r="D1215" t="s">
        <v>257</v>
      </c>
      <c r="E1215">
        <v>141</v>
      </c>
      <c r="F1215" t="s">
        <v>258</v>
      </c>
    </row>
    <row r="1216" spans="1:6" x14ac:dyDescent="0.3">
      <c r="A1216" s="629">
        <v>45635.309525462966</v>
      </c>
      <c r="B1216">
        <v>542361075</v>
      </c>
      <c r="C1216" t="s">
        <v>277</v>
      </c>
      <c r="D1216" t="s">
        <v>257</v>
      </c>
      <c r="E1216">
        <v>166</v>
      </c>
      <c r="F1216" t="s">
        <v>258</v>
      </c>
    </row>
    <row r="1217" spans="1:6" x14ac:dyDescent="0.3">
      <c r="A1217" s="629">
        <v>45635.309386574074</v>
      </c>
      <c r="B1217">
        <v>542361075</v>
      </c>
      <c r="C1217" t="s">
        <v>277</v>
      </c>
      <c r="D1217" t="s">
        <v>257</v>
      </c>
      <c r="E1217">
        <v>146</v>
      </c>
      <c r="F1217" t="s">
        <v>258</v>
      </c>
    </row>
    <row r="1218" spans="1:6" x14ac:dyDescent="0.3">
      <c r="A1218" s="629">
        <v>45635.308171296296</v>
      </c>
      <c r="B1218">
        <v>542361075</v>
      </c>
      <c r="C1218" t="s">
        <v>277</v>
      </c>
      <c r="D1218" t="s">
        <v>257</v>
      </c>
      <c r="E1218">
        <v>236</v>
      </c>
      <c r="F1218" t="s">
        <v>258</v>
      </c>
    </row>
    <row r="1219" spans="1:6" x14ac:dyDescent="0.3">
      <c r="A1219" s="629">
        <v>45635.308125000003</v>
      </c>
      <c r="B1219">
        <v>542361075</v>
      </c>
      <c r="C1219" t="s">
        <v>277</v>
      </c>
      <c r="D1219" t="s">
        <v>257</v>
      </c>
      <c r="E1219">
        <v>234</v>
      </c>
      <c r="F1219" t="s">
        <v>258</v>
      </c>
    </row>
    <row r="1220" spans="1:6" x14ac:dyDescent="0.3">
      <c r="A1220" s="629">
        <v>45635.307175925926</v>
      </c>
      <c r="B1220">
        <v>542361075</v>
      </c>
      <c r="C1220" t="s">
        <v>277</v>
      </c>
      <c r="D1220" t="s">
        <v>257</v>
      </c>
      <c r="E1220">
        <v>26</v>
      </c>
      <c r="F1220" t="s">
        <v>258</v>
      </c>
    </row>
    <row r="1221" spans="1:6" x14ac:dyDescent="0.3">
      <c r="A1221" s="629">
        <v>45635.306701388887</v>
      </c>
      <c r="B1221">
        <v>542361075</v>
      </c>
      <c r="C1221" t="s">
        <v>277</v>
      </c>
      <c r="D1221" t="s">
        <v>257</v>
      </c>
      <c r="E1221">
        <v>59</v>
      </c>
      <c r="F1221" t="s">
        <v>258</v>
      </c>
    </row>
    <row r="1222" spans="1:6" x14ac:dyDescent="0.3">
      <c r="A1222" s="629">
        <v>45635.305937500001</v>
      </c>
      <c r="B1222">
        <v>542361075</v>
      </c>
      <c r="C1222" t="s">
        <v>277</v>
      </c>
      <c r="D1222" t="s">
        <v>257</v>
      </c>
      <c r="E1222">
        <v>32</v>
      </c>
      <c r="F1222" t="s">
        <v>258</v>
      </c>
    </row>
    <row r="1223" spans="1:6" x14ac:dyDescent="0.3">
      <c r="A1223" s="629">
        <v>45635.305717592593</v>
      </c>
      <c r="B1223">
        <v>542361075</v>
      </c>
      <c r="C1223" t="s">
        <v>277</v>
      </c>
      <c r="D1223" t="s">
        <v>257</v>
      </c>
      <c r="E1223">
        <v>12</v>
      </c>
      <c r="F1223" t="s">
        <v>258</v>
      </c>
    </row>
    <row r="1224" spans="1:6" x14ac:dyDescent="0.3">
      <c r="A1224" s="629">
        <v>45635.303819444445</v>
      </c>
      <c r="B1224">
        <v>542361075</v>
      </c>
      <c r="C1224" t="s">
        <v>277</v>
      </c>
      <c r="D1224" t="s">
        <v>257</v>
      </c>
      <c r="E1224">
        <v>12</v>
      </c>
      <c r="F1224" t="s">
        <v>258</v>
      </c>
    </row>
    <row r="1225" spans="1:6" x14ac:dyDescent="0.3">
      <c r="A1225" s="629">
        <v>45635.303217592591</v>
      </c>
      <c r="B1225">
        <v>542361075</v>
      </c>
      <c r="C1225" t="s">
        <v>277</v>
      </c>
      <c r="D1225" t="s">
        <v>257</v>
      </c>
      <c r="E1225">
        <v>28</v>
      </c>
      <c r="F1225" t="s">
        <v>258</v>
      </c>
    </row>
    <row r="1226" spans="1:6" x14ac:dyDescent="0.3">
      <c r="A1226" s="629">
        <v>45635.301388888889</v>
      </c>
      <c r="B1226">
        <v>542361075</v>
      </c>
      <c r="C1226" t="s">
        <v>277</v>
      </c>
      <c r="D1226" t="s">
        <v>257</v>
      </c>
      <c r="E1226">
        <v>239</v>
      </c>
      <c r="F1226" t="s">
        <v>258</v>
      </c>
    </row>
    <row r="1227" spans="1:6" x14ac:dyDescent="0.3">
      <c r="A1227" s="629">
        <v>45635.301319444443</v>
      </c>
      <c r="B1227">
        <v>542361075</v>
      </c>
      <c r="C1227" t="s">
        <v>277</v>
      </c>
      <c r="D1227" t="s">
        <v>257</v>
      </c>
      <c r="E1227">
        <v>73</v>
      </c>
      <c r="F1227" t="s">
        <v>258</v>
      </c>
    </row>
    <row r="1228" spans="1:6" x14ac:dyDescent="0.3">
      <c r="A1228" s="629">
        <v>45635.30128472222</v>
      </c>
      <c r="B1228">
        <v>542361075</v>
      </c>
      <c r="C1228" t="s">
        <v>277</v>
      </c>
      <c r="D1228" t="s">
        <v>257</v>
      </c>
      <c r="E1228">
        <v>230</v>
      </c>
      <c r="F1228" t="s">
        <v>258</v>
      </c>
    </row>
    <row r="1229" spans="1:6" x14ac:dyDescent="0.3">
      <c r="A1229" s="629">
        <v>45635.301226851851</v>
      </c>
      <c r="B1229">
        <v>542361075</v>
      </c>
      <c r="C1229" t="s">
        <v>277</v>
      </c>
      <c r="D1229" t="s">
        <v>257</v>
      </c>
      <c r="E1229">
        <v>64</v>
      </c>
      <c r="F1229" t="s">
        <v>258</v>
      </c>
    </row>
    <row r="1230" spans="1:6" x14ac:dyDescent="0.3">
      <c r="A1230" s="629">
        <v>45635.299629629626</v>
      </c>
      <c r="B1230">
        <v>542361075</v>
      </c>
      <c r="C1230" t="s">
        <v>277</v>
      </c>
      <c r="D1230" t="s">
        <v>257</v>
      </c>
      <c r="E1230">
        <v>217</v>
      </c>
      <c r="F1230" t="s">
        <v>258</v>
      </c>
    </row>
    <row r="1231" spans="1:6" x14ac:dyDescent="0.3">
      <c r="A1231" s="629">
        <v>45635.29824074074</v>
      </c>
      <c r="B1231">
        <v>542361075</v>
      </c>
      <c r="C1231" t="s">
        <v>277</v>
      </c>
      <c r="D1231" t="s">
        <v>257</v>
      </c>
      <c r="E1231">
        <v>241</v>
      </c>
      <c r="F1231" t="s">
        <v>258</v>
      </c>
    </row>
    <row r="1232" spans="1:6" x14ac:dyDescent="0.3">
      <c r="A1232" s="629">
        <v>45635.295995370368</v>
      </c>
      <c r="B1232">
        <v>542361075</v>
      </c>
      <c r="C1232" t="s">
        <v>277</v>
      </c>
      <c r="D1232" t="s">
        <v>257</v>
      </c>
      <c r="E1232">
        <v>245</v>
      </c>
      <c r="F1232" t="s">
        <v>258</v>
      </c>
    </row>
    <row r="1233" spans="1:6" x14ac:dyDescent="0.3">
      <c r="A1233" s="629">
        <v>45635.285266203704</v>
      </c>
      <c r="B1233">
        <v>542361075</v>
      </c>
      <c r="C1233" t="s">
        <v>277</v>
      </c>
      <c r="D1233" t="s">
        <v>257</v>
      </c>
      <c r="E1233">
        <v>172</v>
      </c>
      <c r="F1233" t="s">
        <v>258</v>
      </c>
    </row>
    <row r="1234" spans="1:6" x14ac:dyDescent="0.3">
      <c r="A1234" s="629">
        <v>45635.282199074078</v>
      </c>
      <c r="B1234">
        <v>542361075</v>
      </c>
      <c r="C1234" t="s">
        <v>277</v>
      </c>
      <c r="D1234" t="s">
        <v>257</v>
      </c>
      <c r="E1234">
        <v>51</v>
      </c>
      <c r="F1234" t="s">
        <v>258</v>
      </c>
    </row>
    <row r="1235" spans="1:6" x14ac:dyDescent="0.3">
      <c r="A1235" s="629">
        <v>45635.147407407407</v>
      </c>
      <c r="B1235">
        <v>542361075</v>
      </c>
      <c r="C1235" t="s">
        <v>277</v>
      </c>
      <c r="D1235" t="s">
        <v>257</v>
      </c>
      <c r="E1235">
        <v>94</v>
      </c>
      <c r="F1235" t="s">
        <v>258</v>
      </c>
    </row>
    <row r="1236" spans="1:6" x14ac:dyDescent="0.3">
      <c r="A1236" s="629">
        <v>45635.123113425929</v>
      </c>
      <c r="B1236">
        <v>542361075</v>
      </c>
      <c r="C1236" t="s">
        <v>277</v>
      </c>
      <c r="D1236" t="s">
        <v>257</v>
      </c>
      <c r="E1236">
        <v>94</v>
      </c>
      <c r="F1236" t="s">
        <v>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NOMINA TEJIDO </vt:lpstr>
      <vt:lpstr>nom</vt:lpstr>
      <vt:lpstr>Lista </vt:lpstr>
      <vt:lpstr>resumen rh</vt:lpstr>
      <vt:lpstr>CHECADAS</vt:lpstr>
      <vt:lpstr>REPORTE</vt:lpstr>
      <vt:lpstr>'NOMINA TEJIDO 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 MEDINA</dc:creator>
  <cp:lastModifiedBy>RH</cp:lastModifiedBy>
  <cp:lastPrinted>2024-12-16T18:35:53Z</cp:lastPrinted>
  <dcterms:created xsi:type="dcterms:W3CDTF">2023-03-13T22:40:09Z</dcterms:created>
  <dcterms:modified xsi:type="dcterms:W3CDTF">2024-12-30T15:15:13Z</dcterms:modified>
</cp:coreProperties>
</file>